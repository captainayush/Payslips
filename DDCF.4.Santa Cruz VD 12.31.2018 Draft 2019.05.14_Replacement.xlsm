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omments3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4.xml" ContentType="application/vnd.openxmlformats-officedocument.drawing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5.xml" ContentType="application/vnd.openxmlformats-officedocument.drawing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omments6.xml" ContentType="application/vnd.openxmlformats-officedocument.spreadsheetml.comments+xml"/>
  <Override PartName="/xl/drawings/drawing8.xml" ContentType="application/vnd.openxmlformats-officedocument.drawing+xml"/>
  <Override PartName="/xl/comments7.xml" ContentType="application/vnd.openxmlformats-officedocument.spreadsheetml.comments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5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6.xml" ContentType="application/vnd.openxmlformats-officedocument.drawing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1.xml" ContentType="application/vnd.openxmlformats-officedocument.drawing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O:\Valuation\RNA Advisors\Satellite Health\WB Santa Cruz\BEV VD 12.31.2018\6 - Analysis\"/>
    </mc:Choice>
  </mc:AlternateContent>
  <bookViews>
    <workbookView xWindow="-120" yWindow="-120" windowWidth="20730" windowHeight="11160" tabRatio="905" firstSheet="7" activeTab="7"/>
  </bookViews>
  <sheets>
    <sheet name="TM1Live" sheetId="101" r:id="rId1"/>
    <sheet name="TM1data" sheetId="99" r:id="rId2"/>
    <sheet name="TM1used" sheetId="90" r:id="rId3"/>
    <sheet name="QuestionsNotes" sheetId="93" r:id="rId4"/>
    <sheet name="MacroLinks" sheetId="70" r:id="rId5"/>
    <sheet name="Title" sheetId="4" r:id="rId6"/>
    <sheet name="MainOutline" sheetId="1" r:id="rId7"/>
    <sheet name="A1" sheetId="5" r:id="rId8"/>
    <sheet name="A2" sheetId="25" r:id="rId9"/>
    <sheet name="A3" sheetId="32" r:id="rId10"/>
    <sheet name="A4" sheetId="94" r:id="rId11"/>
    <sheet name="A5" sheetId="100" r:id="rId12"/>
    <sheet name="A6" sheetId="52" r:id="rId13"/>
    <sheet name="B1" sheetId="51" r:id="rId14"/>
    <sheet name="B2" sheetId="35" r:id="rId15"/>
    <sheet name="C1" sheetId="26" r:id="rId16"/>
    <sheet name="C2" sheetId="77" r:id="rId17"/>
    <sheet name="C3" sheetId="28" r:id="rId18"/>
    <sheet name="C4" sheetId="78" r:id="rId19"/>
    <sheet name="C6" sheetId="34" r:id="rId20"/>
    <sheet name="C5" sheetId="29" r:id="rId21"/>
    <sheet name="C7" sheetId="37" r:id="rId22"/>
    <sheet name="C8" sheetId="46" r:id="rId23"/>
    <sheet name="C9" sheetId="38" r:id="rId24"/>
    <sheet name="C10" sheetId="40" r:id="rId25"/>
    <sheet name="C11" sheetId="58" r:id="rId26"/>
    <sheet name="C12" sheetId="74" r:id="rId27"/>
    <sheet name="D1" sheetId="79" r:id="rId28"/>
    <sheet name="D2" sheetId="87" r:id="rId29"/>
    <sheet name="D3" sheetId="59" r:id="rId30"/>
    <sheet name="D4" sheetId="67" r:id="rId31"/>
    <sheet name="D5" sheetId="19" r:id="rId32"/>
    <sheet name="D6" sheetId="92" r:id="rId33"/>
    <sheet name="D7" sheetId="61" r:id="rId34"/>
    <sheet name="D8" sheetId="86" r:id="rId35"/>
    <sheet name="ApndxA1" sheetId="63" r:id="rId36"/>
    <sheet name="ApndxA2" sheetId="65" r:id="rId37"/>
    <sheet name="ApndxA3" sheetId="66" r:id="rId38"/>
    <sheet name="ApndxB1" sheetId="11" r:id="rId39"/>
    <sheet name="ApndxB2" sheetId="62" r:id="rId40"/>
    <sheet name="ApndxB3" sheetId="12" r:id="rId41"/>
    <sheet name="ApndxB4" sheetId="13" r:id="rId42"/>
    <sheet name="ApndxB5" sheetId="53" r:id="rId43"/>
    <sheet name="ApndxB6" sheetId="57" r:id="rId44"/>
    <sheet name="Title_Mngmnt" sheetId="7" r:id="rId45"/>
    <sheet name="OutlineM" sheetId="83" r:id="rId46"/>
    <sheet name="M1" sheetId="14" r:id="rId47"/>
    <sheet name="M2" sheetId="95" r:id="rId48"/>
    <sheet name="M3" sheetId="15" r:id="rId49"/>
    <sheet name="M4" sheetId="82" r:id="rId50"/>
    <sheet name="M5" sheetId="16" r:id="rId51"/>
    <sheet name="Title_Prtnr" sheetId="8" r:id="rId52"/>
    <sheet name="OutlineP" sheetId="85" r:id="rId53"/>
    <sheet name="P1" sheetId="75" r:id="rId54"/>
    <sheet name="P2" sheetId="97" r:id="rId55"/>
    <sheet name="P3" sheetId="84" r:id="rId56"/>
    <sheet name="P4" sheetId="76" r:id="rId57"/>
    <sheet name="WorkPapers&gt;&gt;&gt;" sheetId="72" r:id="rId58"/>
    <sheet name="2018 Patient Count" sheetId="111" r:id="rId59"/>
    <sheet name="Historical Actuals" sheetId="102" r:id="rId60"/>
    <sheet name="MiscCalc" sheetId="91" r:id="rId61"/>
    <sheet name="FA INV LIST_Santa Cruz" sheetId="113" r:id="rId62"/>
  </sheets>
  <externalReferences>
    <externalReference r:id="rId63"/>
    <externalReference r:id="rId64"/>
    <externalReference r:id="rId65"/>
    <externalReference r:id="rId66"/>
    <externalReference r:id="rId67"/>
    <externalReference r:id="rId68"/>
    <externalReference r:id="rId69"/>
    <externalReference r:id="rId70"/>
    <externalReference r:id="rId71"/>
    <externalReference r:id="rId72"/>
  </externalReferences>
  <definedNames>
    <definedName name="_" hidden="1">#REF!</definedName>
    <definedName name="__123Graph_A" hidden="1">'[1]Sheet1 (2)'!$H$20:$O$20</definedName>
    <definedName name="__123Graph_B" hidden="1">'[1]Sheet1 (2)'!$H$15:$O$15</definedName>
    <definedName name="__123Graph_X" hidden="1">'[1]Sheet1 (2)'!$H$3:$P$3</definedName>
    <definedName name="__FDS_HYPERLINK_TOGGLE_STATE__" hidden="1">"ON"</definedName>
    <definedName name="__IntlFixup" hidden="1">TRUE</definedName>
    <definedName name="__IntlFixupTable" hidden="1">#REF!</definedName>
    <definedName name="_1__123Graph_ACHART_1" hidden="1">[2]Africa!$B$19:$V$19</definedName>
    <definedName name="_10__123Graph_ACHART_18" hidden="1">[2]Ocean!$B$28:$V$28</definedName>
    <definedName name="_11__123Graph_ACHART_19" hidden="1">'[2]S Amer'!$B$19:$V$19</definedName>
    <definedName name="_12__123Graph_ACHART_2" hidden="1">[2]Africa!$B$14:$V$14</definedName>
    <definedName name="_13__123Graph_ACHART_20" hidden="1">'[2]S Amer'!$B$14:$V$14</definedName>
    <definedName name="_14__123Graph_ACHART_21" hidden="1">'[2]S Amer'!$B$28:$V$28</definedName>
    <definedName name="_15__123Graph_ACHART_22" hidden="1">'[2]W Eur'!$B$19:$V$19</definedName>
    <definedName name="_16__123Graph_ACHART_23" hidden="1">'[2]W Eur'!$B$14:$V$14</definedName>
    <definedName name="_17__123Graph_ACHART_24" hidden="1">'[2]W Eur'!$B$28:$V$28</definedName>
    <definedName name="_18__123Graph_ACHART_3" hidden="1">[2]Africa!$B$28:$V$28</definedName>
    <definedName name="_19__123Graph_ACHART_4" hidden="1">'[2]C Amer'!$B$19:$V$19</definedName>
    <definedName name="_2__123Graph_ACHART_10" hidden="1">'[2]E Eur'!$B$14:$V$14</definedName>
    <definedName name="_20__123Graph_ACHART_5" hidden="1">'[2]C Amer'!$B$14:$V$14</definedName>
    <definedName name="_21__123Graph_ACHART_6" hidden="1">'[2]C Amer'!$B$28:$V$28</definedName>
    <definedName name="_22__123Graph_ACHART_7" hidden="1">'[2]E Asia'!$B$19:$V$19</definedName>
    <definedName name="_23__123Graph_ACHART_8" hidden="1">'[2]E Asia'!$B$14:$V$14</definedName>
    <definedName name="_24__123Graph_ACHART_9" hidden="1">'[2]E Eur'!$B$19:$V$19</definedName>
    <definedName name="_25__123Graph_BCHART_1" hidden="1">[2]Africa!$B$21:$V$21</definedName>
    <definedName name="_26__123Graph_BCHART_10" hidden="1">'[2]E Eur'!$B$51:$V$51</definedName>
    <definedName name="_27__123Graph_BCHART_13" hidden="1">[2]Mideast!$B$21:$V$21</definedName>
    <definedName name="_28__123Graph_BCHART_14" hidden="1">[2]Mideast!$B$51:$V$51</definedName>
    <definedName name="_29__123Graph_BCHART_16" hidden="1">[2]Ocean!$B$21:$V$21</definedName>
    <definedName name="_3__123Graph_ACHART_11" hidden="1">'[2]E Eur'!$B$28:$V$28</definedName>
    <definedName name="_30__123Graph_BCHART_17" hidden="1">[2]Ocean!$B$51:$V$51</definedName>
    <definedName name="_31__123Graph_BCHART_19" hidden="1">'[2]S Amer'!$B$21:$V$21</definedName>
    <definedName name="_32__123Graph_BCHART_2" hidden="1">[2]Africa!$B$51:$V$51</definedName>
    <definedName name="_33__123Graph_BCHART_20" hidden="1">'[2]S Amer'!$B$51:$V$51</definedName>
    <definedName name="_34__123Graph_BCHART_22" hidden="1">'[2]W Eur'!$B$21:$V$21</definedName>
    <definedName name="_35__123Graph_BCHART_23" hidden="1">'[2]W Eur'!$B$51:$V$51</definedName>
    <definedName name="_36__123Graph_BCHART_4" hidden="1">'[2]C Amer'!$B$21:$V$21</definedName>
    <definedName name="_37__123Graph_BCHART_5" hidden="1">'[2]C Amer'!$B$51:$V$51</definedName>
    <definedName name="_38__123Graph_BCHART_7" hidden="1">'[2]E Asia'!$B$21:$V$21</definedName>
    <definedName name="_39__123Graph_BCHART_8" hidden="1">'[2]E Asia'!$B$51:$V$51</definedName>
    <definedName name="_4__123Graph_ACHART_12" hidden="1">'[2]E Asia'!$B$28:$V$28</definedName>
    <definedName name="_40__123Graph_BCHART_9" hidden="1">'[2]E Eur'!$B$21:$V$21</definedName>
    <definedName name="_41__123Graph_CCHART_10" hidden="1">'[2]E Eur'!$B$13:$V$13</definedName>
    <definedName name="_42__123Graph_CCHART_14" hidden="1">[2]Mideast!$B$13:$V$13</definedName>
    <definedName name="_43__123Graph_CCHART_17" hidden="1">[2]Ocean!$B$13:$V$13</definedName>
    <definedName name="_44__123Graph_CCHART_2" hidden="1">[2]Africa!$B$13:$V$13</definedName>
    <definedName name="_45__123Graph_CCHART_20" hidden="1">'[2]S Amer'!$B$13:$V$13</definedName>
    <definedName name="_46__123Graph_CCHART_23" hidden="1">'[2]W Eur'!$B$13:$V$13</definedName>
    <definedName name="_47__123Graph_CCHART_5" hidden="1">'[2]C Amer'!$B$13:$V$13</definedName>
    <definedName name="_48__123Graph_CCHART_8" hidden="1">'[2]E Asia'!$B$13:$V$13</definedName>
    <definedName name="_49__123Graph_XCHART_10" hidden="1">'[2]E Eur'!$B$8:$V$8</definedName>
    <definedName name="_5__123Graph_ACHART_13" hidden="1">[2]Mideast!$B$19:$V$19</definedName>
    <definedName name="_50__123Graph_XCHART_11" hidden="1">'[2]E Eur'!$B$8:$V$8</definedName>
    <definedName name="_51__123Graph_XCHART_14" hidden="1">[2]Mideast!$B$8:$V$8</definedName>
    <definedName name="_52__123Graph_XCHART_15" hidden="1">[2]Mideast!$B$8:$V$8</definedName>
    <definedName name="_53__123Graph_XCHART_17" hidden="1">[2]Ocean!$B$8:$V$8</definedName>
    <definedName name="_54__123Graph_XCHART_18" hidden="1">[2]Ocean!$B$8:$V$8</definedName>
    <definedName name="_55__123Graph_XCHART_2" hidden="1">[2]Africa!$B$8:$V$8</definedName>
    <definedName name="_56__123Graph_XCHART_20" hidden="1">'[2]S Amer'!$B$8:$V$8</definedName>
    <definedName name="_57__123Graph_XCHART_21" hidden="1">'[2]S Amer'!$B$8:$V$8</definedName>
    <definedName name="_58__123Graph_XCHART_23" hidden="1">'[2]W Eur'!$B$8:$V$8</definedName>
    <definedName name="_59__123Graph_XCHART_24" hidden="1">'[2]W Eur'!$B$8:$V$8</definedName>
    <definedName name="_6__123Graph_ACHART_14" hidden="1">[2]Mideast!$B$14:$V$14</definedName>
    <definedName name="_60__123Graph_XCHART_3" hidden="1">[2]Africa!$B$8:$V$8</definedName>
    <definedName name="_61__123Graph_XCHART_5" hidden="1">'[2]C Amer'!$B$8:$V$8</definedName>
    <definedName name="_62__123Graph_XCHART_6" hidden="1">'[2]C Amer'!$B$8:$V$8</definedName>
    <definedName name="_63__123Graph_XCHART_8" hidden="1">'[2]E Asia'!$B$8:$V$8</definedName>
    <definedName name="_64_0_0Cwvu.GREY_A" hidden="1">[3]TargIS!#REF!</definedName>
    <definedName name="_7__123Graph_ACHART_15" hidden="1">[2]Mideast!$B$28:$V$28</definedName>
    <definedName name="_8__123Graph_ACHART_16" hidden="1">[2]Ocean!$B$19:$V$19</definedName>
    <definedName name="_9__123Graph_ACHART_17" hidden="1">[2]Ocean!$B$14:$V$14</definedName>
    <definedName name="_bdm.FBC8F4734CD44B95848F689416B40C4F.edm" hidden="1">#REF!</definedName>
    <definedName name="_Dist_Values" hidden="1">#REF!</definedName>
    <definedName name="_Fill" hidden="1">#REF!</definedName>
    <definedName name="_Key1" hidden="1">#REF!</definedName>
    <definedName name="_Key2" hidden="1">#REF!</definedName>
    <definedName name="_Order1" hidden="1">255</definedName>
    <definedName name="_Order2" hidden="1">255</definedName>
    <definedName name="_Sort" hidden="1">#REF!</definedName>
    <definedName name="_Table1_In1" hidden="1">#REF!</definedName>
    <definedName name="_Table1_Out" hidden="1">#REF!</definedName>
    <definedName name="_Table2_In1" hidden="1">#REF!</definedName>
    <definedName name="_Table2_In2" hidden="1">#REF!</definedName>
    <definedName name="_Table2_Out" hidden="1">#REF!</definedName>
    <definedName name="a" hidden="1">{#N/A,#N/A,FALSE,"IS";#N/A,#N/A,FALSE,"BS";#N/A,#N/A,FALSE,"RMA";#N/A,#N/A,FALSE,"INCOME";#N/A,#N/A,FALSE,"DCF";#N/A,#N/A,FALSE,"MARKET"}</definedName>
    <definedName name="ABC" hidden="1">#REF!</definedName>
    <definedName name="AccessDatabase" hidden="1">"I:\DEPT8900\OEL\FY01\Reports\Budget Comparison\Comparitive Budget TEST.mdb"</definedName>
    <definedName name="AcqType" localSheetId="61">[4]A1!$B$83</definedName>
    <definedName name="AcqType">'A1'!$B$84</definedName>
    <definedName name="acute" localSheetId="1">TM1data!$M$2:$N$9</definedName>
    <definedName name="acute" localSheetId="0">TM1Live!$M$2:$N$9</definedName>
    <definedName name="acute" localSheetId="2">TM1used!$M$2:$N$9</definedName>
    <definedName name="adsf" hidden="1">#REF!</definedName>
    <definedName name="anscount" hidden="1">6</definedName>
    <definedName name="AS2DocOpenMode" hidden="1">"AS2DocumentEdit"</definedName>
    <definedName name="asd" hidden="1">{"DCF","UPSIDE CASE",FALSE,"Sheet1";"DCF","BASE CASE",FALSE,"Sheet1";"DCF","DOWNSIDE CASE",FALSE,"Sheet1"}</definedName>
    <definedName name="asdfasdfdddd" hidden="1">{"DCF","UPSIDE CASE",FALSE,"Sheet1";"DCF","BASE CASE",FALSE,"Sheet1";"DCF","DOWNSIDE CASE",FALSE,"Sheet1"}</definedName>
    <definedName name="avegmultiple" hidden="1">#REF!</definedName>
    <definedName name="CBWorkbookPriority" hidden="1">-1959504492</definedName>
    <definedName name="CIQWBGuid" localSheetId="61" hidden="1">"5bc7de29-4919-4605-b858-1945006d39fa"</definedName>
    <definedName name="CIQWBGuid" hidden="1">"DDCF.4.San Carlos.xlsm"</definedName>
    <definedName name="Company_Name" hidden="1">[5]Settings!$C$56</definedName>
    <definedName name="compnam" hidden="1">[6]KeyMultInputs!#REF!</definedName>
    <definedName name="Data.Dump" hidden="1">OFFSET([7]!Data.Top.Left,1,0)</definedName>
    <definedName name="dddddddddddddddd" hidden="1">Main.SAPF4Help()</definedName>
    <definedName name="dynamoPick001" localSheetId="59" hidden="1">'Historical Actuals'!$K$37</definedName>
    <definedName name="dynamoPick001.AllowDrilling" localSheetId="59" hidden="1">FALSE</definedName>
    <definedName name="dynamoPick001.AllowEditor" localSheetId="59" hidden="1">FALSE</definedName>
    <definedName name="dynamoPick001.AllowPrinting" localSheetId="59" hidden="1">FALSE</definedName>
    <definedName name="dynamoPick001.CalcExcel" localSheetId="59" hidden="1">FALSE</definedName>
    <definedName name="dynamoPick001.CalcSheet" localSheetId="59" hidden="1">FALSE</definedName>
    <definedName name="dynamoPick001.DefaultEditor" localSheetId="59" hidden="1">FALSE</definedName>
    <definedName name="dynamoPick001.DynamoBook" localSheetId="59" hidden="1">FALSE</definedName>
    <definedName name="dynamoPick001.DynamoSheet" localSheetId="59" hidden="1">FALSE</definedName>
    <definedName name="dynamoPick001.RunMacro" localSheetId="59" hidden="1">FALSE</definedName>
    <definedName name="dynamoPick001INFO" localSheetId="59" hidden="1">"cxmd:bpmLocation~"&amp;CELL("address",'Historical Actuals'!$K$37)&amp;"~"&amp;"B~"&amp;"By Territory~3~"&amp;"Alt Name~T~F~F~F~F~"&amp;"~"</definedName>
    <definedName name="dynamoPick002" localSheetId="59" hidden="1">'Historical Actuals'!$K$38</definedName>
    <definedName name="dynamoPick002.AllowDrilling" localSheetId="59" hidden="1">FALSE</definedName>
    <definedName name="dynamoPick002.AllowEditor" localSheetId="59" hidden="1">FALSE</definedName>
    <definedName name="dynamoPick002.AllowPrinting" localSheetId="59" hidden="1">FALSE</definedName>
    <definedName name="dynamoPick002.CalcExcel" localSheetId="59" hidden="1">FALSE</definedName>
    <definedName name="dynamoPick002.CalcSheet" localSheetId="59" hidden="1">FALSE</definedName>
    <definedName name="dynamoPick002.DefaultEditor" localSheetId="59" hidden="1">FALSE</definedName>
    <definedName name="dynamoPick002.DynamoBook" localSheetId="59" hidden="1">FALSE</definedName>
    <definedName name="dynamoPick002.DynamoSheet" localSheetId="59" hidden="1">FALSE</definedName>
    <definedName name="dynamoPick002.RunMacro" localSheetId="59" hidden="1">FALSE</definedName>
    <definedName name="dynamoPick002INFO" localSheetId="59" hidden="1">"cxmd:bpmDepartment~"&amp;CELL("address",'Historical Actuals'!$K$38)&amp;"~"&amp;"B~"&amp;"Dialysis~999~"&amp;"NameCode~T~F~F~F~F~"&amp;"~"</definedName>
    <definedName name="ef." hidden="1">{#N/A,"A",FALSE,"DCF"}</definedName>
    <definedName name="Error_Amount" hidden="1">"'Error_Checks'!B10"</definedName>
    <definedName name="Error_Check" hidden="1">"ABS(Error_Amount)&gt;Error_Threshold"</definedName>
    <definedName name="Error_Threshold" hidden="1">0.05</definedName>
    <definedName name="ev.Calculation" hidden="1">-4105</definedName>
    <definedName name="ev.Initialized" hidden="1">FALSE</definedName>
    <definedName name="ExactAddinReports" hidden="1">1</definedName>
    <definedName name="ExbMult_Total" hidden="1">#REF!</definedName>
    <definedName name="finres" hidden="1">#REF!</definedName>
    <definedName name="gin" hidden="1">#REF!</definedName>
    <definedName name="hn.ExtDb" hidden="1">FALSE</definedName>
    <definedName name="hn.ModelType" hidden="1">"DEAL"</definedName>
    <definedName name="hn.ModelVersion" hidden="1">1</definedName>
    <definedName name="hn.NoUpload" hidden="1">0</definedName>
    <definedName name="HTML_CodePage" hidden="1">1252</definedName>
    <definedName name="HTML_Control" hidden="1">{"'Leverage'!$B$2:$M$418"}</definedName>
    <definedName name="HTML_Description" hidden="1">""</definedName>
    <definedName name="HTML_Email" hidden="1">""</definedName>
    <definedName name="HTML_Header" hidden="1">"Leverage"</definedName>
    <definedName name="HTML_LastUpdate" hidden="1">"8/21/00"</definedName>
    <definedName name="HTML_LineAfter" hidden="1">FALSE</definedName>
    <definedName name="HTML_LineBefore" hidden="1">FALSE</definedName>
    <definedName name="HTML_Name" hidden="1">"Frank Vickers"</definedName>
    <definedName name="HTML_OBDlg2" hidden="1">TRUE</definedName>
    <definedName name="HTML_OBDlg4" hidden="1">TRUE</definedName>
    <definedName name="HTML_OS" hidden="1">0</definedName>
    <definedName name="HTML_PathFile" hidden="1">"C:\my documents\lever.htm"</definedName>
    <definedName name="HTML_Title" hidden="1">"leverage"</definedName>
    <definedName name="HTML1_1" hidden="1">"[FCFF3]Sheet1!$A$1:$L$34"</definedName>
    <definedName name="HTML1_10" hidden="1">""</definedName>
    <definedName name="HTML1_11" hidden="1">1</definedName>
    <definedName name="HTML1_12" hidden="1">"Aswath:Adobe SiteMill™ 1.0.2:MyHomePage:FCFF3.html"</definedName>
    <definedName name="HTML1_2" hidden="1">1</definedName>
    <definedName name="HTML1_3" hidden="1">"FCFF3"</definedName>
    <definedName name="HTML1_4" hidden="1">"Three-Stage FCFF Model"</definedName>
    <definedName name="HTML1_5" hidden="1">""</definedName>
    <definedName name="HTML1_6" hidden="1">-4146</definedName>
    <definedName name="HTML1_7" hidden="1">-4146</definedName>
    <definedName name="HTML1_8" hidden="1">"10/22/96"</definedName>
    <definedName name="HTML1_9" hidden="1">"Aswath Damodaran"</definedName>
    <definedName name="HTMLCount" hidden="1">1</definedName>
    <definedName name="IQ_1_4_FAMILY_JUNIOR_LIENS_CHARGE_OFFS_FDIC" hidden="1">"c6605"</definedName>
    <definedName name="IQ_1_4_FAMILY_JUNIOR_LIENS_NET_CHARGE_OFFS_FDIC" hidden="1">"c6643"</definedName>
    <definedName name="IQ_1_4_FAMILY_JUNIOR_LIENS_RECOVERIES_FDIC" hidden="1">"c6624"</definedName>
    <definedName name="IQ_1_4_FAMILY_SENIOR_LIENS_CHARGE_OFFS_FDIC" hidden="1">"c6604"</definedName>
    <definedName name="IQ_1_4_FAMILY_SENIOR_LIENS_NET_CHARGE_OFFS_FDIC" hidden="1">"c6642"</definedName>
    <definedName name="IQ_1_4_FAMILY_SENIOR_LIENS_RECOVERIES_FDIC" hidden="1">"c6623"</definedName>
    <definedName name="IQ_1_4_HOME_EQUITY_NET_LOANS_FDIC" hidden="1">"c6441"</definedName>
    <definedName name="IQ_1_4_RESIDENTIAL_FIRST_LIENS_NET_LOANS_FDIC" hidden="1">"c6439"</definedName>
    <definedName name="IQ_1_4_RESIDENTIAL_JUNIOR_LIENS_NET_LOANS_FDIC" hidden="1">"c6440"</definedName>
    <definedName name="IQ_1_4_RESIDENTIAL_LOANS_FDIC" hidden="1">"c6310"</definedName>
    <definedName name="IQ_ACCOUNT_CHANGE" hidden="1">"c413"</definedName>
    <definedName name="IQ_ACCOUNTS_PAY" hidden="1">"c32"</definedName>
    <definedName name="IQ_ACCR_INT_PAY" hidden="1">"c1"</definedName>
    <definedName name="IQ_ACCR_INT_PAY_CF" hidden="1">"c2"</definedName>
    <definedName name="IQ_ACCR_INT_RECEIV" hidden="1">"c3"</definedName>
    <definedName name="IQ_ACCR_INT_RECEIV_CF" hidden="1">"c4"</definedName>
    <definedName name="IQ_ACCRUED_EXP" hidden="1">"c8"</definedName>
    <definedName name="IQ_ACCT_RECV_10YR_ANN_GROWTH" hidden="1">"c1924"</definedName>
    <definedName name="IQ_ACCT_RECV_1YR_ANN_GROWTH" hidden="1">"c1919"</definedName>
    <definedName name="IQ_ACCT_RECV_2YR_ANN_GROWTH" hidden="1">"c1920"</definedName>
    <definedName name="IQ_ACCT_RECV_3YR_ANN_GROWTH" hidden="1">"c1921"</definedName>
    <definedName name="IQ_ACCT_RECV_5YR_ANN_GROWTH" hidden="1">"c1922"</definedName>
    <definedName name="IQ_ACCT_RECV_7YR_ANN_GROWTH" hidden="1">"c1923"</definedName>
    <definedName name="IQ_ACCUM_DEP" hidden="1">"c7"</definedName>
    <definedName name="IQ_ACCUMULATED_PENSION_OBLIGATION" hidden="1">"c2108"</definedName>
    <definedName name="IQ_ACCUMULATED_PENSION_OBLIGATION_DOMESTIC" hidden="1">"c2657"</definedName>
    <definedName name="IQ_ACCUMULATED_PENSION_OBLIGATION_FOREIGN" hidden="1">"c2665"</definedName>
    <definedName name="IQ_ACQ_COST_SUB" hidden="1">"c2125"</definedName>
    <definedName name="IQ_ACQ_COSTS_CAPITALIZED" hidden="1">"c5"</definedName>
    <definedName name="IQ_ACQUIRE_REAL_ESTATE_CF" hidden="1">"c6"</definedName>
    <definedName name="IQ_ACQUIRED_BY_REPORTING_BANK_FDIC" hidden="1">"c6535"</definedName>
    <definedName name="IQ_ACQUISITION_RE_ASSETS" hidden="1">"c1628"</definedName>
    <definedName name="IQ_AD" hidden="1">"c7"</definedName>
    <definedName name="IQ_ADD_PAID_IN" hidden="1">"c39"</definedName>
    <definedName name="IQ_ADDIN" hidden="1">"AUTO"</definedName>
    <definedName name="IQ_ADDITIONAL_NON_INT_INC_FDIC" hidden="1">"c6574"</definedName>
    <definedName name="IQ_ADJ_AVG_BANK_ASSETS" hidden="1">"c2671"</definedName>
    <definedName name="IQ_ADJUSTABLE_RATE_LOANS_FDIC" hidden="1">"c6375"</definedName>
    <definedName name="IQ_ADMIN_RATIO" hidden="1">"c2784"</definedName>
    <definedName name="IQ_ADVERTISING" hidden="1">"c2246"</definedName>
    <definedName name="IQ_ADVERTISING_MARKETING" hidden="1">"c1566"</definedName>
    <definedName name="IQ_AE" hidden="1">"c8"</definedName>
    <definedName name="IQ_AE_BNK" hidden="1">"c9"</definedName>
    <definedName name="IQ_AE_BR" hidden="1">"c10"</definedName>
    <definedName name="IQ_AE_FIN" hidden="1">"c11"</definedName>
    <definedName name="IQ_AE_INS" hidden="1">"c12"</definedName>
    <definedName name="IQ_AE_REIT" hidden="1">"c13"</definedName>
    <definedName name="IQ_AE_UTI" hidden="1">"c14"</definedName>
    <definedName name="IQ_AFTER_TAX_INCOME_FDIC" hidden="1">"c6583"</definedName>
    <definedName name="IQ_AGRICULTURAL_PRODUCTION_CHARGE_OFFS_FDIC" hidden="1">"c6597"</definedName>
    <definedName name="IQ_AGRICULTURAL_PRODUCTION_CHARGE_OFFS_LESS_THAN_300M_FDIC" hidden="1">"c6655"</definedName>
    <definedName name="IQ_AGRICULTURAL_PRODUCTION_NET_CHARGE_OFFS_FDIC" hidden="1">"c6635"</definedName>
    <definedName name="IQ_AGRICULTURAL_PRODUCTION_NET_CHARGE_OFFS_LESS_THAN_300M_FDIC" hidden="1">"c6657"</definedName>
    <definedName name="IQ_AGRICULTURAL_PRODUCTION_RECOVERIES_FDIC" hidden="1">"c6616"</definedName>
    <definedName name="IQ_AGRICULTURAL_PRODUCTION_RECOVERIES_LESS_THAN_300M_FDIC" hidden="1">"c6656"</definedName>
    <definedName name="IQ_AH_EARNED" hidden="1">"c2744"</definedName>
    <definedName name="IQ_AH_POLICY_BENEFITS_EXP" hidden="1">"c2789"</definedName>
    <definedName name="IQ_AIR_AIRPLANES_NOT_IN_SERVICE" hidden="1">"c2842"</definedName>
    <definedName name="IQ_AIR_AIRPLANES_SUBLEASED" hidden="1">"c2841"</definedName>
    <definedName name="IQ_AIR_ASK" hidden="1">"c2813"</definedName>
    <definedName name="IQ_AIR_ASK_INCREASE" hidden="1">"c2826"</definedName>
    <definedName name="IQ_AIR_ASM" hidden="1">"c2812"</definedName>
    <definedName name="IQ_AIR_ASM_INCREASE" hidden="1">"c2825"</definedName>
    <definedName name="IQ_AIR_AVG_AGE" hidden="1">"c2843"</definedName>
    <definedName name="IQ_AIR_BREAK_EVEN_FACTOR" hidden="1">"c2822"</definedName>
    <definedName name="IQ_AIR_CAPITAL_LEASE" hidden="1">"c2833"</definedName>
    <definedName name="IQ_AIR_COMPLETION_FACTOR" hidden="1">"c2824"</definedName>
    <definedName name="IQ_AIR_ENPLANED_PSGRS" hidden="1">"c2809"</definedName>
    <definedName name="IQ_AIR_FUEL_CONSUMED" hidden="1">"c2806"</definedName>
    <definedName name="IQ_AIR_FUEL_CONSUMED_L" hidden="1">"c2807"</definedName>
    <definedName name="IQ_AIR_FUEL_COST" hidden="1">"c2803"</definedName>
    <definedName name="IQ_AIR_FUEL_COST_L" hidden="1">"c2804"</definedName>
    <definedName name="IQ_AIR_FUEL_EXP" hidden="1">"c2802"</definedName>
    <definedName name="IQ_AIR_FUEL_EXP_PERCENT" hidden="1">"c2805"</definedName>
    <definedName name="IQ_AIR_LEASED" hidden="1">"c2835"</definedName>
    <definedName name="IQ_AIR_LOAD_FACTOR" hidden="1">"c2823"</definedName>
    <definedName name="IQ_AIR_NEW_AIRPLANES" hidden="1">"c2839"</definedName>
    <definedName name="IQ_AIR_OPER_EXP_ASK" hidden="1">"c2821"</definedName>
    <definedName name="IQ_AIR_OPER_EXP_ASM" hidden="1">"c2820"</definedName>
    <definedName name="IQ_AIR_OPER_LEASE" hidden="1">"c2834"</definedName>
    <definedName name="IQ_AIR_OPER_REV_YIELD_ASK" hidden="1">"c2819"</definedName>
    <definedName name="IQ_AIR_OPER_REV_YIELD_ASM" hidden="1">"c2818"</definedName>
    <definedName name="IQ_AIR_OPTIONS" hidden="1">"c2837"</definedName>
    <definedName name="IQ_AIR_ORDERS" hidden="1">"c2836"</definedName>
    <definedName name="IQ_AIR_OWNED" hidden="1">"c2832"</definedName>
    <definedName name="IQ_AIR_PSGR_REV_YIELD_ASK" hidden="1">"c2817"</definedName>
    <definedName name="IQ_AIR_PSGR_REV_YIELD_ASM" hidden="1">"c2816"</definedName>
    <definedName name="IQ_AIR_PSGR_REV_YIELD_RPK" hidden="1">"c2815"</definedName>
    <definedName name="IQ_AIR_PSGR_REV_YIELD_RPM" hidden="1">"c2814"</definedName>
    <definedName name="IQ_AIR_PURCHASE_RIGHTS" hidden="1">"c2838"</definedName>
    <definedName name="IQ_AIR_RETIRED_AIRPLANES" hidden="1">"c2840"</definedName>
    <definedName name="IQ_AIR_REV_PSGRS_CARRIED" hidden="1">"c2808"</definedName>
    <definedName name="IQ_AIR_REV_SCHEDULED_SERVICE" hidden="1">"c2830"</definedName>
    <definedName name="IQ_AIR_RPK" hidden="1">"c2811"</definedName>
    <definedName name="IQ_AIR_RPM" hidden="1">"c2810"</definedName>
    <definedName name="IQ_AIR_STAGE_LENGTH" hidden="1">"c2828"</definedName>
    <definedName name="IQ_AIR_STAGE_LENGTH_KM" hidden="1">"c2829"</definedName>
    <definedName name="IQ_AIR_TOTAL" hidden="1">"c2831"</definedName>
    <definedName name="IQ_AIR_UTILIZATION" hidden="1">"c2827"</definedName>
    <definedName name="IQ_ALLOW_BORROW_CONST" hidden="1">"c15"</definedName>
    <definedName name="IQ_ALLOW_CONST" hidden="1">"c16"</definedName>
    <definedName name="IQ_ALLOW_DOUBT_ACCT" hidden="1">"c2092"</definedName>
    <definedName name="IQ_ALLOW_EQUITY_CONST" hidden="1">"c16"</definedName>
    <definedName name="IQ_ALLOW_LL" hidden="1">"c17"</definedName>
    <definedName name="IQ_ALLOWANCE_10YR_ANN_GROWTH" hidden="1">"c18"</definedName>
    <definedName name="IQ_ALLOWANCE_1YR_ANN_GROWTH" hidden="1">"c19"</definedName>
    <definedName name="IQ_ALLOWANCE_2YR_ANN_GROWTH" hidden="1">"c20"</definedName>
    <definedName name="IQ_ALLOWANCE_3YR_ANN_GROWTH" hidden="1">"c21"</definedName>
    <definedName name="IQ_ALLOWANCE_5YR_ANN_GROWTH" hidden="1">"c22"</definedName>
    <definedName name="IQ_ALLOWANCE_7YR_ANN_GROWTH" hidden="1">"c23"</definedName>
    <definedName name="IQ_ALLOWANCE_CHARGE_OFFS" hidden="1">"c24"</definedName>
    <definedName name="IQ_ALLOWANCE_NON_PERF_LOANS" hidden="1">"c25"</definedName>
    <definedName name="IQ_ALLOWANCE_TOTAL_LOANS" hidden="1">"c26"</definedName>
    <definedName name="IQ_AMENDED_BALANCE_PREVIOUS_YR_FDIC" hidden="1">"c6499"</definedName>
    <definedName name="IQ_AMORT_EXPENSE_FDIC" hidden="1">"c6677"</definedName>
    <definedName name="IQ_AMORTIZATION" hidden="1">"c1471"</definedName>
    <definedName name="IQ_AMORTIZED_COST_FDIC" hidden="1">"c6426"</definedName>
    <definedName name="IQ_ANNU_DISTRIBUTION_UNIT" hidden="1">"c3004"</definedName>
    <definedName name="IQ_ANNUALIZED_DIVIDEND" hidden="1">"c1579"</definedName>
    <definedName name="IQ_ANNUITY_LIAB" hidden="1">"c27"</definedName>
    <definedName name="IQ_ANNUITY_PAY" hidden="1">"c28"</definedName>
    <definedName name="IQ_ANNUITY_POLICY_EXP" hidden="1">"c29"</definedName>
    <definedName name="IQ_ANNUITY_REC" hidden="1">"c30"</definedName>
    <definedName name="IQ_ANNUITY_REV" hidden="1">"c31"</definedName>
    <definedName name="IQ_AP" hidden="1">"c32"</definedName>
    <definedName name="IQ_AP_BNK" hidden="1">"c33"</definedName>
    <definedName name="IQ_AP_BR" hidden="1">"c34"</definedName>
    <definedName name="IQ_AP_FIN" hidden="1">"c35"</definedName>
    <definedName name="IQ_AP_INS" hidden="1">"c36"</definedName>
    <definedName name="IQ_AP_REIT" hidden="1">"c37"</definedName>
    <definedName name="IQ_AP_UTI" hidden="1">"c38"</definedName>
    <definedName name="IQ_APIC" hidden="1">"c39"</definedName>
    <definedName name="IQ_AR" hidden="1">"c40"</definedName>
    <definedName name="IQ_AR_BR" hidden="1">"c41"</definedName>
    <definedName name="IQ_AR_LT" hidden="1">"c42"</definedName>
    <definedName name="IQ_AR_REIT" hidden="1">"c43"</definedName>
    <definedName name="IQ_AR_TURNS" hidden="1">"c44"</definedName>
    <definedName name="IQ_AR_UTI" hidden="1">"c45"</definedName>
    <definedName name="IQ_ARPU" hidden="1">"c2126"</definedName>
    <definedName name="IQ_ASSET_BACKED_FDIC" hidden="1">"c6301"</definedName>
    <definedName name="IQ_ASSET_MGMT_FEE" hidden="1">"c46"</definedName>
    <definedName name="IQ_ASSET_TURNS" hidden="1">"c47"</definedName>
    <definedName name="IQ_ASSET_WRITEDOWN" hidden="1">"c48"</definedName>
    <definedName name="IQ_ASSET_WRITEDOWN_BNK" hidden="1">"c49"</definedName>
    <definedName name="IQ_ASSET_WRITEDOWN_BR" hidden="1">"c50"</definedName>
    <definedName name="IQ_ASSET_WRITEDOWN_CF" hidden="1">"c51"</definedName>
    <definedName name="IQ_ASSET_WRITEDOWN_CF_BNK" hidden="1">"c52"</definedName>
    <definedName name="IQ_ASSET_WRITEDOWN_CF_BR" hidden="1">"c53"</definedName>
    <definedName name="IQ_ASSET_WRITEDOWN_CF_FIN" hidden="1">"c54"</definedName>
    <definedName name="IQ_ASSET_WRITEDOWN_CF_INS" hidden="1">"c55"</definedName>
    <definedName name="IQ_ASSET_WRITEDOWN_CF_REIT" hidden="1">"c56"</definedName>
    <definedName name="IQ_ASSET_WRITEDOWN_CF_UTI" hidden="1">"c57"</definedName>
    <definedName name="IQ_ASSET_WRITEDOWN_FIN" hidden="1">"c58"</definedName>
    <definedName name="IQ_ASSET_WRITEDOWN_INS" hidden="1">"c59"</definedName>
    <definedName name="IQ_ASSET_WRITEDOWN_REIT" hidden="1">"c60"</definedName>
    <definedName name="IQ_ASSET_WRITEDOWN_UTI" hidden="1">"c61"</definedName>
    <definedName name="IQ_ASSETS_CAP_LEASE_DEPR" hidden="1">"c2068"</definedName>
    <definedName name="IQ_ASSETS_CAP_LEASE_GROSS" hidden="1">"c2069"</definedName>
    <definedName name="IQ_ASSETS_HELD_FDIC" hidden="1">"c6305"</definedName>
    <definedName name="IQ_ASSETS_OPER_LEASE_DEPR" hidden="1">"c2070"</definedName>
    <definedName name="IQ_ASSETS_OPER_LEASE_GROSS" hidden="1">"c2071"</definedName>
    <definedName name="IQ_ASSETS_PER_EMPLOYEE_FDIC" hidden="1">"c6737"</definedName>
    <definedName name="IQ_ASSETS_SOLD_1_4_FAMILY_LOANS_FDIC" hidden="1">"c6686"</definedName>
    <definedName name="IQ_ASSETS_SOLD_AUTO_LOANS_FDIC" hidden="1">"c6680"</definedName>
    <definedName name="IQ_ASSETS_SOLD_CL_LOANS_FDIC" hidden="1">"c6681"</definedName>
    <definedName name="IQ_ASSETS_SOLD_CREDIT_CARDS_RECEIVABLES_FDIC" hidden="1">"c6683"</definedName>
    <definedName name="IQ_ASSETS_SOLD_HOME_EQUITY_LINES_FDIC" hidden="1">"c6684"</definedName>
    <definedName name="IQ_ASSETS_SOLD_OTHER_CONSUMER_LOANS_FDIC" hidden="1">"c6682"</definedName>
    <definedName name="IQ_ASSETS_SOLD_OTHER_LOANS_FDIC" hidden="1">"c6685"</definedName>
    <definedName name="IQ_ASSUMED_AH_EARNED" hidden="1">"c2741"</definedName>
    <definedName name="IQ_ASSUMED_EARNED" hidden="1">"c2731"</definedName>
    <definedName name="IQ_ASSUMED_LIFE_EARNED" hidden="1">"c2736"</definedName>
    <definedName name="IQ_ASSUMED_LIFE_IN_FORCE" hidden="1">"c2766"</definedName>
    <definedName name="IQ_ASSUMED_PC_EARNED" hidden="1">"c2746"</definedName>
    <definedName name="IQ_ASSUMED_WRITTEN" hidden="1">"c2725"</definedName>
    <definedName name="IQ_AUDITOR_NAME" hidden="1">"c1539"</definedName>
    <definedName name="IQ_AUDITOR_OPINION" hidden="1">"c1540"</definedName>
    <definedName name="IQ_AUTO_WRITTEN" hidden="1">"c62"</definedName>
    <definedName name="IQ_AVAILABLE_FOR_SALE_FDIC" hidden="1">"c6409"</definedName>
    <definedName name="IQ_AVERAGE_ASSETS_FDIC" hidden="1">"c6362"</definedName>
    <definedName name="IQ_AVERAGE_ASSETS_QUART_FDIC" hidden="1">"c6363"</definedName>
    <definedName name="IQ_AVERAGE_EARNING_ASSETS_FDIC" hidden="1">"c6748"</definedName>
    <definedName name="IQ_AVERAGE_EQUITY_FDIC" hidden="1">"c6749"</definedName>
    <definedName name="IQ_AVERAGE_LOANS_FDIC" hidden="1">"c6750"</definedName>
    <definedName name="IQ_AVG_BANK_ASSETS" hidden="1">"c2072"</definedName>
    <definedName name="IQ_AVG_BANK_LOANS" hidden="1">"c2073"</definedName>
    <definedName name="IQ_AVG_BROKER_REC" hidden="1">"c63"</definedName>
    <definedName name="IQ_AVG_BROKER_REC_NO" hidden="1">"c64"</definedName>
    <definedName name="IQ_AVG_DAILY_VOL" hidden="1">"c65"</definedName>
    <definedName name="IQ_AVG_INT_BEAR_LIAB" hidden="1">"c66"</definedName>
    <definedName name="IQ_AVG_INT_BEAR_LIAB_10YR_ANN_GROWTH" hidden="1">"c67"</definedName>
    <definedName name="IQ_AVG_INT_BEAR_LIAB_1YR_ANN_GROWTH" hidden="1">"c68"</definedName>
    <definedName name="IQ_AVG_INT_BEAR_LIAB_2YR_ANN_GROWTH" hidden="1">"c69"</definedName>
    <definedName name="IQ_AVG_INT_BEAR_LIAB_3YR_ANN_GROWTH" hidden="1">"c70"</definedName>
    <definedName name="IQ_AVG_INT_BEAR_LIAB_5YR_ANN_GROWTH" hidden="1">"c71"</definedName>
    <definedName name="IQ_AVG_INT_BEAR_LIAB_7YR_ANN_GROWTH" hidden="1">"c72"</definedName>
    <definedName name="IQ_AVG_INT_EARN_ASSETS" hidden="1">"c73"</definedName>
    <definedName name="IQ_AVG_INT_EARN_ASSETS_10YR_ANN_GROWTH" hidden="1">"c74"</definedName>
    <definedName name="IQ_AVG_INT_EARN_ASSETS_1YR_ANN_GROWTH" hidden="1">"c75"</definedName>
    <definedName name="IQ_AVG_INT_EARN_ASSETS_2YR_ANN_GROWTH" hidden="1">"c76"</definedName>
    <definedName name="IQ_AVG_INT_EARN_ASSETS_3YR_ANN_GROWTH" hidden="1">"c77"</definedName>
    <definedName name="IQ_AVG_INT_EARN_ASSETS_5YR_ANN_GROWTH" hidden="1">"c78"</definedName>
    <definedName name="IQ_AVG_INT_EARN_ASSETS_7YR_ANN_GROWTH" hidden="1">"c79"</definedName>
    <definedName name="IQ_AVG_MKTCAP" hidden="1">"c80"</definedName>
    <definedName name="IQ_AVG_PRICE" hidden="1">"c81"</definedName>
    <definedName name="IQ_AVG_PRICE_TARGET" hidden="1">"c82"</definedName>
    <definedName name="IQ_AVG_SHAREOUTSTANDING" hidden="1">"c83"</definedName>
    <definedName name="IQ_AVG_TEV" hidden="1">"c84"</definedName>
    <definedName name="IQ_AVG_VOLUME" hidden="1">"c65"</definedName>
    <definedName name="IQ_BALANCE_GOODS_APR_FC_UNUSED_UNUSED_UNUSED" hidden="1">"c8353"</definedName>
    <definedName name="IQ_BALANCE_GOODS_APR_UNUSED_UNUSED_UNUSED" hidden="1">"c7473"</definedName>
    <definedName name="IQ_BALANCE_GOODS_FC_UNUSED_UNUSED_UNUSED" hidden="1">"c7693"</definedName>
    <definedName name="IQ_BALANCE_GOODS_POP_FC_UNUSED_UNUSED_UNUSED" hidden="1">"c7913"</definedName>
    <definedName name="IQ_BALANCE_GOODS_POP_UNUSED_UNUSED_UNUSED" hidden="1">"c7033"</definedName>
    <definedName name="IQ_BALANCE_GOODS_UNUSED_UNUSED_UNUSED" hidden="1">"c6813"</definedName>
    <definedName name="IQ_BALANCE_GOODS_YOY_FC_UNUSED_UNUSED_UNUSED" hidden="1">"c8133"</definedName>
    <definedName name="IQ_BALANCE_GOODS_YOY_UNUSED_UNUSED_UNUSED" hidden="1">"c7253"</definedName>
    <definedName name="IQ_BALANCE_SERV_APR_FC_UNUSED_UNUSED_UNUSED" hidden="1">"c8355"</definedName>
    <definedName name="IQ_BALANCE_SERV_APR_UNUSED_UNUSED_UNUSED" hidden="1">"c7475"</definedName>
    <definedName name="IQ_BALANCE_SERV_FC_UNUSED_UNUSED_UNUSED" hidden="1">"c7695"</definedName>
    <definedName name="IQ_BALANCE_SERV_POP_FC_UNUSED_UNUSED_UNUSED" hidden="1">"c7915"</definedName>
    <definedName name="IQ_BALANCE_SERV_POP_UNUSED_UNUSED_UNUSED" hidden="1">"c7035"</definedName>
    <definedName name="IQ_BALANCE_SERV_UNUSED_UNUSED_UNUSED" hidden="1">"c6815"</definedName>
    <definedName name="IQ_BALANCE_SERV_YOY_FC_UNUSED_UNUSED_UNUSED" hidden="1">"c8135"</definedName>
    <definedName name="IQ_BALANCE_SERV_YOY_UNUSED_UNUSED_UNUSED" hidden="1">"c7255"</definedName>
    <definedName name="IQ_BALANCE_TRADE_APR_FC_UNUSED_UNUSED_UNUSED" hidden="1">"c8357"</definedName>
    <definedName name="IQ_BALANCE_TRADE_APR_UNUSED_UNUSED_UNUSED" hidden="1">"c7477"</definedName>
    <definedName name="IQ_BALANCE_TRADE_FC_UNUSED_UNUSED_UNUSED" hidden="1">"c7697"</definedName>
    <definedName name="IQ_BALANCE_TRADE_POP_FC_UNUSED_UNUSED_UNUSED" hidden="1">"c7917"</definedName>
    <definedName name="IQ_BALANCE_TRADE_POP_UNUSED_UNUSED_UNUSED" hidden="1">"c7037"</definedName>
    <definedName name="IQ_BALANCE_TRADE_UNUSED_UNUSED_UNUSED" hidden="1">"c6817"</definedName>
    <definedName name="IQ_BALANCE_TRADE_YOY_FC_UNUSED_UNUSED_UNUSED" hidden="1">"c8137"</definedName>
    <definedName name="IQ_BALANCE_TRADE_YOY_UNUSED_UNUSED_UNUSED" hidden="1">"c7257"</definedName>
    <definedName name="IQ_BALANCES_DUE_DEPOSITORY_INSTITUTIONS_FDIC" hidden="1">"c6389"</definedName>
    <definedName name="IQ_BALANCES_DUE_FOREIGN_FDIC" hidden="1">"c6391"</definedName>
    <definedName name="IQ_BALANCES_DUE_FRB_FDIC" hidden="1">"c6393"</definedName>
    <definedName name="IQ_BANK_BENEFICIARY_FDIC" hidden="1">"c6505"</definedName>
    <definedName name="IQ_BANK_DEBT" hidden="1">"c2544"</definedName>
    <definedName name="IQ_BANK_DEBT_PCT" hidden="1">"c2545"</definedName>
    <definedName name="IQ_BANK_GUARANTOR_FDIC" hidden="1">"c6506"</definedName>
    <definedName name="IQ_BANK_PREMISES_FDIC" hidden="1">"c6329"</definedName>
    <definedName name="IQ_BANK_SECURITIZATION_1_4_FAMILY_LOANS_FDIC" hidden="1">"c6721"</definedName>
    <definedName name="IQ_BANK_SECURITIZATION_AUTO_LOANS_FDIC" hidden="1">"c6715"</definedName>
    <definedName name="IQ_BANK_SECURITIZATION_CL_LOANS_FDIC" hidden="1">"c6716"</definedName>
    <definedName name="IQ_BANK_SECURITIZATION_CREDIT_CARDS_RECEIVABLES_FDIC" hidden="1">"c6718"</definedName>
    <definedName name="IQ_BANK_SECURITIZATION_HOME_EQUITY_LINES_FDIC" hidden="1">"c6719"</definedName>
    <definedName name="IQ_BANK_SECURITIZATION_OTHER_CONSUMER_LOANS_FDIC" hidden="1">"c6717"</definedName>
    <definedName name="IQ_BANK_SECURITIZATION_OTHER_LOANS_FDIC" hidden="1">"c6720"</definedName>
    <definedName name="IQ_BANKS_FOREIGN_COUNTRIES_TOTAL_DEPOSITS_FDIC" hidden="1">"c6475"</definedName>
    <definedName name="IQ_BASIC_EPS_EXCL" hidden="1">"c85"</definedName>
    <definedName name="IQ_BASIC_EPS_INCL" hidden="1">"c86"</definedName>
    <definedName name="IQ_BASIC_NORMAL_EPS" hidden="1">"c1592"</definedName>
    <definedName name="IQ_BASIC_WEIGHT" hidden="1">"c87"</definedName>
    <definedName name="IQ_BETA" hidden="1">"c88"</definedName>
    <definedName name="IQ_BETA_1YR" hidden="1">"c1966"</definedName>
    <definedName name="IQ_BETA_1YR_RSQ" hidden="1">"c2132"</definedName>
    <definedName name="IQ_BETA_2YR" hidden="1">"c1965"</definedName>
    <definedName name="IQ_BETA_2YR_RSQ" hidden="1">"c2131"</definedName>
    <definedName name="IQ_BETA_5YR" hidden="1">"c88"</definedName>
    <definedName name="IQ_BETA_5YR_RSQ" hidden="1">"c2130"</definedName>
    <definedName name="IQ_BIG_INT_BEAR_CD" hidden="1">"c89"</definedName>
    <definedName name="IQ_BOARD_MEMBER" hidden="1">"c96"</definedName>
    <definedName name="IQ_BOARD_MEMBER_BACKGROUND" hidden="1">"c2101"</definedName>
    <definedName name="IQ_BOARD_MEMBER_FAX" hidden="1">"c2100"</definedName>
    <definedName name="IQ_BOARD_MEMBER_OFFICE" hidden="1">"c2098"</definedName>
    <definedName name="IQ_BOARD_MEMBER_PHONE" hidden="1">"c2099"</definedName>
    <definedName name="IQ_BOARD_MEMBER_TITLE" hidden="1">"c97"</definedName>
    <definedName name="IQ_BONDRATING_FITCH" hidden="1">"c223"</definedName>
    <definedName name="IQ_BONDRATING_FITCH_DATE" hidden="1">"c241"</definedName>
    <definedName name="IQ_BONDRATING_SP" hidden="1">"c224"</definedName>
    <definedName name="IQ_BONDRATING_SP_DATE" hidden="1">"c242"</definedName>
    <definedName name="IQ_BROK_COMISSION" hidden="1">"c98"</definedName>
    <definedName name="IQ_BROKERED_DEPOSITS_FDIC" hidden="1">"c6486"</definedName>
    <definedName name="IQ_BUDGET_BALANCE_APR_FC_UNUSED_UNUSED_UNUSED" hidden="1">"c8359"</definedName>
    <definedName name="IQ_BUDGET_BALANCE_APR_UNUSED_UNUSED_UNUSED" hidden="1">"c7479"</definedName>
    <definedName name="IQ_BUDGET_BALANCE_FC_UNUSED_UNUSED_UNUSED" hidden="1">"c7699"</definedName>
    <definedName name="IQ_BUDGET_BALANCE_POP_FC_UNUSED_UNUSED_UNUSED" hidden="1">"c7919"</definedName>
    <definedName name="IQ_BUDGET_BALANCE_POP_UNUSED_UNUSED_UNUSED" hidden="1">"c7039"</definedName>
    <definedName name="IQ_BUDGET_BALANCE_UNUSED_UNUSED_UNUSED" hidden="1">"c6819"</definedName>
    <definedName name="IQ_BUDGET_BALANCE_YOY_FC_UNUSED_UNUSED_UNUSED" hidden="1">"c8139"</definedName>
    <definedName name="IQ_BUDGET_BALANCE_YOY_UNUSED_UNUSED_UNUSED" hidden="1">"c7259"</definedName>
    <definedName name="IQ_BUDGET_RECEIPTS_APR_FC_UNUSED_UNUSED_UNUSED" hidden="1">"c8361"</definedName>
    <definedName name="IQ_BUDGET_RECEIPTS_APR_UNUSED_UNUSED_UNUSED" hidden="1">"c7481"</definedName>
    <definedName name="IQ_BUDGET_RECEIPTS_FC_UNUSED_UNUSED_UNUSED" hidden="1">"c7701"</definedName>
    <definedName name="IQ_BUDGET_RECEIPTS_POP_FC_UNUSED_UNUSED_UNUSED" hidden="1">"c7921"</definedName>
    <definedName name="IQ_BUDGET_RECEIPTS_POP_UNUSED_UNUSED_UNUSED" hidden="1">"c7041"</definedName>
    <definedName name="IQ_BUDGET_RECEIPTS_UNUSED_UNUSED_UNUSED" hidden="1">"c6821"</definedName>
    <definedName name="IQ_BUDGET_RECEIPTS_YOY_FC_UNUSED_UNUSED_UNUSED" hidden="1">"c8141"</definedName>
    <definedName name="IQ_BUDGET_RECEIPTS_YOY_UNUSED_UNUSED_UNUSED" hidden="1">"c7261"</definedName>
    <definedName name="IQ_BUILDINGS" hidden="1">"c99"</definedName>
    <definedName name="IQ_BUSINESS_DESCRIPTION" hidden="1">"c322"</definedName>
    <definedName name="IQ_BV_ACT_OR_EST_REUT" hidden="1">"c5471"</definedName>
    <definedName name="IQ_BV_ACT_OR_EST_THOM" hidden="1">"c5308"</definedName>
    <definedName name="IQ_BV_EST_REUT" hidden="1">"c5403"</definedName>
    <definedName name="IQ_BV_EST_THOM" hidden="1">"c5147"</definedName>
    <definedName name="IQ_BV_HIGH_EST_REUT" hidden="1">"c5405"</definedName>
    <definedName name="IQ_BV_HIGH_EST_THOM" hidden="1">"c5149"</definedName>
    <definedName name="IQ_BV_LOW_EST_REUT" hidden="1">"c5406"</definedName>
    <definedName name="IQ_BV_LOW_EST_THOM" hidden="1">"c5150"</definedName>
    <definedName name="IQ_BV_MEDIAN_EST_REUT" hidden="1">"c5404"</definedName>
    <definedName name="IQ_BV_MEDIAN_EST_THOM" hidden="1">"c5148"</definedName>
    <definedName name="IQ_BV_NUM_EST_REUT" hidden="1">"c5407"</definedName>
    <definedName name="IQ_BV_NUM_EST_THOM" hidden="1">"c5151"</definedName>
    <definedName name="IQ_BV_OVER_SHARES" hidden="1">"c100"</definedName>
    <definedName name="IQ_BV_SHARE" hidden="1">"c100"</definedName>
    <definedName name="IQ_BV_STDDEV_EST_REUT" hidden="1">"c5408"</definedName>
    <definedName name="IQ_BV_STDDEV_EST_THOM" hidden="1">"c5152"</definedName>
    <definedName name="IQ_CABLE_ARPU" hidden="1">"c2869"</definedName>
    <definedName name="IQ_CABLE_ARPU_ANALOG" hidden="1">"c2864"</definedName>
    <definedName name="IQ_CABLE_ARPU_BASIC" hidden="1">"c2866"</definedName>
    <definedName name="IQ_CABLE_ARPU_BBAND" hidden="1">"c2867"</definedName>
    <definedName name="IQ_CABLE_ARPU_DIG" hidden="1">"c2865"</definedName>
    <definedName name="IQ_CABLE_ARPU_PHONE" hidden="1">"c2868"</definedName>
    <definedName name="IQ_CABLE_BASIC_PENETRATION" hidden="1">"c2850"</definedName>
    <definedName name="IQ_CABLE_BBAND_PENETRATION" hidden="1">"c2852"</definedName>
    <definedName name="IQ_CABLE_BBAND_PENETRATION_THP" hidden="1">"c2851"</definedName>
    <definedName name="IQ_CABLE_CHURN" hidden="1">"c2874"</definedName>
    <definedName name="IQ_CABLE_CHURN_BASIC" hidden="1">"c2871"</definedName>
    <definedName name="IQ_CABLE_CHURN_BBAND" hidden="1">"c2872"</definedName>
    <definedName name="IQ_CABLE_CHURN_DIG" hidden="1">"c2870"</definedName>
    <definedName name="IQ_CABLE_CHURN_PHONE" hidden="1">"c2873"</definedName>
    <definedName name="IQ_CABLE_HOMES_PER_MILE" hidden="1">"c2849"</definedName>
    <definedName name="IQ_CABLE_HP_BBAND" hidden="1">"c2845"</definedName>
    <definedName name="IQ_CABLE_HP_DIG" hidden="1">"c2844"</definedName>
    <definedName name="IQ_CABLE_HP_PHONE" hidden="1">"c2846"</definedName>
    <definedName name="IQ_CABLE_MILES_PASSED" hidden="1">"c2848"</definedName>
    <definedName name="IQ_CABLE_OTHER_REV" hidden="1">"c2882"</definedName>
    <definedName name="IQ_CABLE_PHONE_PENETRATION" hidden="1">"c2853"</definedName>
    <definedName name="IQ_CABLE_PROGRAMMING_COSTS" hidden="1">"c2884"</definedName>
    <definedName name="IQ_CABLE_REV_ADVERT" hidden="1">"c2880"</definedName>
    <definedName name="IQ_CABLE_REV_ANALOG" hidden="1">"c2875"</definedName>
    <definedName name="IQ_CABLE_REV_BASIC" hidden="1">"c2877"</definedName>
    <definedName name="IQ_CABLE_REV_BBAND" hidden="1">"c2878"</definedName>
    <definedName name="IQ_CABLE_REV_COMMERCIAL" hidden="1">"c2881"</definedName>
    <definedName name="IQ_CABLE_REV_DIG" hidden="1">"c2876"</definedName>
    <definedName name="IQ_CABLE_REV_PHONE" hidden="1">"c2879"</definedName>
    <definedName name="IQ_CABLE_RGU" hidden="1">"c2863"</definedName>
    <definedName name="IQ_CABLE_SUBS_ANALOG" hidden="1">"c2855"</definedName>
    <definedName name="IQ_CABLE_SUBS_BASIC" hidden="1">"c2857"</definedName>
    <definedName name="IQ_CABLE_SUBS_BBAND" hidden="1">"c2858"</definedName>
    <definedName name="IQ_CABLE_SUBS_BUNDLED" hidden="1">"c2861"</definedName>
    <definedName name="IQ_CABLE_SUBS_DIG" hidden="1">"c2856"</definedName>
    <definedName name="IQ_CABLE_SUBS_NON_VIDEO" hidden="1">"c2860"</definedName>
    <definedName name="IQ_CABLE_SUBS_PHONE" hidden="1">"c2859"</definedName>
    <definedName name="IQ_CABLE_SUBS_TOTAL" hidden="1">"c2862"</definedName>
    <definedName name="IQ_CABLE_THP" hidden="1">"c2847"</definedName>
    <definedName name="IQ_CABLE_TOTAL_PENETRATION" hidden="1">"c2854"</definedName>
    <definedName name="IQ_CABLE_TOTAL_REV" hidden="1">"c2883"</definedName>
    <definedName name="IQ_CAL_Q" hidden="1">"c101"</definedName>
    <definedName name="IQ_CAL_Y" hidden="1">"c102"</definedName>
    <definedName name="IQ_CALC_TYPE_BS" hidden="1">"c3086"</definedName>
    <definedName name="IQ_CALC_TYPE_CF" hidden="1">"c3085"</definedName>
    <definedName name="IQ_CALC_TYPE_IS" hidden="1">"c3084"</definedName>
    <definedName name="IQ_CAP_LOSS_CF_1YR" hidden="1">"c3474"</definedName>
    <definedName name="IQ_CAP_LOSS_CF_2YR" hidden="1">"c3475"</definedName>
    <definedName name="IQ_CAP_LOSS_CF_3YR" hidden="1">"c3476"</definedName>
    <definedName name="IQ_CAP_LOSS_CF_4YR" hidden="1">"c3477"</definedName>
    <definedName name="IQ_CAP_LOSS_CF_5YR" hidden="1">"c3478"</definedName>
    <definedName name="IQ_CAP_LOSS_CF_AFTER_FIVE" hidden="1">"c3479"</definedName>
    <definedName name="IQ_CAP_LOSS_CF_MAX_YEAR" hidden="1">"c3482"</definedName>
    <definedName name="IQ_CAP_LOSS_CF_NO_EXP" hidden="1">"c3480"</definedName>
    <definedName name="IQ_CAP_LOSS_CF_TOTAL" hidden="1">"c3481"</definedName>
    <definedName name="IQ_CAPEX" hidden="1">"c103"</definedName>
    <definedName name="IQ_CAPEX_10YR_ANN_GROWTH" hidden="1">"c104"</definedName>
    <definedName name="IQ_CAPEX_1YR_ANN_GROWTH" hidden="1">"c105"</definedName>
    <definedName name="IQ_CAPEX_2YR_ANN_GROWTH" hidden="1">"c106"</definedName>
    <definedName name="IQ_CAPEX_3YR_ANN_GROWTH" hidden="1">"c107"</definedName>
    <definedName name="IQ_CAPEX_5YR_ANN_GROWTH" hidden="1">"c108"</definedName>
    <definedName name="IQ_CAPEX_7YR_ANN_GROWTH" hidden="1">"c109"</definedName>
    <definedName name="IQ_CAPEX_BNK" hidden="1">"c110"</definedName>
    <definedName name="IQ_CAPEX_BR" hidden="1">"c111"</definedName>
    <definedName name="IQ_CAPEX_FIN" hidden="1">"c112"</definedName>
    <definedName name="IQ_CAPEX_INS" hidden="1">"c113"</definedName>
    <definedName name="IQ_CAPEX_UTI" hidden="1">"c114"</definedName>
    <definedName name="IQ_CAPITAL_LEASE" hidden="1">"c115"</definedName>
    <definedName name="IQ_CAPITAL_LEASES" hidden="1">"c115"</definedName>
    <definedName name="IQ_CAPITAL_LEASES_TOTAL" hidden="1">"c3031"</definedName>
    <definedName name="IQ_CAPITAL_LEASES_TOTAL_PCT" hidden="1">"c2506"</definedName>
    <definedName name="IQ_CAPITALIZED_INTEREST" hidden="1">"c2076"</definedName>
    <definedName name="IQ_CAPITALIZED_INTEREST_BOP" hidden="1">"c3459"</definedName>
    <definedName name="IQ_CAPITALIZED_INTEREST_EOP" hidden="1">"c3464"</definedName>
    <definedName name="IQ_CAPITALIZED_INTEREST_EXP" hidden="1">"c3461"</definedName>
    <definedName name="IQ_CAPITALIZED_INTEREST_OTHER_ADJ" hidden="1">"c3463"</definedName>
    <definedName name="IQ_CAPITALIZED_INTEREST_WRITE_OFF" hidden="1">"c3462"</definedName>
    <definedName name="IQ_CASH" hidden="1">"c118"</definedName>
    <definedName name="IQ_CASH_ACQUIRE_CF" hidden="1">"c1630"</definedName>
    <definedName name="IQ_CASH_CONVERSION" hidden="1">"c117"</definedName>
    <definedName name="IQ_CASH_DIVIDENDS_NET_INCOME_FDIC" hidden="1">"c6738"</definedName>
    <definedName name="IQ_CASH_DUE_BANKS" hidden="1">"c118"</definedName>
    <definedName name="IQ_CASH_EQUIV" hidden="1">"c118"</definedName>
    <definedName name="IQ_CASH_FINAN" hidden="1">"c119"</definedName>
    <definedName name="IQ_CASH_IN_PROCESS_FDIC" hidden="1">"c6386"</definedName>
    <definedName name="IQ_CASH_INTEREST" hidden="1">"c120"</definedName>
    <definedName name="IQ_CASH_INVEST" hidden="1">"c121"</definedName>
    <definedName name="IQ_CASH_OPER" hidden="1">"c122"</definedName>
    <definedName name="IQ_CASH_OPER_ACT_OR_EST" hidden="1">"c4164"</definedName>
    <definedName name="IQ_CASH_SEGREG" hidden="1">"c123"</definedName>
    <definedName name="IQ_CASH_SHARE" hidden="1">"c1911"</definedName>
    <definedName name="IQ_CASH_ST" hidden="1">"c124"</definedName>
    <definedName name="IQ_CASH_ST_INVEST" hidden="1">"c124"</definedName>
    <definedName name="IQ_CASH_TAXES" hidden="1">"c125"</definedName>
    <definedName name="IQ_CCE_FDIC" hidden="1">"c6296"</definedName>
    <definedName name="IQ_CEDED_AH_EARNED" hidden="1">"c2743"</definedName>
    <definedName name="IQ_CEDED_CLAIM_EXP_INCUR" hidden="1">"c2756"</definedName>
    <definedName name="IQ_CEDED_CLAIM_EXP_PAID" hidden="1">"c2759"</definedName>
    <definedName name="IQ_CEDED_CLAIM_EXP_RES" hidden="1">"c2753"</definedName>
    <definedName name="IQ_CEDED_EARNED" hidden="1">"c2733"</definedName>
    <definedName name="IQ_CEDED_LIFE_EARNED" hidden="1">"c2738"</definedName>
    <definedName name="IQ_CEDED_LIFE_IN_FORCE" hidden="1">"c2768"</definedName>
    <definedName name="IQ_CEDED_PC_EARNED" hidden="1">"c2748"</definedName>
    <definedName name="IQ_CEDED_WRITTEN" hidden="1">"c2727"</definedName>
    <definedName name="IQ_CFO_10YR_ANN_GROWTH" hidden="1">"c126"</definedName>
    <definedName name="IQ_CFO_1YR_ANN_GROWTH" hidden="1">"c127"</definedName>
    <definedName name="IQ_CFO_2YR_ANN_GROWTH" hidden="1">"c128"</definedName>
    <definedName name="IQ_CFO_3YR_ANN_GROWTH" hidden="1">"c129"</definedName>
    <definedName name="IQ_CFO_5YR_ANN_GROWTH" hidden="1">"c130"</definedName>
    <definedName name="IQ_CFO_7YR_ANN_GROWTH" hidden="1">"c131"</definedName>
    <definedName name="IQ_CFO_CURRENT_LIAB" hidden="1">"c132"</definedName>
    <definedName name="IQ_CFPS_DET_EST_REUT_CURRENCY_CURRENCY_REUT" hidden="1">"c12526"</definedName>
    <definedName name="IQ_CH">110000</definedName>
    <definedName name="IQ_CHANGE_AP" hidden="1">"c133"</definedName>
    <definedName name="IQ_CHANGE_AP_BNK" hidden="1">"c134"</definedName>
    <definedName name="IQ_CHANGE_AP_BR" hidden="1">"c135"</definedName>
    <definedName name="IQ_CHANGE_AP_FIN" hidden="1">"c136"</definedName>
    <definedName name="IQ_CHANGE_AP_INS" hidden="1">"c137"</definedName>
    <definedName name="IQ_CHANGE_AP_REIT" hidden="1">"c138"</definedName>
    <definedName name="IQ_CHANGE_AP_UTI" hidden="1">"c139"</definedName>
    <definedName name="IQ_CHANGE_AR" hidden="1">"c140"</definedName>
    <definedName name="IQ_CHANGE_AR_BNK" hidden="1">"c141"</definedName>
    <definedName name="IQ_CHANGE_AR_BR" hidden="1">"c142"</definedName>
    <definedName name="IQ_CHANGE_AR_FIN" hidden="1">"c143"</definedName>
    <definedName name="IQ_CHANGE_AR_INS" hidden="1">"c144"</definedName>
    <definedName name="IQ_CHANGE_AR_REIT" hidden="1">"c145"</definedName>
    <definedName name="IQ_CHANGE_AR_UTI" hidden="1">"c146"</definedName>
    <definedName name="IQ_CHANGE_DEF_TAX" hidden="1">"c147"</definedName>
    <definedName name="IQ_CHANGE_DEPOSIT_ACCT" hidden="1">"c148"</definedName>
    <definedName name="IQ_CHANGE_INC_TAX" hidden="1">"c149"</definedName>
    <definedName name="IQ_CHANGE_INS_RES_LIAB" hidden="1">"c150"</definedName>
    <definedName name="IQ_CHANGE_INVENT_REAL_APR_FC_UNUSED_UNUSED_UNUSED" hidden="1">"c8500"</definedName>
    <definedName name="IQ_CHANGE_INVENT_REAL_APR_UNUSED_UNUSED_UNUSED" hidden="1">"c7620"</definedName>
    <definedName name="IQ_CHANGE_INVENT_REAL_FC_UNUSED_UNUSED_UNUSED" hidden="1">"c7840"</definedName>
    <definedName name="IQ_CHANGE_INVENT_REAL_POP_FC_UNUSED_UNUSED_UNUSED" hidden="1">"c8060"</definedName>
    <definedName name="IQ_CHANGE_INVENT_REAL_POP_UNUSED_UNUSED_UNUSED" hidden="1">"c7180"</definedName>
    <definedName name="IQ_CHANGE_INVENT_REAL_UNUSED_UNUSED_UNUSED" hidden="1">"c6960"</definedName>
    <definedName name="IQ_CHANGE_INVENT_REAL_YOY_FC_UNUSED_UNUSED_UNUSED" hidden="1">"c8280"</definedName>
    <definedName name="IQ_CHANGE_INVENT_REAL_YOY_UNUSED_UNUSED_UNUSED" hidden="1">"c7400"</definedName>
    <definedName name="IQ_CHANGE_INVENTORY" hidden="1">"c151"</definedName>
    <definedName name="IQ_CHANGE_NET_OPER_ASSETS" hidden="1">"c3592"</definedName>
    <definedName name="IQ_CHANGE_NET_WORKING_CAPITAL" hidden="1">"c1909"</definedName>
    <definedName name="IQ_CHANGE_OTHER_NET_OPER_ASSETS" hidden="1">"c3593"</definedName>
    <definedName name="IQ_CHANGE_OTHER_NET_OPER_ASSETS_BNK" hidden="1">"c3594"</definedName>
    <definedName name="IQ_CHANGE_OTHER_NET_OPER_ASSETS_BR" hidden="1">"c3595"</definedName>
    <definedName name="IQ_CHANGE_OTHER_NET_OPER_ASSETS_FIN" hidden="1">"c3596"</definedName>
    <definedName name="IQ_CHANGE_OTHER_NET_OPER_ASSETS_INS" hidden="1">"c3597"</definedName>
    <definedName name="IQ_CHANGE_OTHER_NET_OPER_ASSETS_REIT" hidden="1">"c3598"</definedName>
    <definedName name="IQ_CHANGE_OTHER_NET_OPER_ASSETS_UTI" hidden="1">"c3599"</definedName>
    <definedName name="IQ_CHANGE_OTHER_WORK_CAP" hidden="1">"c152"</definedName>
    <definedName name="IQ_CHANGE_OTHER_WORK_CAP_BNK" hidden="1">"c153"</definedName>
    <definedName name="IQ_CHANGE_OTHER_WORK_CAP_BR" hidden="1">"c154"</definedName>
    <definedName name="IQ_CHANGE_OTHER_WORK_CAP_FIN" hidden="1">"c155"</definedName>
    <definedName name="IQ_CHANGE_OTHER_WORK_CAP_INS" hidden="1">"c156"</definedName>
    <definedName name="IQ_CHANGE_OTHER_WORK_CAP_REIT" hidden="1">"c157"</definedName>
    <definedName name="IQ_CHANGE_OTHER_WORK_CAP_UTI" hidden="1">"c158"</definedName>
    <definedName name="IQ_CHANGE_TRADING_ASSETS" hidden="1">"c159"</definedName>
    <definedName name="IQ_CHANGE_UNEARN_REV" hidden="1">"c160"</definedName>
    <definedName name="IQ_CHANGE_WORK_CAP" hidden="1">"c161"</definedName>
    <definedName name="IQ_CHANGES_WORK_CAP" hidden="1">"c161"</definedName>
    <definedName name="IQ_CHARGE_OFFS_1_4_FAMILY_FDIC" hidden="1">"c6756"</definedName>
    <definedName name="IQ_CHARGE_OFFS_1_4_FAMILY_LOANS_FDIC" hidden="1">"c6714"</definedName>
    <definedName name="IQ_CHARGE_OFFS_AUTO_LOANS_FDIC" hidden="1">"c6708"</definedName>
    <definedName name="IQ_CHARGE_OFFS_CL_LOANS_FDIC" hidden="1">"c6709"</definedName>
    <definedName name="IQ_CHARGE_OFFS_COMMERCIAL_INDUSTRIAL_FDIC" hidden="1">"c6759"</definedName>
    <definedName name="IQ_CHARGE_OFFS_COMMERCIAL_RE_FDIC" hidden="1">"c6754"</definedName>
    <definedName name="IQ_CHARGE_OFFS_COMMERCIAL_RE_NOT_SECURED_FDIC" hidden="1">"c6764"</definedName>
    <definedName name="IQ_CHARGE_OFFS_CONSTRUCTION_DEVELOPMENT_FDIC" hidden="1">"c6753"</definedName>
    <definedName name="IQ_CHARGE_OFFS_CREDIT_CARDS_FDIC" hidden="1">"c6761"</definedName>
    <definedName name="IQ_CHARGE_OFFS_CREDIT_CARDS_RECEIVABLES_FDIC" hidden="1">"c6711"</definedName>
    <definedName name="IQ_CHARGE_OFFS_GROSS" hidden="1">"c162"</definedName>
    <definedName name="IQ_CHARGE_OFFS_HOME_EQUITY_FDIC" hidden="1">"c6757"</definedName>
    <definedName name="IQ_CHARGE_OFFS_HOME_EQUITY_LINES_FDIC" hidden="1">"c6712"</definedName>
    <definedName name="IQ_CHARGE_OFFS_INDIVIDUALS_FDIC" hidden="1">"c6760"</definedName>
    <definedName name="IQ_CHARGE_OFFS_MULTI_FAMILY_FDIC" hidden="1">"c6755"</definedName>
    <definedName name="IQ_CHARGE_OFFS_NET" hidden="1">"c163"</definedName>
    <definedName name="IQ_CHARGE_OFFS_OTHER_1_4_FAMILY_FDIC" hidden="1">"c6758"</definedName>
    <definedName name="IQ_CHARGE_OFFS_OTHER_CONSUMER_LOANS_FDIC" hidden="1">"c6710"</definedName>
    <definedName name="IQ_CHARGE_OFFS_OTHER_INDIVIDUAL_FDIC" hidden="1">"c6762"</definedName>
    <definedName name="IQ_CHARGE_OFFS_OTHER_LOANS_FDIC" hidden="1">"c6763"</definedName>
    <definedName name="IQ_CHARGE_OFFS_OTHER_LOANS_OTHER_FDIC" hidden="1">"c6713"</definedName>
    <definedName name="IQ_CHARGE_OFFS_RE_LOANS_FDIC" hidden="1">"c6752"</definedName>
    <definedName name="IQ_CHARGE_OFFS_RECOVERED" hidden="1">"c164"</definedName>
    <definedName name="IQ_CHARGE_OFFS_TOTAL_AVG_LOANS" hidden="1">"c165"</definedName>
    <definedName name="IQ_CITY" hidden="1">"c166"</definedName>
    <definedName name="IQ_CL_DUE_AFTER_FIVE" hidden="1">"c167"</definedName>
    <definedName name="IQ_CL_DUE_CY" hidden="1">"c168"</definedName>
    <definedName name="IQ_CL_DUE_CY1" hidden="1">"c169"</definedName>
    <definedName name="IQ_CL_DUE_CY2" hidden="1">"c170"</definedName>
    <definedName name="IQ_CL_DUE_CY3" hidden="1">"c171"</definedName>
    <definedName name="IQ_CL_DUE_CY4" hidden="1">"c172"</definedName>
    <definedName name="IQ_CL_DUE_NEXT_FIVE" hidden="1">"c173"</definedName>
    <definedName name="IQ_CL_OBLIGATION_IMMEDIATE" hidden="1">"c2253"</definedName>
    <definedName name="IQ_CLASSA_OPTIONS_BEG_OS" hidden="1">"c2679"</definedName>
    <definedName name="IQ_CLASSA_OPTIONS_CANCELLED" hidden="1">"c2682"</definedName>
    <definedName name="IQ_CLASSA_OPTIONS_END_OS" hidden="1">"c2683"</definedName>
    <definedName name="IQ_CLASSA_OPTIONS_EXERCISED" hidden="1">"c2681"</definedName>
    <definedName name="IQ_CLASSA_OPTIONS_GRANTED" hidden="1">"c2680"</definedName>
    <definedName name="IQ_CLASSA_OPTIONS_STRIKE_PRICE_OS" hidden="1">"c2684"</definedName>
    <definedName name="IQ_CLASSA_OUTSTANDING_BS_DATE" hidden="1">"c1971"</definedName>
    <definedName name="IQ_CLASSA_OUTSTANDING_FILING_DATE" hidden="1">"c1973"</definedName>
    <definedName name="IQ_CLASSA_STRIKE_PRICE_GRANTED" hidden="1">"c2685"</definedName>
    <definedName name="IQ_CLASSA_WARRANTS_BEG_OS" hidden="1">"c2705"</definedName>
    <definedName name="IQ_CLASSA_WARRANTS_CANCELLED" hidden="1">"c2708"</definedName>
    <definedName name="IQ_CLASSA_WARRANTS_END_OS" hidden="1">"c2709"</definedName>
    <definedName name="IQ_CLASSA_WARRANTS_EXERCISED" hidden="1">"c2707"</definedName>
    <definedName name="IQ_CLASSA_WARRANTS_ISSUED" hidden="1">"c2706"</definedName>
    <definedName name="IQ_CLASSA_WARRANTS_STRIKE_PRICE_ISSUED" hidden="1">"c2711"</definedName>
    <definedName name="IQ_CLASSA_WARRANTS_STRIKE_PRICE_OS" hidden="1">"c2710"</definedName>
    <definedName name="IQ_CLASSB_OUTSTANDING_BS_DATE" hidden="1">"c1972"</definedName>
    <definedName name="IQ_CLASSB_OUTSTANDING_FILING_DATE" hidden="1">"c1974"</definedName>
    <definedName name="IQ_CLOSEPRICE" hidden="1">"c174"</definedName>
    <definedName name="IQ_CLOSEPRICE_ADJ" hidden="1">"c2115"</definedName>
    <definedName name="IQ_CMO_FDIC" hidden="1">"c6406"</definedName>
    <definedName name="IQ_COGS" hidden="1">"c175"</definedName>
    <definedName name="IQ_COLLECTION_DOMESTIC_FDIC" hidden="1">"c6387"</definedName>
    <definedName name="IQ_COMBINED_RATIO" hidden="1">"c176"</definedName>
    <definedName name="IQ_COMMERCIAL_BANKS_DEPOSITS_FOREIGN_FDIC" hidden="1">"c6480"</definedName>
    <definedName name="IQ_COMMERCIAL_BANKS_LOANS_FDIC" hidden="1">"c6434"</definedName>
    <definedName name="IQ_COMMERCIAL_BANKS_NONTRANSACTION_ACCOUNTS_FDIC" hidden="1">"c6548"</definedName>
    <definedName name="IQ_COMMERCIAL_BANKS_TOTAL_DEPOSITS_FDIC" hidden="1">"c6474"</definedName>
    <definedName name="IQ_COMMERCIAL_BANKS_TOTAL_LOANS_FOREIGN_FDIC" hidden="1">"c6444"</definedName>
    <definedName name="IQ_COMMERCIAL_BANKS_TRANSACTION_ACCOUNTS_FDIC" hidden="1">"c6540"</definedName>
    <definedName name="IQ_COMMERCIAL_DOM" hidden="1">"c177"</definedName>
    <definedName name="IQ_COMMERCIAL_FIRE_WRITTEN" hidden="1">"c178"</definedName>
    <definedName name="IQ_COMMERCIAL_INDUSTRIAL_CHARGE_OFFS_FDIC" hidden="1">"c6598"</definedName>
    <definedName name="IQ_COMMERCIAL_INDUSTRIAL_LOANS_NET_FDIC" hidden="1">"c6317"</definedName>
    <definedName name="IQ_COMMERCIAL_INDUSTRIAL_NET_CHARGE_OFFS_FDIC" hidden="1">"c6636"</definedName>
    <definedName name="IQ_COMMERCIAL_INDUSTRIAL_RECOVERIES_FDIC" hidden="1">"c6617"</definedName>
    <definedName name="IQ_COMMERCIAL_INDUSTRIAL_TOTAL_LOANS_FOREIGN_FDIC" hidden="1">"c6451"</definedName>
    <definedName name="IQ_COMMERCIAL_MORT" hidden="1">"c179"</definedName>
    <definedName name="IQ_COMMERCIAL_RE_CONSTRUCTION_LAND_DEV_FDIC" hidden="1">"c6526"</definedName>
    <definedName name="IQ_COMMERCIAL_RE_LOANS_FDIC" hidden="1">"c6312"</definedName>
    <definedName name="IQ_COMMISS_FEES" hidden="1">"c180"</definedName>
    <definedName name="IQ_COMMISSION_DEF" hidden="1">"c181"</definedName>
    <definedName name="IQ_COMMITMENTS_MATURITY_EXCEEDING_1YR_FDIC" hidden="1">"c6531"</definedName>
    <definedName name="IQ_COMMITMENTS_NOT_SECURED_RE_FDIC" hidden="1">"c6528"</definedName>
    <definedName name="IQ_COMMITMENTS_SECURED_RE_FDIC" hidden="1">"c6527"</definedName>
    <definedName name="IQ_COMMODITY_EXPOSURES_FDIC" hidden="1">"c6665"</definedName>
    <definedName name="IQ_COMMON" hidden="1">"c182"</definedName>
    <definedName name="IQ_COMMON_APIC" hidden="1">"c183"</definedName>
    <definedName name="IQ_COMMON_APIC_BNK" hidden="1">"c184"</definedName>
    <definedName name="IQ_COMMON_APIC_BR" hidden="1">"c185"</definedName>
    <definedName name="IQ_COMMON_APIC_FIN" hidden="1">"c186"</definedName>
    <definedName name="IQ_COMMON_APIC_INS" hidden="1">"c187"</definedName>
    <definedName name="IQ_COMMON_APIC_REIT" hidden="1">"c188"</definedName>
    <definedName name="IQ_COMMON_APIC_UTI" hidden="1">"c189"</definedName>
    <definedName name="IQ_COMMON_DIV" hidden="1">"c3006"</definedName>
    <definedName name="IQ_COMMON_DIV_CF" hidden="1">"c190"</definedName>
    <definedName name="IQ_COMMON_EQUITY_10YR_ANN_GROWTH" hidden="1">"c191"</definedName>
    <definedName name="IQ_COMMON_EQUITY_1YR_ANN_GROWTH" hidden="1">"c192"</definedName>
    <definedName name="IQ_COMMON_EQUITY_2YR_ANN_GROWTH" hidden="1">"c193"</definedName>
    <definedName name="IQ_COMMON_EQUITY_3YR_ANN_GROWTH" hidden="1">"c194"</definedName>
    <definedName name="IQ_COMMON_EQUITY_5YR_ANN_GROWTH" hidden="1">"c195"</definedName>
    <definedName name="IQ_COMMON_EQUITY_7YR_ANN_GROWTH" hidden="1">"c196"</definedName>
    <definedName name="IQ_COMMON_FDIC" hidden="1">"c6350"</definedName>
    <definedName name="IQ_COMMON_ISSUED" hidden="1">"c197"</definedName>
    <definedName name="IQ_COMMON_ISSUED_BNK" hidden="1">"c198"</definedName>
    <definedName name="IQ_COMMON_ISSUED_BR" hidden="1">"c199"</definedName>
    <definedName name="IQ_COMMON_ISSUED_FIN" hidden="1">"c200"</definedName>
    <definedName name="IQ_COMMON_ISSUED_INS" hidden="1">"c201"</definedName>
    <definedName name="IQ_COMMON_ISSUED_REIT" hidden="1">"c202"</definedName>
    <definedName name="IQ_COMMON_ISSUED_UTI" hidden="1">"c203"</definedName>
    <definedName name="IQ_COMMON_PER_ADR" hidden="1">"c204"</definedName>
    <definedName name="IQ_COMMON_PREF_DIV_CF" hidden="1">"c205"</definedName>
    <definedName name="IQ_COMMON_REP" hidden="1">"c206"</definedName>
    <definedName name="IQ_COMMON_REP_BNK" hidden="1">"c207"</definedName>
    <definedName name="IQ_COMMON_REP_BR" hidden="1">"c208"</definedName>
    <definedName name="IQ_COMMON_REP_FIN" hidden="1">"c209"</definedName>
    <definedName name="IQ_COMMON_REP_INS" hidden="1">"c210"</definedName>
    <definedName name="IQ_COMMON_REP_REIT" hidden="1">"c211"</definedName>
    <definedName name="IQ_COMMON_REP_UTI" hidden="1">"c212"</definedName>
    <definedName name="IQ_COMMON_STOCK" hidden="1">"c182"</definedName>
    <definedName name="IQ_COMP_BENEFITS" hidden="1">"c213"</definedName>
    <definedName name="IQ_COMPANY_ADDRESS" hidden="1">"c214"</definedName>
    <definedName name="IQ_COMPANY_ID" hidden="1">"c3513"</definedName>
    <definedName name="IQ_COMPANY_NAME" hidden="1">"c215"</definedName>
    <definedName name="IQ_COMPANY_NAME_LONG" hidden="1">"c1585"</definedName>
    <definedName name="IQ_COMPANY_PHONE" hidden="1">"c216"</definedName>
    <definedName name="IQ_COMPANY_STATUS" hidden="1">"c2097"</definedName>
    <definedName name="IQ_COMPANY_STREET1" hidden="1">"c217"</definedName>
    <definedName name="IQ_COMPANY_STREET2" hidden="1">"c218"</definedName>
    <definedName name="IQ_COMPANY_TICKER" hidden="1">"c219"</definedName>
    <definedName name="IQ_COMPANY_TYPE" hidden="1">"c2096"</definedName>
    <definedName name="IQ_COMPANY_WEBSITE" hidden="1">"c220"</definedName>
    <definedName name="IQ_COMPANY_ZIP" hidden="1">"c221"</definedName>
    <definedName name="IQ_CONSTRUCTION_DEV_LOANS_FDIC" hidden="1">"c6313"</definedName>
    <definedName name="IQ_CONSTRUCTION_LAND_DEVELOPMENT_CHARGE_OFFS_FDIC" hidden="1">"c6594"</definedName>
    <definedName name="IQ_CONSTRUCTION_LAND_DEVELOPMENT_NET_CHARGE_OFFS_FDIC" hidden="1">"c6632"</definedName>
    <definedName name="IQ_CONSTRUCTION_LAND_DEVELOPMENT_RECOVERIES_FDIC" hidden="1">"c6613"</definedName>
    <definedName name="IQ_CONSTRUCTION_LOANS" hidden="1">"c222"</definedName>
    <definedName name="IQ_CONSUMER_LOANS" hidden="1">"c223"</definedName>
    <definedName name="IQ_CONTRACTS_OTHER_COMMODITIES_EQUITIES._FDIC" hidden="1">"c6522"</definedName>
    <definedName name="IQ_CONTRACTS_OTHER_COMMODITIES_EQUITIES_FDIC" hidden="1">"c6522"</definedName>
    <definedName name="IQ_CONV_RATE" hidden="1">"c2192"</definedName>
    <definedName name="IQ_CONVERT" hidden="1">"c2536"</definedName>
    <definedName name="IQ_CONVERT_DEBT" hidden="1">"c224"</definedName>
    <definedName name="IQ_CONVERT_PCT" hidden="1">"c2537"</definedName>
    <definedName name="IQ_CONVEYED_TO_OTHERS_FDIC" hidden="1">"c6534"</definedName>
    <definedName name="IQ_CORE_CAPITAL_RATIO_FDIC" hidden="1">"c6745"</definedName>
    <definedName name="IQ_CORP_GOODS_PRICE_INDEX_APR_FC_UNUSED_UNUSED_UNUSED" hidden="1">"c8381"</definedName>
    <definedName name="IQ_CORP_GOODS_PRICE_INDEX_APR_UNUSED_UNUSED_UNUSED" hidden="1">"c7501"</definedName>
    <definedName name="IQ_CORP_GOODS_PRICE_INDEX_FC_UNUSED_UNUSED_UNUSED" hidden="1">"c7721"</definedName>
    <definedName name="IQ_CORP_GOODS_PRICE_INDEX_POP_FC_UNUSED_UNUSED_UNUSED" hidden="1">"c7941"</definedName>
    <definedName name="IQ_CORP_GOODS_PRICE_INDEX_POP_UNUSED_UNUSED_UNUSED" hidden="1">"c7061"</definedName>
    <definedName name="IQ_CORP_GOODS_PRICE_INDEX_UNUSED_UNUSED_UNUSED" hidden="1">"c6841"</definedName>
    <definedName name="IQ_CORP_GOODS_PRICE_INDEX_YOY_FC_UNUSED_UNUSED_UNUSED" hidden="1">"c8161"</definedName>
    <definedName name="IQ_CORP_GOODS_PRICE_INDEX_YOY_UNUSED_UNUSED_UNUSED" hidden="1">"c7281"</definedName>
    <definedName name="IQ_COST_BORROWING" hidden="1">"c2936"</definedName>
    <definedName name="IQ_COST_BORROWINGS" hidden="1">"c225"</definedName>
    <definedName name="IQ_COST_OF_FUNDING_ASSETS_FDIC" hidden="1">"c6725"</definedName>
    <definedName name="IQ_COST_REV" hidden="1">"c226"</definedName>
    <definedName name="IQ_COST_REVENUE" hidden="1">"c226"</definedName>
    <definedName name="IQ_COST_SAVINGS" hidden="1">"c227"</definedName>
    <definedName name="IQ_COST_SERVICE" hidden="1">"c228"</definedName>
    <definedName name="IQ_COST_TOTAL_BORROWINGS" hidden="1">"c229"</definedName>
    <definedName name="IQ_COUNTRY_NAME" hidden="1">"c230"</definedName>
    <definedName name="IQ_COVERED_POPS" hidden="1">"c2124"</definedName>
    <definedName name="IQ_CP" hidden="1">"c2495"</definedName>
    <definedName name="IQ_CP_PCT" hidden="1">"c2496"</definedName>
    <definedName name="IQ_CQ">5000</definedName>
    <definedName name="IQ_CREDIT_CARD_CHARGE_OFFS_FDIC" hidden="1">"c6652"</definedName>
    <definedName name="IQ_CREDIT_CARD_FEE" hidden="1">"c231"</definedName>
    <definedName name="IQ_CREDIT_CARD_FEE_BNK" hidden="1">"c231"</definedName>
    <definedName name="IQ_CREDIT_CARD_FEE_FIN" hidden="1">"c1583"</definedName>
    <definedName name="IQ_CREDIT_CARD_LINES_FDIC" hidden="1">"c6525"</definedName>
    <definedName name="IQ_CREDIT_CARD_LOANS_FDIC" hidden="1">"c6319"</definedName>
    <definedName name="IQ_CREDIT_CARD_NET_CHARGE_OFFS_FDIC" hidden="1">"c6654"</definedName>
    <definedName name="IQ_CREDIT_CARD_RECOVERIES_FDIC" hidden="1">"c6653"</definedName>
    <definedName name="IQ_CREDIT_LOSS_CF" hidden="1">"c232"</definedName>
    <definedName name="IQ_CREDIT_LOSS_PROVISION_NET_CHARGE_OFFS_FDIC" hidden="1">"c6734"</definedName>
    <definedName name="IQ_CUMULATIVE_SPLIT_FACTOR" hidden="1">"c2094"</definedName>
    <definedName name="IQ_CURR_ACCT_BALANCE_APR_FC_UNUSED_UNUSED_UNUSED" hidden="1">"c8387"</definedName>
    <definedName name="IQ_CURR_ACCT_BALANCE_APR_UNUSED_UNUSED_UNUSED" hidden="1">"c7507"</definedName>
    <definedName name="IQ_CURR_ACCT_BALANCE_FC_UNUSED_UNUSED_UNUSED" hidden="1">"c7727"</definedName>
    <definedName name="IQ_CURR_ACCT_BALANCE_POP_FC_UNUSED_UNUSED_UNUSED" hidden="1">"c7947"</definedName>
    <definedName name="IQ_CURR_ACCT_BALANCE_POP_UNUSED_UNUSED_UNUSED" hidden="1">"c7067"</definedName>
    <definedName name="IQ_CURR_ACCT_BALANCE_UNUSED_UNUSED_UNUSED" hidden="1">"c6847"</definedName>
    <definedName name="IQ_CURR_ACCT_BALANCE_YOY_FC_UNUSED_UNUSED_UNUSED" hidden="1">"c8167"</definedName>
    <definedName name="IQ_CURR_ACCT_BALANCE_YOY_UNUSED_UNUSED_UNUSED" hidden="1">"c7287"</definedName>
    <definedName name="IQ_CURR_DOMESTIC_TAXES" hidden="1">"c2074"</definedName>
    <definedName name="IQ_CURR_FOREIGN_TAXES" hidden="1">"c2075"</definedName>
    <definedName name="IQ_CURRENCY_COIN_DOMESTIC_FDIC" hidden="1">"c6388"</definedName>
    <definedName name="IQ_CURRENCY_FACTOR_BS" hidden="1">"c233"</definedName>
    <definedName name="IQ_CURRENCY_FACTOR_IS" hidden="1">"c234"</definedName>
    <definedName name="IQ_CURRENCY_GAIN" hidden="1">"c235"</definedName>
    <definedName name="IQ_CURRENCY_GAIN_BR" hidden="1">"c236"</definedName>
    <definedName name="IQ_CURRENCY_GAIN_FIN" hidden="1">"c237"</definedName>
    <definedName name="IQ_CURRENCY_GAIN_INS" hidden="1">"c238"</definedName>
    <definedName name="IQ_CURRENCY_GAIN_REIT" hidden="1">"c239"</definedName>
    <definedName name="IQ_CURRENCY_GAIN_UTI" hidden="1">"c240"</definedName>
    <definedName name="IQ_CURRENT_PORT" hidden="1">"c241"</definedName>
    <definedName name="IQ_CURRENT_PORT_BNK" hidden="1">"c242"</definedName>
    <definedName name="IQ_CURRENT_PORT_DEBT" hidden="1">"c243"</definedName>
    <definedName name="IQ_CURRENT_PORT_DEBT_BNK" hidden="1">"c244"</definedName>
    <definedName name="IQ_CURRENT_PORT_DEBT_BR" hidden="1">"c1567"</definedName>
    <definedName name="IQ_CURRENT_PORT_DEBT_FIN" hidden="1">"c1568"</definedName>
    <definedName name="IQ_CURRENT_PORT_DEBT_INS" hidden="1">"c1569"</definedName>
    <definedName name="IQ_CURRENT_PORT_DEBT_REIT" hidden="1">"c1570"</definedName>
    <definedName name="IQ_CURRENT_PORT_DEBT_UTI" hidden="1">"c1571"</definedName>
    <definedName name="IQ_CURRENT_PORT_LEASES" hidden="1">"c245"</definedName>
    <definedName name="IQ_CURRENT_PORT_PCT" hidden="1">"c2541"</definedName>
    <definedName name="IQ_CURRENT_RATIO" hidden="1">"c246"</definedName>
    <definedName name="IQ_CY">10000</definedName>
    <definedName name="IQ_DA" hidden="1">"c247"</definedName>
    <definedName name="IQ_DA_BR" hidden="1">"c248"</definedName>
    <definedName name="IQ_DA_CF" hidden="1">"c249"</definedName>
    <definedName name="IQ_DA_CF_BNK" hidden="1">"c250"</definedName>
    <definedName name="IQ_DA_CF_BR" hidden="1">"c251"</definedName>
    <definedName name="IQ_DA_CF_FIN" hidden="1">"c252"</definedName>
    <definedName name="IQ_DA_CF_INS" hidden="1">"c253"</definedName>
    <definedName name="IQ_DA_CF_REIT" hidden="1">"c254"</definedName>
    <definedName name="IQ_DA_CF_UTI" hidden="1">"c255"</definedName>
    <definedName name="IQ_DA_FIN" hidden="1">"c256"</definedName>
    <definedName name="IQ_DA_INS" hidden="1">"c257"</definedName>
    <definedName name="IQ_DA_REIT" hidden="1">"c258"</definedName>
    <definedName name="IQ_DA_SUPPL" hidden="1">"c259"</definedName>
    <definedName name="IQ_DA_SUPPL_BR" hidden="1">"c260"</definedName>
    <definedName name="IQ_DA_SUPPL_CF" hidden="1">"c261"</definedName>
    <definedName name="IQ_DA_SUPPL_CF_BNK" hidden="1">"c262"</definedName>
    <definedName name="IQ_DA_SUPPL_CF_BR" hidden="1">"c263"</definedName>
    <definedName name="IQ_DA_SUPPL_CF_FIN" hidden="1">"c264"</definedName>
    <definedName name="IQ_DA_SUPPL_CF_INS" hidden="1">"c265"</definedName>
    <definedName name="IQ_DA_SUPPL_CF_REIT" hidden="1">"c266"</definedName>
    <definedName name="IQ_DA_SUPPL_CF_UTI" hidden="1">"c267"</definedName>
    <definedName name="IQ_DA_SUPPL_FIN" hidden="1">"c268"</definedName>
    <definedName name="IQ_DA_SUPPL_INS" hidden="1">"c269"</definedName>
    <definedName name="IQ_DA_SUPPL_REIT" hidden="1">"c270"</definedName>
    <definedName name="IQ_DA_SUPPL_UTI" hidden="1">"c271"</definedName>
    <definedName name="IQ_DA_UTI" hidden="1">"c272"</definedName>
    <definedName name="IQ_DAILY">500000</definedName>
    <definedName name="IQ_DAYS_COVER_SHORT" hidden="1">"c1578"</definedName>
    <definedName name="IQ_DAYS_INVENTORY_OUT" hidden="1">"c273"</definedName>
    <definedName name="IQ_DAYS_PAY_OUTST" hidden="1">"c274"</definedName>
    <definedName name="IQ_DAYS_PAYABLE_OUT" hidden="1">"c274"</definedName>
    <definedName name="IQ_DAYS_SALES_OUT" hidden="1">"c275"</definedName>
    <definedName name="IQ_DAYS_SALES_OUTST" hidden="1">"c275"</definedName>
    <definedName name="IQ_DEBT_ADJ" hidden="1">"c2515"</definedName>
    <definedName name="IQ_DEBT_ADJ_PCT" hidden="1">"c2516"</definedName>
    <definedName name="IQ_DEBT_EQUIV_NET_PBO" hidden="1">"c2938"</definedName>
    <definedName name="IQ_DEBT_EQUIV_OPER_LEASE" hidden="1">"c2935"</definedName>
    <definedName name="IQ_DEF_ACQ_CST" hidden="1">"c301"</definedName>
    <definedName name="IQ_DEF_AMORT" hidden="1">"c276"</definedName>
    <definedName name="IQ_DEF_AMORT_BNK" hidden="1">"c277"</definedName>
    <definedName name="IQ_DEF_AMORT_BR" hidden="1">"c278"</definedName>
    <definedName name="IQ_DEF_AMORT_FIN" hidden="1">"c279"</definedName>
    <definedName name="IQ_DEF_AMORT_INS" hidden="1">"c280"</definedName>
    <definedName name="IQ_DEF_AMORT_REIT" hidden="1">"c281"</definedName>
    <definedName name="IQ_DEF_AMORT_UTI" hidden="1">"c282"</definedName>
    <definedName name="IQ_DEF_BENEFIT_INTEREST_COST" hidden="1">"c283"</definedName>
    <definedName name="IQ_DEF_BENEFIT_INTEREST_COST_DOMESTIC" hidden="1">"c2652"</definedName>
    <definedName name="IQ_DEF_BENEFIT_INTEREST_COST_FOREIGN" hidden="1">"c2660"</definedName>
    <definedName name="IQ_DEF_BENEFIT_OTHER_COST" hidden="1">"c284"</definedName>
    <definedName name="IQ_DEF_BENEFIT_OTHER_COST_DOMESTIC" hidden="1">"c2654"</definedName>
    <definedName name="IQ_DEF_BENEFIT_OTHER_COST_FOREIGN" hidden="1">"c2662"</definedName>
    <definedName name="IQ_DEF_BENEFIT_ROA" hidden="1">"c285"</definedName>
    <definedName name="IQ_DEF_BENEFIT_ROA_DOMESTIC" hidden="1">"c2653"</definedName>
    <definedName name="IQ_DEF_BENEFIT_ROA_FOREIGN" hidden="1">"c2661"</definedName>
    <definedName name="IQ_DEF_BENEFIT_SERVICE_COST" hidden="1">"c286"</definedName>
    <definedName name="IQ_DEF_BENEFIT_SERVICE_COST_DOMESTIC" hidden="1">"c2651"</definedName>
    <definedName name="IQ_DEF_BENEFIT_SERVICE_COST_FOREIGN" hidden="1">"c2659"</definedName>
    <definedName name="IQ_DEF_BENEFIT_TOTAL_COST" hidden="1">"c287"</definedName>
    <definedName name="IQ_DEF_BENEFIT_TOTAL_COST_DOMESTIC" hidden="1">"c2655"</definedName>
    <definedName name="IQ_DEF_BENEFIT_TOTAL_COST_FOREIGN" hidden="1">"c2663"</definedName>
    <definedName name="IQ_DEF_CHARGES_BR" hidden="1">"c288"</definedName>
    <definedName name="IQ_DEF_CHARGES_CF" hidden="1">"c289"</definedName>
    <definedName name="IQ_DEF_CHARGES_FIN" hidden="1">"c290"</definedName>
    <definedName name="IQ_DEF_CHARGES_INS" hidden="1">"c291"</definedName>
    <definedName name="IQ_DEF_CHARGES_LT" hidden="1">"c292"</definedName>
    <definedName name="IQ_DEF_CHARGES_LT_BNK" hidden="1">"c293"</definedName>
    <definedName name="IQ_DEF_CHARGES_LT_BR" hidden="1">"c294"</definedName>
    <definedName name="IQ_DEF_CHARGES_LT_FIN" hidden="1">"c295"</definedName>
    <definedName name="IQ_DEF_CHARGES_LT_INS" hidden="1">"c296"</definedName>
    <definedName name="IQ_DEF_CHARGES_LT_REIT" hidden="1">"c297"</definedName>
    <definedName name="IQ_DEF_CHARGES_LT_UTI" hidden="1">"c298"</definedName>
    <definedName name="IQ_DEF_CHARGES_REIT" hidden="1">"c299"</definedName>
    <definedName name="IQ_DEF_CONTRIBUTION_TOTAL_COST" hidden="1">"c300"</definedName>
    <definedName name="IQ_DEF_INC_TAX" hidden="1">"c313"</definedName>
    <definedName name="IQ_DEF_POLICY_ACQ_COSTS" hidden="1">"c301"</definedName>
    <definedName name="IQ_DEF_POLICY_ACQ_COSTS_CF" hidden="1">"c302"</definedName>
    <definedName name="IQ_DEF_POLICY_AMORT" hidden="1">"c303"</definedName>
    <definedName name="IQ_DEF_TAX_ASSET_LT_BR" hidden="1">"c304"</definedName>
    <definedName name="IQ_DEF_TAX_ASSET_LT_FIN" hidden="1">"c305"</definedName>
    <definedName name="IQ_DEF_TAX_ASSET_LT_INS" hidden="1">"c306"</definedName>
    <definedName name="IQ_DEF_TAX_ASSET_LT_REIT" hidden="1">"c307"</definedName>
    <definedName name="IQ_DEF_TAX_ASSET_LT_UTI" hidden="1">"c308"</definedName>
    <definedName name="IQ_DEF_TAX_ASSETS_CURRENT" hidden="1">"c309"</definedName>
    <definedName name="IQ_DEF_TAX_ASSETS_LT" hidden="1">"c310"</definedName>
    <definedName name="IQ_DEF_TAX_ASSETS_LT_BNK" hidden="1">"c311"</definedName>
    <definedName name="IQ_DEF_TAX_LIAB_CURRENT" hidden="1">"c312"</definedName>
    <definedName name="IQ_DEF_TAX_LIAB_LT" hidden="1">"c313"</definedName>
    <definedName name="IQ_DEF_TAX_LIAB_LT_BNK" hidden="1">"c314"</definedName>
    <definedName name="IQ_DEF_TAX_LIAB_LT_BR" hidden="1">"c315"</definedName>
    <definedName name="IQ_DEF_TAX_LIAB_LT_FIN" hidden="1">"c316"</definedName>
    <definedName name="IQ_DEF_TAX_LIAB_LT_INS" hidden="1">"c317"</definedName>
    <definedName name="IQ_DEF_TAX_LIAB_LT_REIT" hidden="1">"c318"</definedName>
    <definedName name="IQ_DEF_TAX_LIAB_LT_UTI" hidden="1">"c319"</definedName>
    <definedName name="IQ_DEFERRED_DOMESTIC_TAXES" hidden="1">"c2077"</definedName>
    <definedName name="IQ_DEFERRED_FOREIGN_TAXES" hidden="1">"c2078"</definedName>
    <definedName name="IQ_DEFERRED_INC_TAX" hidden="1">"c315"</definedName>
    <definedName name="IQ_DEFERRED_TAXES" hidden="1">"c147"</definedName>
    <definedName name="IQ_DEMAND_DEP" hidden="1">"c320"</definedName>
    <definedName name="IQ_DEMAND_DEPOSITS_FDIC" hidden="1">"c6489"</definedName>
    <definedName name="IQ_DEPOSIT_ACCOUNTS_LESS_THAN_100K_FDIC" hidden="1">"c6494"</definedName>
    <definedName name="IQ_DEPOSIT_ACCOUNTS_MORE_THAN_100K_FDIC" hidden="1">"c6492"</definedName>
    <definedName name="IQ_DEPOSITORY_INSTITUTIONS_CHARGE_OFFS_FDIC" hidden="1">"c6596"</definedName>
    <definedName name="IQ_DEPOSITORY_INSTITUTIONS_NET_CHARGE_OFFS_FDIC" hidden="1">"c6634"</definedName>
    <definedName name="IQ_DEPOSITORY_INSTITUTIONS_RECOVERIES_FDIC" hidden="1">"c6615"</definedName>
    <definedName name="IQ_DEPOSITS_FIN" hidden="1">"c321"</definedName>
    <definedName name="IQ_DEPOSITS_HELD_DOMESTIC_FDIC" hidden="1">"c6340"</definedName>
    <definedName name="IQ_DEPOSITS_HELD_FOREIGN_FDIC" hidden="1">"c6341"</definedName>
    <definedName name="IQ_DEPOSITS_LESS_THAN_100K_AFTER_THREE_YEARS_FDIC" hidden="1">"c6464"</definedName>
    <definedName name="IQ_DEPOSITS_LESS_THAN_100K_THREE_MONTHS_FDIC" hidden="1">"c6461"</definedName>
    <definedName name="IQ_DEPOSITS_LESS_THAN_100K_THREE_YEARS_FDIC" hidden="1">"c6463"</definedName>
    <definedName name="IQ_DEPOSITS_LESS_THAN_100K_TWELVE_MONTHS_FDIC" hidden="1">"c6462"</definedName>
    <definedName name="IQ_DEPOSITS_MORE_THAN_100K_AFTER_THREE_YEARS_FDIC" hidden="1">"c6469"</definedName>
    <definedName name="IQ_DEPOSITS_MORE_THAN_100K_THREE_MONTHS_FDIC" hidden="1">"c6466"</definedName>
    <definedName name="IQ_DEPOSITS_MORE_THAN_100K_THREE_YEARS_FDIC" hidden="1">"c6468"</definedName>
    <definedName name="IQ_DEPOSITS_MORE_THAN_100K_TWELVE_MONTHS_FDIC" hidden="1">"c6467"</definedName>
    <definedName name="IQ_DEPRE_AMORT" hidden="1">"c247"</definedName>
    <definedName name="IQ_DEPRE_AMORT_SUPPL" hidden="1">"c1593"</definedName>
    <definedName name="IQ_DEPRE_DEPLE" hidden="1">"c261"</definedName>
    <definedName name="IQ_DEPRE_SUPP" hidden="1">"c1443"</definedName>
    <definedName name="IQ_DERIVATIVES_FDIC" hidden="1">"c6523"</definedName>
    <definedName name="IQ_DESCRIPTION_LONG" hidden="1">"c322"</definedName>
    <definedName name="IQ_DEVELOP_LAND" hidden="1">"c323"</definedName>
    <definedName name="IQ_DIFF_LASTCLOSE_TARGET_PRICE" hidden="1">"c1854"</definedName>
    <definedName name="IQ_DILUT_ADJUST" hidden="1">"c1621"</definedName>
    <definedName name="IQ_DILUT_EPS_EXCL" hidden="1">"c324"</definedName>
    <definedName name="IQ_DILUT_EPS_INCL" hidden="1">"c325"</definedName>
    <definedName name="IQ_DILUT_EPS_NORM" hidden="1">"c1903"</definedName>
    <definedName name="IQ_DILUT_NI" hidden="1">"c2079"</definedName>
    <definedName name="IQ_DILUT_NORMAL_EPS" hidden="1">"c1594"</definedName>
    <definedName name="IQ_DILUT_WEIGHT" hidden="1">"c326"</definedName>
    <definedName name="IQ_DIRECT_AH_EARNED" hidden="1">"c2740"</definedName>
    <definedName name="IQ_DIRECT_EARNED" hidden="1">"c2730"</definedName>
    <definedName name="IQ_DIRECT_LIFE_EARNED" hidden="1">"c2735"</definedName>
    <definedName name="IQ_DIRECT_LIFE_IN_FORCE" hidden="1">"c2765"</definedName>
    <definedName name="IQ_DIRECT_PC_EARNED" hidden="1">"c2745"</definedName>
    <definedName name="IQ_DIRECT_WRITTEN" hidden="1">"c2724"</definedName>
    <definedName name="IQ_DISCONT_OPER" hidden="1">"c333"</definedName>
    <definedName name="IQ_DISCOUNT_RATE_PENSION_DOMESTIC" hidden="1">"c327"</definedName>
    <definedName name="IQ_DISCOUNT_RATE_PENSION_FOREIGN" hidden="1">"c328"</definedName>
    <definedName name="IQ_DISTR_EXCESS_EARN" hidden="1">"c329"</definedName>
    <definedName name="IQ_DISTRIBUTABLE_CASH" hidden="1">"c3002"</definedName>
    <definedName name="IQ_DISTRIBUTABLE_CASH_EST_CIQ" hidden="1">"c4802"</definedName>
    <definedName name="IQ_DISTRIBUTABLE_CASH_HIGH_EST_CIQ" hidden="1">"c4805"</definedName>
    <definedName name="IQ_DISTRIBUTABLE_CASH_LOW_EST_CIQ" hidden="1">"c4806"</definedName>
    <definedName name="IQ_DISTRIBUTABLE_CASH_MEDIAN_EST_CIQ" hidden="1">"c4807"</definedName>
    <definedName name="IQ_DISTRIBUTABLE_CASH_NUM_EST_CIQ" hidden="1">"c4808"</definedName>
    <definedName name="IQ_DISTRIBUTABLE_CASH_PAYOUT" hidden="1">"c3005"</definedName>
    <definedName name="IQ_DISTRIBUTABLE_CASH_SHARE" hidden="1">"c3003"</definedName>
    <definedName name="IQ_DISTRIBUTABLE_CASH_SHARE_EST_CIQ" hidden="1">"c4810"</definedName>
    <definedName name="IQ_DISTRIBUTABLE_CASH_SHARE_HIGH_EST_CIQ" hidden="1">"c4813"</definedName>
    <definedName name="IQ_DISTRIBUTABLE_CASH_SHARE_LOW_EST_CIQ" hidden="1">"c4814"</definedName>
    <definedName name="IQ_DISTRIBUTABLE_CASH_SHARE_MEDIAN_EST_CIQ" hidden="1">"c4815"</definedName>
    <definedName name="IQ_DISTRIBUTABLE_CASH_SHARE_NUM_EST_CIQ" hidden="1">"c4816"</definedName>
    <definedName name="IQ_DISTRIBUTABLE_CASH_SHARE_STDDEV_EST_CIQ" hidden="1">"c4817"</definedName>
    <definedName name="IQ_DISTRIBUTABLE_CASH_STDDEV_EST_CIQ" hidden="1">"c4819"</definedName>
    <definedName name="IQ_DIV_AMOUNT" hidden="1">"c3041"</definedName>
    <definedName name="IQ_DIV_PAYMENT_DATE" hidden="1">"c2106"</definedName>
    <definedName name="IQ_DIV_RECORD_DATE" hidden="1">"c2105"</definedName>
    <definedName name="IQ_DIV_SHARE" hidden="1">"c330"</definedName>
    <definedName name="IQ_DIVEST_CF" hidden="1">"c331"</definedName>
    <definedName name="IQ_DIVID_SHARE" hidden="1">"c330"</definedName>
    <definedName name="IQ_DIVIDEND_YIELD" hidden="1">"c332"</definedName>
    <definedName name="IQ_DIVIDENDS_DECLARED_COMMON_FDIC" hidden="1">"c6659"</definedName>
    <definedName name="IQ_DIVIDENDS_DECLARED_PREFERRED_FDIC" hidden="1">"c6658"</definedName>
    <definedName name="IQ_DIVIDENDS_FDIC" hidden="1">"c6660"</definedName>
    <definedName name="IQ_DNTM" hidden="1">700000</definedName>
    <definedName name="IQ_DO" hidden="1">"c333"</definedName>
    <definedName name="IQ_DO_ASSETS_CURRENT" hidden="1">"c334"</definedName>
    <definedName name="IQ_DO_ASSETS_LT" hidden="1">"c335"</definedName>
    <definedName name="IQ_DO_CF" hidden="1">"c336"</definedName>
    <definedName name="IQ_DPAC" hidden="1">"c2801"</definedName>
    <definedName name="IQ_DPAC_ACC" hidden="1">"c2799"</definedName>
    <definedName name="IQ_DPAC_AMORT" hidden="1">"c2795"</definedName>
    <definedName name="IQ_DPAC_BEG" hidden="1">"c2791"</definedName>
    <definedName name="IQ_DPAC_COMMISSIONS" hidden="1">"c2792"</definedName>
    <definedName name="IQ_DPAC_END" hidden="1">"c2801"</definedName>
    <definedName name="IQ_DPAC_FX" hidden="1">"c2798"</definedName>
    <definedName name="IQ_DPAC_OTHER_ADJ" hidden="1">"c2800"</definedName>
    <definedName name="IQ_DPAC_OTHERS" hidden="1">"c2793"</definedName>
    <definedName name="IQ_DPAC_PERIOD" hidden="1">"c2794"</definedName>
    <definedName name="IQ_DPAC_REAL_GAIN" hidden="1">"c2797"</definedName>
    <definedName name="IQ_DPAC_UNREAL_GAIN" hidden="1">"c2796"</definedName>
    <definedName name="IQ_DPS_10YR_ANN_GROWTH" hidden="1">"c337"</definedName>
    <definedName name="IQ_DPS_1YR_ANN_GROWTH" hidden="1">"c338"</definedName>
    <definedName name="IQ_DPS_2YR_ANN_GROWTH" hidden="1">"c339"</definedName>
    <definedName name="IQ_DPS_3YR_ANN_GROWTH" hidden="1">"c340"</definedName>
    <definedName name="IQ_DPS_5YR_ANN_GROWTH" hidden="1">"c341"</definedName>
    <definedName name="IQ_DPS_7YR_ANN_GROWTH" hidden="1">"c342"</definedName>
    <definedName name="IQ_EARNING_ASSET_YIELD" hidden="1">"c343"</definedName>
    <definedName name="IQ_EARNING_ASSETS_FDIC" hidden="1">"c6360"</definedName>
    <definedName name="IQ_EARNING_ASSETS_YIELD_FDIC" hidden="1">"c6724"</definedName>
    <definedName name="IQ_EARNING_CO" hidden="1">"c344"</definedName>
    <definedName name="IQ_EARNING_CO_10YR_ANN_GROWTH" hidden="1">"c345"</definedName>
    <definedName name="IQ_EARNING_CO_1YR_ANN_GROWTH" hidden="1">"c346"</definedName>
    <definedName name="IQ_EARNING_CO_2YR_ANN_GROWTH" hidden="1">"c347"</definedName>
    <definedName name="IQ_EARNING_CO_3YR_ANN_GROWTH" hidden="1">"c348"</definedName>
    <definedName name="IQ_EARNING_CO_5YR_ANN_GROWTH" hidden="1">"c349"</definedName>
    <definedName name="IQ_EARNING_CO_7YR_ANN_GROWTH" hidden="1">"c350"</definedName>
    <definedName name="IQ_EARNING_CO_MARGIN" hidden="1">"c351"</definedName>
    <definedName name="IQ_EARNINGS_ANNOUNCE_DATE" hidden="1">"c1649"</definedName>
    <definedName name="IQ_EARNINGS_COVERAGE_NET_CHARGE_OFFS_FDIC" hidden="1">"c6735"</definedName>
    <definedName name="IQ_EBIT" hidden="1">"c352"</definedName>
    <definedName name="IQ_EBIT_10K" hidden="1">"IQ_EBIT_10K"</definedName>
    <definedName name="IQ_EBIT_10Q" hidden="1">"IQ_EBIT_10Q"</definedName>
    <definedName name="IQ_EBIT_10Q1" hidden="1">"IQ_EBIT_10Q1"</definedName>
    <definedName name="IQ_EBIT_10YR_ANN_GROWTH" hidden="1">"c353"</definedName>
    <definedName name="IQ_EBIT_1YR_ANN_GROWTH" hidden="1">"c354"</definedName>
    <definedName name="IQ_EBIT_2YR_ANN_GROWTH" hidden="1">"c355"</definedName>
    <definedName name="IQ_EBIT_3YR_ANN_GROWTH" hidden="1">"c356"</definedName>
    <definedName name="IQ_EBIT_5YR_ANN_GROWTH" hidden="1">"c357"</definedName>
    <definedName name="IQ_EBIT_7YR_ANN_GROWTH" hidden="1">"c358"</definedName>
    <definedName name="IQ_EBIT_EQ_INC" hidden="1">"c3498"</definedName>
    <definedName name="IQ_EBIT_EQ_INC_EXCL_SBC" hidden="1">"c3502"</definedName>
    <definedName name="IQ_EBIT_EXCL_SBC" hidden="1">"c3082"</definedName>
    <definedName name="IQ_EBIT_GROWTH_1" hidden="1">"c157"</definedName>
    <definedName name="IQ_EBIT_GROWTH_2" hidden="1">"c161"</definedName>
    <definedName name="IQ_EBIT_INT" hidden="1">"c360"</definedName>
    <definedName name="IQ_EBIT_MARGIN" hidden="1">"c359"</definedName>
    <definedName name="IQ_EBIT_OVER_IE" hidden="1">"c360"</definedName>
    <definedName name="IQ_EBITA" hidden="1">"c1910"</definedName>
    <definedName name="IQ_EBITA_10YR_ANN_GROWTH" hidden="1">"c1954"</definedName>
    <definedName name="IQ_EBITA_1YR_ANN_GROWTH" hidden="1">"c1949"</definedName>
    <definedName name="IQ_EBITA_2YR_ANN_GROWTH" hidden="1">"c1950"</definedName>
    <definedName name="IQ_EBITA_3YR_ANN_GROWTH" hidden="1">"c1951"</definedName>
    <definedName name="IQ_EBITA_5YR_ANN_GROWTH" hidden="1">"c1952"</definedName>
    <definedName name="IQ_EBITA_7YR_ANN_GROWTH" hidden="1">"c1953"</definedName>
    <definedName name="IQ_EBITA_EQ_INC" hidden="1">"c3497"</definedName>
    <definedName name="IQ_EBITA_EQ_INC_EXCL_SBC" hidden="1">"c3501"</definedName>
    <definedName name="IQ_EBITA_EXCL_SBC" hidden="1">"c3080"</definedName>
    <definedName name="IQ_EBITA_MARGIN" hidden="1">"c1963"</definedName>
    <definedName name="IQ_EBITDA" hidden="1">"c361"</definedName>
    <definedName name="IQ_EBITDA_10K" hidden="1">"IQ_EBITDA_10K"</definedName>
    <definedName name="IQ_EBITDA_10Q" hidden="1">"IQ_EBITDA_10Q"</definedName>
    <definedName name="IQ_EBITDA_10Q1" hidden="1">"IQ_EBITDA_10Q1"</definedName>
    <definedName name="IQ_EBITDA_10YR_ANN_GROWTH" hidden="1">"c362"</definedName>
    <definedName name="IQ_EBITDA_1YR_ANN_GROWTH" hidden="1">"c363"</definedName>
    <definedName name="IQ_EBITDA_2YR_ANN_GROWTH" hidden="1">"c364"</definedName>
    <definedName name="IQ_EBITDA_3YR_ANN_GROWTH" hidden="1">"c365"</definedName>
    <definedName name="IQ_EBITDA_5YR_ANN_GROWTH" hidden="1">"c366"</definedName>
    <definedName name="IQ_EBITDA_7YR_ANN_GROWTH" hidden="1">"c367"</definedName>
    <definedName name="IQ_EBITDA_CAPEX_INT" hidden="1">"c368"</definedName>
    <definedName name="IQ_EBITDA_CAPEX_OVER_TOTAL_IE" hidden="1">"c368"</definedName>
    <definedName name="IQ_EBITDA_DET_EST_REUT_CURRENCY_CURRENCY_REUT" hidden="1">"c12529"</definedName>
    <definedName name="IQ_EBITDA_EQ_INC" hidden="1">"c3496"</definedName>
    <definedName name="IQ_EBITDA_EQ_INC_EXCL_SBC" hidden="1">"c3500"</definedName>
    <definedName name="IQ_EBITDA_EST" hidden="1">"c369"</definedName>
    <definedName name="IQ_EBITDA_EXCL_SBC" hidden="1">"c3081"</definedName>
    <definedName name="IQ_EBITDA_GROWTH_1" hidden="1">"c156"</definedName>
    <definedName name="IQ_EBITDA_GROWTH_2" hidden="1">"c160"</definedName>
    <definedName name="IQ_EBITDA_HIGH_EST" hidden="1">"c370"</definedName>
    <definedName name="IQ_EBITDA_INT" hidden="1">"c373"</definedName>
    <definedName name="IQ_EBITDA_LOW_EST" hidden="1">"c371"</definedName>
    <definedName name="IQ_EBITDA_MARGIN" hidden="1">"c372"</definedName>
    <definedName name="IQ_EBITDA_NO_EST" hidden="1">"c267"</definedName>
    <definedName name="IQ_EBITDA_NUM_EST" hidden="1">"c374"</definedName>
    <definedName name="IQ_EBITDA_OVER_TOTAL_IE" hidden="1">"c373"</definedName>
    <definedName name="IQ_EBITDA_STDDEV_EST" hidden="1">"c375"</definedName>
    <definedName name="IQ_EBITDAR" hidden="1">"c2989"</definedName>
    <definedName name="IQ_EBITDAR_EQ_INC" hidden="1">"c3499"</definedName>
    <definedName name="IQ_EBITDAR_EQ_INC_EXCL_SBC" hidden="1">"c3503"</definedName>
    <definedName name="IQ_EBITDAR_EXCL_SBC" hidden="1">"c3083"</definedName>
    <definedName name="IQ_EBT" hidden="1">"c376"</definedName>
    <definedName name="IQ_EBT_BNK" hidden="1">"c377"</definedName>
    <definedName name="IQ_EBT_BR" hidden="1">"c378"</definedName>
    <definedName name="IQ_EBT_EXCL" hidden="1">"c379"</definedName>
    <definedName name="IQ_EBT_EXCL_BNK" hidden="1">"c380"</definedName>
    <definedName name="IQ_EBT_EXCL_BR" hidden="1">"c381"</definedName>
    <definedName name="IQ_EBT_EXCL_FIN" hidden="1">"c382"</definedName>
    <definedName name="IQ_EBT_EXCL_INS" hidden="1">"c383"</definedName>
    <definedName name="IQ_EBT_EXCL_MARGIN" hidden="1">"c1462"</definedName>
    <definedName name="IQ_EBT_EXCL_REIT" hidden="1">"c384"</definedName>
    <definedName name="IQ_EBT_EXCL_UTI" hidden="1">"c385"</definedName>
    <definedName name="IQ_EBT_FIN" hidden="1">"c386"</definedName>
    <definedName name="IQ_EBT_INCL_MARGIN" hidden="1">"c387"</definedName>
    <definedName name="IQ_EBT_INS" hidden="1">"c388"</definedName>
    <definedName name="IQ_EBT_REIT" hidden="1">"c389"</definedName>
    <definedName name="IQ_EBT_UTI" hidden="1">"c390"</definedName>
    <definedName name="IQ_ECO_METRIC_6825_UNUSED_UNUSED_UNUSED" hidden="1">"c6825"</definedName>
    <definedName name="IQ_ECO_METRIC_6839_UNUSED_UNUSED_UNUSED" hidden="1">"c6839"</definedName>
    <definedName name="IQ_ECO_METRIC_6896_UNUSED_UNUSED_UNUSED" hidden="1">"c6896"</definedName>
    <definedName name="IQ_ECO_METRIC_6897_UNUSED_UNUSED_UNUSED" hidden="1">"c6897"</definedName>
    <definedName name="IQ_ECO_METRIC_6988_UNUSED_UNUSED_UNUSED" hidden="1">"c6988"</definedName>
    <definedName name="IQ_ECO_METRIC_7045_UNUSED_UNUSED_UNUSED" hidden="1">"c7045"</definedName>
    <definedName name="IQ_ECO_METRIC_7059_UNUSED_UNUSED_UNUSED" hidden="1">"c7059"</definedName>
    <definedName name="IQ_ECO_METRIC_7116_UNUSED_UNUSED_UNUSED" hidden="1">"c7116"</definedName>
    <definedName name="IQ_ECO_METRIC_7117_UNUSED_UNUSED_UNUSED" hidden="1">"c7117"</definedName>
    <definedName name="IQ_ECO_METRIC_7208_UNUSED_UNUSED_UNUSED" hidden="1">"c7208"</definedName>
    <definedName name="IQ_ECO_METRIC_7265_UNUSED_UNUSED_UNUSED" hidden="1">"c7265"</definedName>
    <definedName name="IQ_ECO_METRIC_7279_UNUSED_UNUSED_UNUSED" hidden="1">"c7279"</definedName>
    <definedName name="IQ_ECO_METRIC_7336_UNUSED_UNUSED_UNUSED" hidden="1">"c7336"</definedName>
    <definedName name="IQ_ECO_METRIC_7337_UNUSED_UNUSED_UNUSED" hidden="1">"c7337"</definedName>
    <definedName name="IQ_ECO_METRIC_7428_UNUSED_UNUSED_UNUSED" hidden="1">"c7428"</definedName>
    <definedName name="IQ_ECO_METRIC_7556_UNUSED_UNUSED_UNUSED" hidden="1">"c7556"</definedName>
    <definedName name="IQ_ECO_METRIC_7557_UNUSED_UNUSED_UNUSED" hidden="1">"c7557"</definedName>
    <definedName name="IQ_ECO_METRIC_7648_UNUSED_UNUSED_UNUSED" hidden="1">"c7648"</definedName>
    <definedName name="IQ_ECO_METRIC_7705_UNUSED_UNUSED_UNUSED" hidden="1">"c7705"</definedName>
    <definedName name="IQ_ECO_METRIC_7719_UNUSED_UNUSED_UNUSED" hidden="1">"c7719"</definedName>
    <definedName name="IQ_ECO_METRIC_7776_UNUSED_UNUSED_UNUSED" hidden="1">"c7776"</definedName>
    <definedName name="IQ_ECO_METRIC_7777_UNUSED_UNUSED_UNUSED" hidden="1">"c7777"</definedName>
    <definedName name="IQ_ECO_METRIC_7868_UNUSED_UNUSED_UNUSED" hidden="1">"c7868"</definedName>
    <definedName name="IQ_ECO_METRIC_7925_UNUSED_UNUSED_UNUSED" hidden="1">"c7925"</definedName>
    <definedName name="IQ_ECO_METRIC_7939_UNUSED_UNUSED_UNUSED" hidden="1">"c7939"</definedName>
    <definedName name="IQ_ECO_METRIC_7996_UNUSED_UNUSED_UNUSED" hidden="1">"c7996"</definedName>
    <definedName name="IQ_ECO_METRIC_7997_UNUSED_UNUSED_UNUSED" hidden="1">"c7997"</definedName>
    <definedName name="IQ_ECO_METRIC_8088_UNUSED_UNUSED_UNUSED" hidden="1">"c8088"</definedName>
    <definedName name="IQ_ECO_METRIC_8145_UNUSED_UNUSED_UNUSED" hidden="1">"c8145"</definedName>
    <definedName name="IQ_ECO_METRIC_8159_UNUSED_UNUSED_UNUSED" hidden="1">"c8159"</definedName>
    <definedName name="IQ_ECO_METRIC_8216_UNUSED_UNUSED_UNUSED" hidden="1">"c8216"</definedName>
    <definedName name="IQ_ECO_METRIC_8217_UNUSED_UNUSED_UNUSED" hidden="1">"c8217"</definedName>
    <definedName name="IQ_ECO_METRIC_8308_UNUSED_UNUSED_UNUSED" hidden="1">"c8308"</definedName>
    <definedName name="IQ_ECO_METRIC_8436_UNUSED_UNUSED_UNUSED" hidden="1">"c8436"</definedName>
    <definedName name="IQ_ECO_METRIC_8437_UNUSED_UNUSED_UNUSED" hidden="1">"c8437"</definedName>
    <definedName name="IQ_ECO_METRIC_8528_UNUSED_UNUSED_UNUSED" hidden="1">"c8528"</definedName>
    <definedName name="IQ_EFFECT_SPECIAL_CHARGE" hidden="1">"c1595"</definedName>
    <definedName name="IQ_EFFECT_TAX_RATE" hidden="1">"c1899"</definedName>
    <definedName name="IQ_EFFICIENCY_RATIO" hidden="1">"c391"</definedName>
    <definedName name="IQ_EFFICIENCY_RATIO_FDIC" hidden="1">"c6736"</definedName>
    <definedName name="IQ_EMPLOYEES" hidden="1">"c392"</definedName>
    <definedName name="IQ_ENTERPRISE_VALUE" hidden="1">"c84"</definedName>
    <definedName name="IQ_EPS" hidden="1">"IQ_EPS"</definedName>
    <definedName name="IQ_EPS_10K" hidden="1">"IQ_EPS_10K"</definedName>
    <definedName name="IQ_EPS_10Q" hidden="1">"IQ_EPS_10Q"</definedName>
    <definedName name="IQ_EPS_10Q1" hidden="1">"IQ_EPS_10Q1"</definedName>
    <definedName name="IQ_EPS_10YR_ANN_GROWTH" hidden="1">"c393"</definedName>
    <definedName name="IQ_EPS_1YR_ANN_GROWTH" hidden="1">"c394"</definedName>
    <definedName name="IQ_EPS_2YR_ANN_GROWTH" hidden="1">"c395"</definedName>
    <definedName name="IQ_EPS_3YR_ANN_GROWTH" hidden="1">"c396"</definedName>
    <definedName name="IQ_EPS_5YR_ANN_GROWTH" hidden="1">"c397"</definedName>
    <definedName name="IQ_EPS_7YR_ANN_GROWTH" hidden="1">"c398"</definedName>
    <definedName name="IQ_EPS_EST" hidden="1">"c399"</definedName>
    <definedName name="IQ_EPS_GW_DET_EST_REUT_CURRENCY_CURRENCY_REUT" hidden="1">"c12533"</definedName>
    <definedName name="IQ_EPS_HIGH_EST" hidden="1">"c400"</definedName>
    <definedName name="IQ_EPS_LOW_EST" hidden="1">"c401"</definedName>
    <definedName name="IQ_EPS_MEDIAN_EST" hidden="1">"c1661"</definedName>
    <definedName name="IQ_EPS_NO_EST" hidden="1">"c271"</definedName>
    <definedName name="IQ_EPS_NORM" hidden="1">"c1902"</definedName>
    <definedName name="IQ_EPS_NUM_EST" hidden="1">"c402"</definedName>
    <definedName name="IQ_EPS_PRIMARY_EST" hidden="1">"c2226"</definedName>
    <definedName name="IQ_EPS_PRIMARY_HIGH_EST" hidden="1">"c2228"</definedName>
    <definedName name="IQ_EPS_PRIMARY_LOW_EST" hidden="1">"c2229"</definedName>
    <definedName name="IQ_EPS_PRIMARY_MEDIAN_EST" hidden="1">"c2227"</definedName>
    <definedName name="IQ_EPS_PRIMARY_NUM_EST" hidden="1">"c2230"</definedName>
    <definedName name="IQ_EPS_PRIMARY_STDDEV_EST" hidden="1">"c2231"</definedName>
    <definedName name="IQ_EPS_STDDEV_EST" hidden="1">"c403"</definedName>
    <definedName name="IQ_EQUITY_AFFIL" hidden="1">"c552"</definedName>
    <definedName name="IQ_EQUITY_CAPITAL_ASSETS_FDIC" hidden="1">"c6744"</definedName>
    <definedName name="IQ_EQUITY_FDIC" hidden="1">"c6353"</definedName>
    <definedName name="IQ_EQUITY_METHOD" hidden="1">"c404"</definedName>
    <definedName name="IQ_EQUITY_SECURITIES_FDIC" hidden="1">"c6304"</definedName>
    <definedName name="IQ_EQUITY_SECURITY_EXPOSURES_FDIC" hidden="1">"c6664"</definedName>
    <definedName name="IQ_EQV_OVER_BV" hidden="1">"c1596"</definedName>
    <definedName name="IQ_EQV_OVER_LTM_PRETAX_INC" hidden="1">"c739"</definedName>
    <definedName name="IQ_ESOP_DEBT" hidden="1">"c1597"</definedName>
    <definedName name="IQ_EST_ACT_BV_REUT" hidden="1">"c5409"</definedName>
    <definedName name="IQ_EST_ACT_BV_THOM" hidden="1">"c5153"</definedName>
    <definedName name="IQ_EST_ACT_EPS" hidden="1">"c1648"</definedName>
    <definedName name="IQ_EST_ACT_EPS_PRIMARY" hidden="1">"c2232"</definedName>
    <definedName name="IQ_EST_ACT_FFO_REUT" hidden="1">"c3843"</definedName>
    <definedName name="IQ_EST_ACT_FFO_THOM" hidden="1">"c4005"</definedName>
    <definedName name="IQ_EST_BV_DIFF_REUT" hidden="1">"c5433"</definedName>
    <definedName name="IQ_EST_BV_DIFF_THOM" hidden="1">"c5204"</definedName>
    <definedName name="IQ_EST_BV_SURPRISE_PERCENT_REUT" hidden="1">"c5434"</definedName>
    <definedName name="IQ_EST_BV_SURPRISE_PERCENT_THOM" hidden="1">"c5205"</definedName>
    <definedName name="IQ_EST_CURRENCY" hidden="1">"c2140"</definedName>
    <definedName name="IQ_EST_DATE" hidden="1">"c1634"</definedName>
    <definedName name="IQ_EST_EPS_DIFF" hidden="1">"c1864"</definedName>
    <definedName name="IQ_EST_EPS_GROWTH_1YR" hidden="1">"c1636"</definedName>
    <definedName name="IQ_EST_EPS_GROWTH_2YR" hidden="1">"c1637"</definedName>
    <definedName name="IQ_EST_EPS_GROWTH_5YR" hidden="1">"c1655"</definedName>
    <definedName name="IQ_EST_EPS_GROWTH_5YR_HIGH" hidden="1">"c1657"</definedName>
    <definedName name="IQ_EST_EPS_GROWTH_5YR_LOW" hidden="1">"c1658"</definedName>
    <definedName name="IQ_EST_EPS_GROWTH_5YR_MEDIAN" hidden="1">"c1656"</definedName>
    <definedName name="IQ_EST_EPS_GROWTH_5YR_NUM" hidden="1">"c1659"</definedName>
    <definedName name="IQ_EST_EPS_GROWTH_5YR_STDDEV" hidden="1">"c1660"</definedName>
    <definedName name="IQ_EST_EPS_GROWTH_Q_1YR" hidden="1">"c1641"</definedName>
    <definedName name="IQ_EST_EPS_SURPRISE" hidden="1">"c1635"</definedName>
    <definedName name="IQ_EST_FFO_DIFF_REUT" hidden="1">"c3890"</definedName>
    <definedName name="IQ_EST_FFO_DIFF_THOM" hidden="1">"c5186"</definedName>
    <definedName name="IQ_EST_FFO_SURPRISE_PERCENT_REUT" hidden="1">"c3891"</definedName>
    <definedName name="IQ_EST_FFO_SURPRISE_PERCENT_THOM" hidden="1">"c5187"</definedName>
    <definedName name="IQ_EST_NUM_BUY_CIQ" hidden="1">"c3700"</definedName>
    <definedName name="IQ_EST_NUM_BUY_REUT" hidden="1">"c3869"</definedName>
    <definedName name="IQ_EST_NUM_BUY_THOM" hidden="1">"c5165"</definedName>
    <definedName name="IQ_EST_NUM_HOLD_CIQ" hidden="1">"c3702"</definedName>
    <definedName name="IQ_EST_NUM_HOLD_REUT" hidden="1">"c3871"</definedName>
    <definedName name="IQ_EST_NUM_HOLD_THOM" hidden="1">"c5167"</definedName>
    <definedName name="IQ_EST_NUM_OUTPERFORM_CIQ" hidden="1">"c3701"</definedName>
    <definedName name="IQ_EST_NUM_OUTPERFORM_REUT" hidden="1">"c3870"</definedName>
    <definedName name="IQ_EST_NUM_OUTPERFORM_THOM" hidden="1">"c5166"</definedName>
    <definedName name="IQ_EST_NUM_SELL_CIQ" hidden="1">"c3704"</definedName>
    <definedName name="IQ_EST_NUM_SELL_REUT" hidden="1">"c3873"</definedName>
    <definedName name="IQ_EST_NUM_SELL_THOM" hidden="1">"c5169"</definedName>
    <definedName name="IQ_EST_NUM_UNDERPERFORM_CIQ" hidden="1">"c3703"</definedName>
    <definedName name="IQ_EST_NUM_UNDERPERFORM_REUT" hidden="1">"c3872"</definedName>
    <definedName name="IQ_EST_NUM_UNDERPERFORM_THOM" hidden="1">"c5168"</definedName>
    <definedName name="IQ_EST_REV_GROWTH_1YR" hidden="1">"c1638"</definedName>
    <definedName name="IQ_EST_REV_GROWTH_2YR" hidden="1">"c1639"</definedName>
    <definedName name="IQ_EST_REV_GROWTH_Q_1YR" hidden="1">"c1640"</definedName>
    <definedName name="IQ_ESTIMATED_ASSESSABLE_DEPOSITS_FDIC" hidden="1">"c6490"</definedName>
    <definedName name="IQ_ESTIMATED_INSURED_DEPOSITS_FDIC" hidden="1">"c6491"</definedName>
    <definedName name="IQ_EV_OVER_EMPLOYEE" hidden="1">"c1225"</definedName>
    <definedName name="IQ_EV_OVER_LTM_EBIT" hidden="1">"c1221"</definedName>
    <definedName name="IQ_EV_OVER_LTM_EBITDA" hidden="1">"c1223"</definedName>
    <definedName name="IQ_EV_OVER_LTM_REVENUE" hidden="1">"c1227"</definedName>
    <definedName name="IQ_EV_OVER_REVENUE_EST" hidden="1">"c165"</definedName>
    <definedName name="IQ_EV_OVER_REVENUE_EST_1" hidden="1">"c166"</definedName>
    <definedName name="IQ_EXCHANGE" hidden="1">"c405"</definedName>
    <definedName name="IQ_EXERCISE_PRICE" hidden="1">"c406"</definedName>
    <definedName name="IQ_EXERCISED" hidden="1">"c406"</definedName>
    <definedName name="IQ_EXP_RETURN_PENSION_DOMESTIC" hidden="1">"c407"</definedName>
    <definedName name="IQ_EXP_RETURN_PENSION_FOREIGN" hidden="1">"c408"</definedName>
    <definedName name="IQ_EXPENSE_CODE_" hidden="1">"ajsdasd"</definedName>
    <definedName name="IQ_EXPLORE_DRILL" hidden="1">"c409"</definedName>
    <definedName name="IQ_EXPORTS_APR_FC_UNUSED_UNUSED_UNUSED" hidden="1">"c8401"</definedName>
    <definedName name="IQ_EXPORTS_APR_UNUSED_UNUSED_UNUSED" hidden="1">"c7521"</definedName>
    <definedName name="IQ_EXPORTS_FC_UNUSED_UNUSED_UNUSED" hidden="1">"c7741"</definedName>
    <definedName name="IQ_EXPORTS_GOODS_REAL_SAAR_APR_FC_UNUSED_UNUSED_UNUSED" hidden="1">"c8512"</definedName>
    <definedName name="IQ_EXPORTS_GOODS_REAL_SAAR_APR_UNUSED_UNUSED_UNUSED" hidden="1">"c7632"</definedName>
    <definedName name="IQ_EXPORTS_GOODS_REAL_SAAR_FC_UNUSED_UNUSED_UNUSED" hidden="1">"c7852"</definedName>
    <definedName name="IQ_EXPORTS_GOODS_REAL_SAAR_POP_FC_UNUSED_UNUSED_UNUSED" hidden="1">"c8072"</definedName>
    <definedName name="IQ_EXPORTS_GOODS_REAL_SAAR_POP_UNUSED_UNUSED_UNUSED" hidden="1">"c7192"</definedName>
    <definedName name="IQ_EXPORTS_GOODS_REAL_SAAR_UNUSED_UNUSED_UNUSED" hidden="1">"c6972"</definedName>
    <definedName name="IQ_EXPORTS_GOODS_REAL_SAAR_YOY_FC_UNUSED_UNUSED_UNUSED" hidden="1">"c8292"</definedName>
    <definedName name="IQ_EXPORTS_GOODS_REAL_SAAR_YOY_UNUSED_UNUSED_UNUSED" hidden="1">"c7412"</definedName>
    <definedName name="IQ_EXPORTS_POP_FC_UNUSED_UNUSED_UNUSED" hidden="1">"c7961"</definedName>
    <definedName name="IQ_EXPORTS_POP_UNUSED_UNUSED_UNUSED" hidden="1">"c7081"</definedName>
    <definedName name="IQ_EXPORTS_SERVICES_REAL_SAAR_APR_FC_UNUSED_UNUSED_UNUSED" hidden="1">"c8516"</definedName>
    <definedName name="IQ_EXPORTS_SERVICES_REAL_SAAR_APR_UNUSED_UNUSED_UNUSED" hidden="1">"c7636"</definedName>
    <definedName name="IQ_EXPORTS_SERVICES_REAL_SAAR_FC_UNUSED_UNUSED_UNUSED" hidden="1">"c7856"</definedName>
    <definedName name="IQ_EXPORTS_SERVICES_REAL_SAAR_POP_FC_UNUSED_UNUSED_UNUSED" hidden="1">"c8076"</definedName>
    <definedName name="IQ_EXPORTS_SERVICES_REAL_SAAR_POP_UNUSED_UNUSED_UNUSED" hidden="1">"c7196"</definedName>
    <definedName name="IQ_EXPORTS_SERVICES_REAL_SAAR_UNUSED_UNUSED_UNUSED" hidden="1">"c6976"</definedName>
    <definedName name="IQ_EXPORTS_SERVICES_REAL_SAAR_YOY_FC_UNUSED_UNUSED_UNUSED" hidden="1">"c8296"</definedName>
    <definedName name="IQ_EXPORTS_SERVICES_REAL_SAAR_YOY_UNUSED_UNUSED_UNUSED" hidden="1">"c7416"</definedName>
    <definedName name="IQ_EXPORTS_UNUSED_UNUSED_UNUSED" hidden="1">"c6861"</definedName>
    <definedName name="IQ_EXPORTS_YOY_FC_UNUSED_UNUSED_UNUSED" hidden="1">"c8181"</definedName>
    <definedName name="IQ_EXPORTS_YOY_UNUSED_UNUSED_UNUSED" hidden="1">"c7301"</definedName>
    <definedName name="IQ_EXTRA_ACC_ITEMS" hidden="1">"c410"</definedName>
    <definedName name="IQ_EXTRA_ACC_ITEMS_BNK" hidden="1">"c411"</definedName>
    <definedName name="IQ_EXTRA_ACC_ITEMS_BR" hidden="1">"c412"</definedName>
    <definedName name="IQ_EXTRA_ACC_ITEMS_FIN" hidden="1">"c413"</definedName>
    <definedName name="IQ_EXTRA_ACC_ITEMS_INS" hidden="1">"c414"</definedName>
    <definedName name="IQ_EXTRA_ACC_ITEMS_REIT" hidden="1">"c415"</definedName>
    <definedName name="IQ_EXTRA_ACC_ITEMS_UTI" hidden="1">"c416"</definedName>
    <definedName name="IQ_EXTRA_ITEMS" hidden="1">"c413"</definedName>
    <definedName name="IQ_EXTRAORDINARY_GAINS_FDIC" hidden="1">"c6586"</definedName>
    <definedName name="IQ_FAIR_VALUE_FDIC" hidden="1">"c6427"</definedName>
    <definedName name="IQ_FARM_LOANS_NET_FDIC" hidden="1">"c6316"</definedName>
    <definedName name="IQ_FARM_LOANS_TOTAL_LOANS_FOREIGN_FDIC" hidden="1">"c6450"</definedName>
    <definedName name="IQ_FARMLAND_LOANS_FDIC" hidden="1">"c6314"</definedName>
    <definedName name="IQ_FDIC" hidden="1">"c417"</definedName>
    <definedName name="IQ_FED_FUNDS_PURCHASED_FDIC" hidden="1">"c6343"</definedName>
    <definedName name="IQ_FED_FUNDS_SOLD_FDIC" hidden="1">"c6307"</definedName>
    <definedName name="IQ_FEDFUNDS_SOLD" hidden="1">"c2256"</definedName>
    <definedName name="IQ_FFO" hidden="1">"c1574"</definedName>
    <definedName name="IQ_FFO_ADJ_EST_CIQ" hidden="1">"c4959"</definedName>
    <definedName name="IQ_FFO_ADJ_HIGH_EST_CIQ" hidden="1">"c4962"</definedName>
    <definedName name="IQ_FFO_ADJ_LOW_EST_CIQ" hidden="1">"c4963"</definedName>
    <definedName name="IQ_FFO_ADJ_MEDIAN_EST_CIQ" hidden="1">"c4964"</definedName>
    <definedName name="IQ_FFO_ADJ_NUM_EST_CIQ" hidden="1">"c4965"</definedName>
    <definedName name="IQ_FFO_ADJ_STDDEV_EST_CIQ" hidden="1">"c4966"</definedName>
    <definedName name="IQ_FFO_EST" hidden="1">"c418"</definedName>
    <definedName name="IQ_FFO_EST_CIQ" hidden="1">"c3668"</definedName>
    <definedName name="IQ_FFO_EST_DET_EST" hidden="1">"c12059"</definedName>
    <definedName name="IQ_FFO_EST_DET_EST_CURRENCY" hidden="1">"c12466"</definedName>
    <definedName name="IQ_FFO_EST_DET_EST_CURRENCY_REUT" hidden="1">"c12536"</definedName>
    <definedName name="IQ_FFO_EST_DET_EST_DATE" hidden="1">"c12212"</definedName>
    <definedName name="IQ_FFO_EST_DET_EST_DATE_REUT" hidden="1">"c12295"</definedName>
    <definedName name="IQ_FFO_EST_DET_EST_INCL" hidden="1">"c12349"</definedName>
    <definedName name="IQ_FFO_EST_DET_EST_INCL_REUT" hidden="1">"c12419"</definedName>
    <definedName name="IQ_FFO_EST_DET_EST_ORIGIN_REUT" hidden="1">"c12724"</definedName>
    <definedName name="IQ_FFO_EST_DET_EST_REUT" hidden="1">"c12153"</definedName>
    <definedName name="IQ_FFO_EST_REUT" hidden="1">"c3837"</definedName>
    <definedName name="IQ_FFO_EST_THOM" hidden="1">"c3999"</definedName>
    <definedName name="IQ_FFO_HIGH_EST" hidden="1">"c419"</definedName>
    <definedName name="IQ_FFO_HIGH_EST_CIQ" hidden="1">"c3670"</definedName>
    <definedName name="IQ_FFO_HIGH_EST_REUT" hidden="1">"c3839"</definedName>
    <definedName name="IQ_FFO_HIGH_EST_THOM" hidden="1">"c4001"</definedName>
    <definedName name="IQ_FFO_LOW_EST" hidden="1">"c420"</definedName>
    <definedName name="IQ_FFO_LOW_EST_CIQ" hidden="1">"c3671"</definedName>
    <definedName name="IQ_FFO_LOW_EST_REUT" hidden="1">"c3840"</definedName>
    <definedName name="IQ_FFO_LOW_EST_THOM" hidden="1">"c4002"</definedName>
    <definedName name="IQ_FFO_MEDIAN_EST_CIQ" hidden="1">"c3669"</definedName>
    <definedName name="IQ_FFO_MEDIAN_EST_REUT" hidden="1">"c3838"</definedName>
    <definedName name="IQ_FFO_MEDIAN_EST_THOM" hidden="1">"c4000"</definedName>
    <definedName name="IQ_FFO_NO_EST" hidden="1">"c276"</definedName>
    <definedName name="IQ_FFO_NUM_EST" hidden="1">"c421"</definedName>
    <definedName name="IQ_FFO_NUM_EST_CIQ" hidden="1">"c3672"</definedName>
    <definedName name="IQ_FFO_NUM_EST_REUT" hidden="1">"c3841"</definedName>
    <definedName name="IQ_FFO_NUM_EST_THOM" hidden="1">"c4003"</definedName>
    <definedName name="IQ_FFO_PAYOUT_RATIO" hidden="1">"c3492"</definedName>
    <definedName name="IQ_FFO_STDDEV_EST" hidden="1">"c422"</definedName>
    <definedName name="IQ_FFO_STDDEV_EST_CIQ" hidden="1">"c3673"</definedName>
    <definedName name="IQ_FFO_STDDEV_EST_REUT" hidden="1">"c3842"</definedName>
    <definedName name="IQ_FFO_STDDEV_EST_THOM" hidden="1">"c4004"</definedName>
    <definedName name="IQ_FH">100000</definedName>
    <definedName name="IQ_FHLB_ADVANCES_FDIC" hidden="1">"c6366"</definedName>
    <definedName name="IQ_FHLB_DEBT" hidden="1">"c423"</definedName>
    <definedName name="IQ_FHLB_DUE_AFTER_FIVE" hidden="1">"c2086"</definedName>
    <definedName name="IQ_FHLB_DUE_CY" hidden="1">"c2080"</definedName>
    <definedName name="IQ_FHLB_DUE_CY1" hidden="1">"c2081"</definedName>
    <definedName name="IQ_FHLB_DUE_CY2" hidden="1">"c2082"</definedName>
    <definedName name="IQ_FHLB_DUE_CY3" hidden="1">"c2083"</definedName>
    <definedName name="IQ_FHLB_DUE_CY4" hidden="1">"c2084"</definedName>
    <definedName name="IQ_FHLB_DUE_NEXT_FIVE" hidden="1">"c2085"</definedName>
    <definedName name="IQ_FIDUCIARY_ACTIVITIES_FDIC" hidden="1">"c6571"</definedName>
    <definedName name="IQ_FIFETEEN_YEAR_FIXED_AND_FLOATING_RATE_FDIC" hidden="1">"c6423"</definedName>
    <definedName name="IQ_FIFETEEN_YEAR_MORTGAGE_PASS_THROUGHS_FDIC" hidden="1">"c6415"</definedName>
    <definedName name="IQ_FII_12M_RETURN" hidden="1">"c25807"</definedName>
    <definedName name="IQ_FII_3M_RETURN" hidden="1">"c25808"</definedName>
    <definedName name="IQ_FII_6M_RETURN" hidden="1">"c25809"</definedName>
    <definedName name="IQ_FII_AVGBIDSPREAD" hidden="1">"c25820"</definedName>
    <definedName name="IQ_FII_CONVEX" hidden="1">"c25799"</definedName>
    <definedName name="IQ_FII_COUPON" hidden="1">"c25800"</definedName>
    <definedName name="IQ_FII_DAILY_RETURN" hidden="1">"c25810"</definedName>
    <definedName name="IQ_FII_DURTW" hidden="1">"c25802"</definedName>
    <definedName name="IQ_FII_EXCESS_RETURN" hidden="1">"c25819"</definedName>
    <definedName name="IQ_FII_INDEXPRICE" hidden="1">"c25806"</definedName>
    <definedName name="IQ_FII_MATURITY" hidden="1">"c25804"</definedName>
    <definedName name="IQ_FII_MODDUR" hidden="1">"c25801"</definedName>
    <definedName name="IQ_FII_MTD_RETURN_COUPON" hidden="1">"c25813"</definedName>
    <definedName name="IQ_FII_MTD_RETURN_CURRENCY" hidden="1">"c25814"</definedName>
    <definedName name="IQ_FII_MTD_RETURN_PAYDOWN" hidden="1">"c25815"</definedName>
    <definedName name="IQ_FII_MTD_RETURN_PRICE" hidden="1">"c25816"</definedName>
    <definedName name="IQ_FII_MTD_RETURN_TOTAL" hidden="1">"c25812"</definedName>
    <definedName name="IQ_FII_MV" hidden="1">"c25803"</definedName>
    <definedName name="IQ_FII_NUMISSUE" hidden="1">"c25805"</definedName>
    <definedName name="IQ_FII_OAS" hidden="1">"c25798"</definedName>
    <definedName name="IQ_FII_RETURN_INCEPTION" hidden="1">"c25811"</definedName>
    <definedName name="IQ_FII_YTD_RETURN" hidden="1">"c25817"</definedName>
    <definedName name="IQ_FII_YTW" hidden="1">"c25818"</definedName>
    <definedName name="IQ_FILING_CURRENCY" hidden="1">"c2129"</definedName>
    <definedName name="IQ_FILINGDATE_BS" hidden="1">"c424"</definedName>
    <definedName name="IQ_FILINGDATE_CF" hidden="1">"c425"</definedName>
    <definedName name="IQ_FILINGDATE_IS" hidden="1">"c426"</definedName>
    <definedName name="IQ_FILM_RIGHTS" hidden="1">"c2254"</definedName>
    <definedName name="IQ_FIN_DIV_ASSETS_CURRENT" hidden="1">"c427"</definedName>
    <definedName name="IQ_FIN_DIV_ASSETS_LT" hidden="1">"c428"</definedName>
    <definedName name="IQ_FIN_DIV_CURRENT_PORT_DEBT_TOTAL" hidden="1">"c5524"</definedName>
    <definedName name="IQ_FIN_DIV_CURRENT_PORT_LEASES_TOTAL" hidden="1">"c5523"</definedName>
    <definedName name="IQ_FIN_DIV_DEBT_CURRENT" hidden="1">"c429"</definedName>
    <definedName name="IQ_FIN_DIV_DEBT_LT" hidden="1">"c430"</definedName>
    <definedName name="IQ_FIN_DIV_DEBT_LT_TOTAL" hidden="1">"c5526"</definedName>
    <definedName name="IQ_FIN_DIV_EXP" hidden="1">"c431"</definedName>
    <definedName name="IQ_FIN_DIV_INT_EXP" hidden="1">"c432"</definedName>
    <definedName name="IQ_FIN_DIV_LEASES_LT_TOTAL" hidden="1">"c5525"</definedName>
    <definedName name="IQ_FIN_DIV_LIAB_CURRENT" hidden="1">"c433"</definedName>
    <definedName name="IQ_FIN_DIV_LIAB_LT" hidden="1">"c434"</definedName>
    <definedName name="IQ_FIN_DIV_LOANS_CURRENT" hidden="1">"c435"</definedName>
    <definedName name="IQ_FIN_DIV_LOANS_LT" hidden="1">"c436"</definedName>
    <definedName name="IQ_FIN_DIV_NOTES_PAY_TOTAL" hidden="1">"c5522"</definedName>
    <definedName name="IQ_FIN_DIV_REV" hidden="1">"c437"</definedName>
    <definedName name="IQ_FINANCING_CASH" hidden="1">"c893"</definedName>
    <definedName name="IQ_FINANCING_CASH_SUPPL" hidden="1">"c899"</definedName>
    <definedName name="IQ_FINISHED_INV" hidden="1">"c438"</definedName>
    <definedName name="IQ_FIRST_YEAR_LIFE" hidden="1">"c439"</definedName>
    <definedName name="IQ_FIRST_YEAR_LIFE_PREM" hidden="1">"c2787"</definedName>
    <definedName name="IQ_FIRST_YEAR_PREM" hidden="1">"c2786"</definedName>
    <definedName name="IQ_FIRSTPRICINGDATE" hidden="1">"c3050"</definedName>
    <definedName name="IQ_FISCAL_Q" hidden="1">"c440"</definedName>
    <definedName name="IQ_FISCAL_Y" hidden="1">"c441"</definedName>
    <definedName name="IQ_FIVE_PERCENT_OWNER" hidden="1">"c442"</definedName>
    <definedName name="IQ_FIVE_YEAR_FIXED_AND_FLOATING_RATE_FDIC" hidden="1">"c6422"</definedName>
    <definedName name="IQ_FIVE_YEAR_MORTGAGE_PASS_THROUGHS_FDIC" hidden="1">"c6414"</definedName>
    <definedName name="IQ_FIVEPERCENT_PERCENT" hidden="1">"c443"</definedName>
    <definedName name="IQ_FIVEPERCENT_SHARES" hidden="1">"c444"</definedName>
    <definedName name="IQ_FIXED_ASSET_TURNS" hidden="1">"c445"</definedName>
    <definedName name="IQ_FIXED_INVEST_APR_FC_UNUSED_UNUSED_UNUSED" hidden="1">"c8410"</definedName>
    <definedName name="IQ_FIXED_INVEST_APR_UNUSED_UNUSED_UNUSED" hidden="1">"c7530"</definedName>
    <definedName name="IQ_FIXED_INVEST_FC_UNUSED_UNUSED_UNUSED" hidden="1">"c7750"</definedName>
    <definedName name="IQ_FIXED_INVEST_POP_FC_UNUSED_UNUSED_UNUSED" hidden="1">"c7970"</definedName>
    <definedName name="IQ_FIXED_INVEST_POP_UNUSED_UNUSED_UNUSED" hidden="1">"c7090"</definedName>
    <definedName name="IQ_FIXED_INVEST_REAL_APR_FC_UNUSED_UNUSED_UNUSED" hidden="1">"c8518"</definedName>
    <definedName name="IQ_FIXED_INVEST_REAL_APR_UNUSED_UNUSED_UNUSED" hidden="1">"c7638"</definedName>
    <definedName name="IQ_FIXED_INVEST_REAL_FC_UNUSED_UNUSED_UNUSED" hidden="1">"c7858"</definedName>
    <definedName name="IQ_FIXED_INVEST_REAL_POP_FC_UNUSED_UNUSED_UNUSED" hidden="1">"c8078"</definedName>
    <definedName name="IQ_FIXED_INVEST_REAL_POP_UNUSED_UNUSED_UNUSED" hidden="1">"c7198"</definedName>
    <definedName name="IQ_FIXED_INVEST_REAL_UNUSED_UNUSED_UNUSED" hidden="1">"c6978"</definedName>
    <definedName name="IQ_FIXED_INVEST_REAL_YOY_FC_UNUSED_UNUSED_UNUSED" hidden="1">"c8298"</definedName>
    <definedName name="IQ_FIXED_INVEST_REAL_YOY_UNUSED_UNUSED_UNUSED" hidden="1">"c7418"</definedName>
    <definedName name="IQ_FIXED_INVEST_UNUSED_UNUSED_UNUSED" hidden="1">"c6870"</definedName>
    <definedName name="IQ_FIXED_INVEST_YOY_FC_UNUSED_UNUSED_UNUSED" hidden="1">"c8190"</definedName>
    <definedName name="IQ_FIXED_INVEST_YOY_UNUSED_UNUSED_UNUSED" hidden="1">"c7310"</definedName>
    <definedName name="IQ_FLOAT_PERCENT" hidden="1">"c1575"</definedName>
    <definedName name="IQ_FNMA_FHLMC_FDIC" hidden="1">"c6397"</definedName>
    <definedName name="IQ_FNMA_FHLMC_GNMA_FDIC" hidden="1">"c6399"</definedName>
    <definedName name="IQ_FORECLOSED_PROPERTIES_FDIC" hidden="1">"c6459"</definedName>
    <definedName name="IQ_FOREIGN_BANK_LOANS_FDIC" hidden="1">"c6437"</definedName>
    <definedName name="IQ_FOREIGN_BANKS_DEPOSITS_FOREIGN_FDIC" hidden="1">"c6481"</definedName>
    <definedName name="IQ_FOREIGN_BANKS_LOAN_CHARG_OFFS_FDIC" hidden="1">"c6645"</definedName>
    <definedName name="IQ_FOREIGN_BANKS_NET_CHARGE_OFFS_FDIC" hidden="1">"c6647"</definedName>
    <definedName name="IQ_FOREIGN_BANKS_NONTRANSACTION_ACCOUNTS_FDIC" hidden="1">"c6550"</definedName>
    <definedName name="IQ_FOREIGN_BANKS_RECOVERIES_FDIC" hidden="1">"c6646"</definedName>
    <definedName name="IQ_FOREIGN_BANKS_TRANSACTION_ACCOUNTS_FDIC" hidden="1">"c6542"</definedName>
    <definedName name="IQ_FOREIGN_BRANCHES_U.S._BANKS_LOANS_FDIC" hidden="1">"c6438"</definedName>
    <definedName name="IQ_FOREIGN_BRANCHES_US_BANKS_FDIC" hidden="1">"c6392"</definedName>
    <definedName name="IQ_FOREIGN_BRANCHES_US_BANKS_LOANS_FDIC" hidden="1">"c6438"</definedName>
    <definedName name="IQ_FOREIGN_COUNTRIES_BANKS_TOTAL_LOANS_FOREIGN_FDIC" hidden="1">"c6445"</definedName>
    <definedName name="IQ_FOREIGN_DEBT_SECURITIES_FDIC" hidden="1">"c6303"</definedName>
    <definedName name="IQ_FOREIGN_DEP_IB" hidden="1">"c446"</definedName>
    <definedName name="IQ_FOREIGN_DEP_NON_IB" hidden="1">"c447"</definedName>
    <definedName name="IQ_FOREIGN_DEPOSITS_NONTRANSACTION_ACCOUNTS_FDIC" hidden="1">"c6549"</definedName>
    <definedName name="IQ_FOREIGN_DEPOSITS_TRANSACTION_ACCOUNTS_FDIC" hidden="1">"c6541"</definedName>
    <definedName name="IQ_FOREIGN_EXCHANGE" hidden="1">"c451"</definedName>
    <definedName name="IQ_FOREIGN_EXCHANGE_EXPOSURES_FDIC" hidden="1">"c6663"</definedName>
    <definedName name="IQ_FOREIGN_GOVERNMENT_LOANS_FDIC" hidden="1">"c6430"</definedName>
    <definedName name="IQ_FOREIGN_GOVERNMENTS_CHARGE_OFFS_FDIC" hidden="1">"c6600"</definedName>
    <definedName name="IQ_FOREIGN_GOVERNMENTS_DEPOSITS_FOREIGN_FDIC" hidden="1">"c6482"</definedName>
    <definedName name="IQ_FOREIGN_GOVERNMENTS_NET_CHARGE_OFFS_FDIC" hidden="1">"c6638"</definedName>
    <definedName name="IQ_FOREIGN_GOVERNMENTS_NONTRANSACTION_ACCOUNTS_FDIC" hidden="1">"c6551"</definedName>
    <definedName name="IQ_FOREIGN_GOVERNMENTS_RECOVERIES_FDIC" hidden="1">"c6619"</definedName>
    <definedName name="IQ_FOREIGN_GOVERNMENTS_TOTAL_DEPOSITS_FDIC" hidden="1">"c6476"</definedName>
    <definedName name="IQ_FOREIGN_GOVERNMENTS_TRANSACTION_ACCOUNTS_FDIC" hidden="1">"c6543"</definedName>
    <definedName name="IQ_FOREIGN_LOANS" hidden="1">"c448"</definedName>
    <definedName name="IQ_FQ">500</definedName>
    <definedName name="IQ_FUEL" hidden="1">"c449"</definedName>
    <definedName name="IQ_FULL_TIME" hidden="1">"c450"</definedName>
    <definedName name="IQ_FULLY_INSURED_DEPOSITS_FDIC" hidden="1">"c6487"</definedName>
    <definedName name="IQ_FUTURES_FORWARD_CONTRACTS_NOTIONAL_AMOUNT_FDIC" hidden="1">"c6518"</definedName>
    <definedName name="IQ_FUTURES_FORWARD_CONTRACTS_RATE_RISK_FDIC" hidden="1">"c6508"</definedName>
    <definedName name="IQ_FWD" hidden="1">"LTM"</definedName>
    <definedName name="IQ_FWD_CY" hidden="1">10001</definedName>
    <definedName name="IQ_FWD_CY1" hidden="1">10002</definedName>
    <definedName name="IQ_FWD_CY2" hidden="1">10003</definedName>
    <definedName name="IQ_FWD_FY" hidden="1">1001</definedName>
    <definedName name="IQ_FWD_FY1" hidden="1">1002</definedName>
    <definedName name="IQ_FWD_FY2" hidden="1">1003</definedName>
    <definedName name="IQ_FWD_Q" hidden="1">501</definedName>
    <definedName name="IQ_FWD_Q1" hidden="1">502</definedName>
    <definedName name="IQ_FWD_Q2" hidden="1">503</definedName>
    <definedName name="IQ_FWD_Q3" hidden="1">"504"</definedName>
    <definedName name="IQ_FWD_Q4" hidden="1">"505"</definedName>
    <definedName name="IQ_FWD_Q5" hidden="1">"506"</definedName>
    <definedName name="IQ_FWD_Q6" hidden="1">"507"</definedName>
    <definedName name="IQ_FWD_Q7" hidden="1">"508"</definedName>
    <definedName name="IQ_FWD1" hidden="1">"LTM"</definedName>
    <definedName name="IQ_FX" hidden="1">"c451"</definedName>
    <definedName name="IQ_FX_CONTRACTS_FDIC" hidden="1">"c6517"</definedName>
    <definedName name="IQ_FX_CONTRACTS_SPOT_FDIC" hidden="1">"c6356"</definedName>
    <definedName name="IQ_FY">1000</definedName>
    <definedName name="IQ_FY_DATE" hidden="1">"IQ_FY_DATE"</definedName>
    <definedName name="IQ_GA_EXP" hidden="1">"c2241"</definedName>
    <definedName name="IQ_GAIN_ASSETS" hidden="1">"c452"</definedName>
    <definedName name="IQ_GAIN_ASSETS_BNK" hidden="1">"c453"</definedName>
    <definedName name="IQ_GAIN_ASSETS_BR" hidden="1">"c454"</definedName>
    <definedName name="IQ_GAIN_ASSETS_CF" hidden="1">"c455"</definedName>
    <definedName name="IQ_GAIN_ASSETS_CF_BNK" hidden="1">"c456"</definedName>
    <definedName name="IQ_GAIN_ASSETS_CF_BR" hidden="1">"c457"</definedName>
    <definedName name="IQ_GAIN_ASSETS_CF_FIN" hidden="1">"c458"</definedName>
    <definedName name="IQ_GAIN_ASSETS_CF_INS" hidden="1">"c459"</definedName>
    <definedName name="IQ_GAIN_ASSETS_CF_REIT" hidden="1">"c460"</definedName>
    <definedName name="IQ_GAIN_ASSETS_CF_UTI" hidden="1">"c461"</definedName>
    <definedName name="IQ_GAIN_ASSETS_FIN" hidden="1">"c462"</definedName>
    <definedName name="IQ_GAIN_ASSETS_INS" hidden="1">"c463"</definedName>
    <definedName name="IQ_GAIN_ASSETS_REIT" hidden="1">"c471"</definedName>
    <definedName name="IQ_GAIN_ASSETS_REV" hidden="1">"c472"</definedName>
    <definedName name="IQ_GAIN_ASSETS_REV_BNK" hidden="1">"c473"</definedName>
    <definedName name="IQ_GAIN_ASSETS_REV_BR" hidden="1">"c474"</definedName>
    <definedName name="IQ_GAIN_ASSETS_REV_FIN" hidden="1">"c475"</definedName>
    <definedName name="IQ_GAIN_ASSETS_REV_INS" hidden="1">"c476"</definedName>
    <definedName name="IQ_GAIN_ASSETS_REV_REIT" hidden="1">"c477"</definedName>
    <definedName name="IQ_GAIN_ASSETS_REV_UTI" hidden="1">"c478"</definedName>
    <definedName name="IQ_GAIN_ASSETS_UTI" hidden="1">"c479"</definedName>
    <definedName name="IQ_GAIN_INVEST" hidden="1">"c1463"</definedName>
    <definedName name="IQ_GAIN_INVEST_BNK" hidden="1">"c1582"</definedName>
    <definedName name="IQ_GAIN_INVEST_BR" hidden="1">"c1464"</definedName>
    <definedName name="IQ_GAIN_INVEST_CF" hidden="1">"c480"</definedName>
    <definedName name="IQ_GAIN_INVEST_CF_BNK" hidden="1">"c481"</definedName>
    <definedName name="IQ_GAIN_INVEST_CF_BR" hidden="1">"c482"</definedName>
    <definedName name="IQ_GAIN_INVEST_CF_FIN" hidden="1">"c483"</definedName>
    <definedName name="IQ_GAIN_INVEST_CF_INS" hidden="1">"c484"</definedName>
    <definedName name="IQ_GAIN_INVEST_CF_REIT" hidden="1">"c485"</definedName>
    <definedName name="IQ_GAIN_INVEST_CF_UTI" hidden="1">"c486"</definedName>
    <definedName name="IQ_GAIN_INVEST_FIN" hidden="1">"c1465"</definedName>
    <definedName name="IQ_GAIN_INVEST_INS" hidden="1">"c1466"</definedName>
    <definedName name="IQ_GAIN_INVEST_REC_BNK" hidden="1">"c488"</definedName>
    <definedName name="IQ_GAIN_INVEST_REIT" hidden="1">"c1467"</definedName>
    <definedName name="IQ_GAIN_INVEST_REV" hidden="1">"c494"</definedName>
    <definedName name="IQ_GAIN_INVEST_REV_BNK" hidden="1">"c495"</definedName>
    <definedName name="IQ_GAIN_INVEST_REV_BR" hidden="1">"c496"</definedName>
    <definedName name="IQ_GAIN_INVEST_REV_FIN" hidden="1">"c497"</definedName>
    <definedName name="IQ_GAIN_INVEST_REV_INS" hidden="1">"c498"</definedName>
    <definedName name="IQ_GAIN_INVEST_REV_REIT" hidden="1">"c499"</definedName>
    <definedName name="IQ_GAIN_INVEST_REV_UTI" hidden="1">"c500"</definedName>
    <definedName name="IQ_GAIN_INVEST_UTI" hidden="1">"c1468"</definedName>
    <definedName name="IQ_GAIN_LOANS_REC" hidden="1">"c501"</definedName>
    <definedName name="IQ_GAIN_LOANS_RECEIV" hidden="1">"c502"</definedName>
    <definedName name="IQ_GAIN_LOANS_RECEIV_REV_FIN" hidden="1">"c503"</definedName>
    <definedName name="IQ_GAIN_LOANS_REV" hidden="1">"c504"</definedName>
    <definedName name="IQ_GAIN_SALE_ASSETS" hidden="1">"c452"</definedName>
    <definedName name="IQ_GAIN_SALE_LOANS_FDIC" hidden="1">"c6673"</definedName>
    <definedName name="IQ_GAIN_SALE_RE_FDIC" hidden="1">"c6674"</definedName>
    <definedName name="IQ_GAINS_SALE_ASSETS_FDIC" hidden="1">"c6675"</definedName>
    <definedName name="IQ_GNMA_FDIC" hidden="1">"c6398"</definedName>
    <definedName name="IQ_GOODWILL_FDIC" hidden="1">"c6334"</definedName>
    <definedName name="IQ_GOODWILL_IMPAIRMENT_FDIC" hidden="1">"c6678"</definedName>
    <definedName name="IQ_GOODWILL_INTAN_FDIC" hidden="1">"c6333"</definedName>
    <definedName name="IQ_GOODWILL_NET" hidden="1">"c530"</definedName>
    <definedName name="IQ_GP" hidden="1">"c511"</definedName>
    <definedName name="IQ_GP_10YR_ANN_GROWTH" hidden="1">"c512"</definedName>
    <definedName name="IQ_GP_1YR_ANN_GROWTH" hidden="1">"c513"</definedName>
    <definedName name="IQ_GP_2YR_ANN_GROWTH" hidden="1">"c514"</definedName>
    <definedName name="IQ_GP_3YR_ANN_GROWTH" hidden="1">"c515"</definedName>
    <definedName name="IQ_GP_5YR_ANN_GROWTH" hidden="1">"c516"</definedName>
    <definedName name="IQ_GP_7YR_ANN_GROWTH" hidden="1">"c517"</definedName>
    <definedName name="IQ_GPPE" hidden="1">"c518"</definedName>
    <definedName name="IQ_GROSS_AH_EARNED" hidden="1">"c2742"</definedName>
    <definedName name="IQ_GROSS_CLAIM_EXP_INCUR" hidden="1">"c2755"</definedName>
    <definedName name="IQ_GROSS_CLAIM_EXP_PAID" hidden="1">"c2758"</definedName>
    <definedName name="IQ_GROSS_CLAIM_EXP_RES" hidden="1">"c2752"</definedName>
    <definedName name="IQ_GROSS_DIVID" hidden="1">"c192"</definedName>
    <definedName name="IQ_GROSS_EARNED" hidden="1">"c2732"</definedName>
    <definedName name="IQ_GROSS_INTAN" hidden="1">"c520"</definedName>
    <definedName name="IQ_GROSS_LIFE_EARNED" hidden="1">"c2737"</definedName>
    <definedName name="IQ_GROSS_LIFE_IN_FORCE" hidden="1">"c2767"</definedName>
    <definedName name="IQ_GROSS_LOANS" hidden="1">"c521"</definedName>
    <definedName name="IQ_GROSS_LOANS_10YR_ANN_GROWTH" hidden="1">"c522"</definedName>
    <definedName name="IQ_GROSS_LOANS_1YR_ANN_GROWTH" hidden="1">"c523"</definedName>
    <definedName name="IQ_GROSS_LOANS_2YR_ANN_GROWTH" hidden="1">"c524"</definedName>
    <definedName name="IQ_GROSS_LOANS_3YR_ANN_GROWTH" hidden="1">"c525"</definedName>
    <definedName name="IQ_GROSS_LOANS_5YR_ANN_GROWTH" hidden="1">"c526"</definedName>
    <definedName name="IQ_GROSS_LOANS_7YR_ANN_GROWTH" hidden="1">"c527"</definedName>
    <definedName name="IQ_GROSS_LOANS_TOTAL_DEPOSITS" hidden="1">"c528"</definedName>
    <definedName name="IQ_GROSS_MARGIN" hidden="1">"c529"</definedName>
    <definedName name="IQ_GROSS_PC_EARNED" hidden="1">"c2747"</definedName>
    <definedName name="IQ_GROSS_PROFIT" hidden="1">"c511"</definedName>
    <definedName name="IQ_GROSS_WRITTEN" hidden="1">"c2726"</definedName>
    <definedName name="IQ_GW" hidden="1">"c530"</definedName>
    <definedName name="IQ_GW_AMORT_BR" hidden="1">"c532"</definedName>
    <definedName name="IQ_GW_AMORT_FIN" hidden="1">"c540"</definedName>
    <definedName name="IQ_GW_AMORT_INS" hidden="1">"c541"</definedName>
    <definedName name="IQ_GW_AMORT_REIT" hidden="1">"c542"</definedName>
    <definedName name="IQ_GW_AMORT_UTI" hidden="1">"c543"</definedName>
    <definedName name="IQ_GW_INTAN_AMORT" hidden="1">"c1469"</definedName>
    <definedName name="IQ_GW_INTAN_AMORT_BNK" hidden="1">"c544"</definedName>
    <definedName name="IQ_GW_INTAN_AMORT_BR" hidden="1">"c1470"</definedName>
    <definedName name="IQ_GW_INTAN_AMORT_CF" hidden="1">"c1471"</definedName>
    <definedName name="IQ_GW_INTAN_AMORT_CF_BNK" hidden="1">"c1472"</definedName>
    <definedName name="IQ_GW_INTAN_AMORT_CF_BR" hidden="1">"c1473"</definedName>
    <definedName name="IQ_GW_INTAN_AMORT_CF_FIN" hidden="1">"c1474"</definedName>
    <definedName name="IQ_GW_INTAN_AMORT_CF_INS" hidden="1">"c1475"</definedName>
    <definedName name="IQ_GW_INTAN_AMORT_CF_REIT" hidden="1">"c1476"</definedName>
    <definedName name="IQ_GW_INTAN_AMORT_CF_UTI" hidden="1">"c1477"</definedName>
    <definedName name="IQ_GW_INTAN_AMORT_FIN" hidden="1">"c1478"</definedName>
    <definedName name="IQ_GW_INTAN_AMORT_INS" hidden="1">"c1479"</definedName>
    <definedName name="IQ_GW_INTAN_AMORT_REIT" hidden="1">"c1480"</definedName>
    <definedName name="IQ_GW_INTAN_AMORT_UTI" hidden="1">"c1481"</definedName>
    <definedName name="IQ_HELD_MATURITY_FDIC" hidden="1">"c6408"</definedName>
    <definedName name="IQ_HIGHPRICE" hidden="1">"c545"</definedName>
    <definedName name="IQ_HOME_EQUITY_LOC_NET_CHARGE_OFFS_FDIC" hidden="1">"c6644"</definedName>
    <definedName name="IQ_HOME_EQUITY_LOC_TOTAL_CHARGE_OFFS_FDIC" hidden="1">"c6606"</definedName>
    <definedName name="IQ_HOME_EQUITY_LOC_TOTAL_RECOVERIES_FDIC" hidden="1">"c6625"</definedName>
    <definedName name="IQ_HOMEOWNERS_WRITTEN" hidden="1">"c546"</definedName>
    <definedName name="IQ_HOUSING_COMPLETIONS_SINGLE_FAM_APR_FC_UNUSED_UNUSED_UNUSED" hidden="1">"c8422"</definedName>
    <definedName name="IQ_HOUSING_COMPLETIONS_SINGLE_FAM_APR_UNUSED_UNUSED_UNUSED" hidden="1">"c7542"</definedName>
    <definedName name="IQ_HOUSING_COMPLETIONS_SINGLE_FAM_FC_UNUSED_UNUSED_UNUSED" hidden="1">"c7762"</definedName>
    <definedName name="IQ_HOUSING_COMPLETIONS_SINGLE_FAM_POP_FC_UNUSED_UNUSED_UNUSED" hidden="1">"c7982"</definedName>
    <definedName name="IQ_HOUSING_COMPLETIONS_SINGLE_FAM_POP_UNUSED_UNUSED_UNUSED" hidden="1">"c7102"</definedName>
    <definedName name="IQ_HOUSING_COMPLETIONS_SINGLE_FAM_UNUSED_UNUSED_UNUSED" hidden="1">"c6882"</definedName>
    <definedName name="IQ_HOUSING_COMPLETIONS_SINGLE_FAM_YOY_FC_UNUSED_UNUSED_UNUSED" hidden="1">"c8202"</definedName>
    <definedName name="IQ_HOUSING_COMPLETIONS_SINGLE_FAM_YOY_UNUSED_UNUSED_UNUSED" hidden="1">"c7322"</definedName>
    <definedName name="IQ_IMPAIR_OIL" hidden="1">"c547"</definedName>
    <definedName name="IQ_IMPAIRMENT_GW" hidden="1">"c548"</definedName>
    <definedName name="IQ_IMPORTS_GOODS_REAL_SAAR_APR_FC_UNUSED_UNUSED_UNUSED" hidden="1">"c8523"</definedName>
    <definedName name="IQ_IMPORTS_GOODS_REAL_SAAR_APR_UNUSED_UNUSED_UNUSED" hidden="1">"c7643"</definedName>
    <definedName name="IQ_IMPORTS_GOODS_REAL_SAAR_FC_UNUSED_UNUSED_UNUSED" hidden="1">"c7863"</definedName>
    <definedName name="IQ_IMPORTS_GOODS_REAL_SAAR_POP_FC_UNUSED_UNUSED_UNUSED" hidden="1">"c8083"</definedName>
    <definedName name="IQ_IMPORTS_GOODS_REAL_SAAR_POP_UNUSED_UNUSED_UNUSED" hidden="1">"c7203"</definedName>
    <definedName name="IQ_IMPORTS_GOODS_REAL_SAAR_UNUSED_UNUSED_UNUSED" hidden="1">"c6983"</definedName>
    <definedName name="IQ_IMPORTS_GOODS_REAL_SAAR_YOY_FC_UNUSED_UNUSED_UNUSED" hidden="1">"c8303"</definedName>
    <definedName name="IQ_IMPORTS_GOODS_REAL_SAAR_YOY_UNUSED_UNUSED_UNUSED" hidden="1">"c7423"</definedName>
    <definedName name="IQ_IMPORTS_GOODS_SERVICES_APR_FC_UNUSED_UNUSED_UNUSED" hidden="1">"c8429"</definedName>
    <definedName name="IQ_IMPORTS_GOODS_SERVICES_APR_UNUSED_UNUSED_UNUSED" hidden="1">"c7549"</definedName>
    <definedName name="IQ_IMPORTS_GOODS_SERVICES_FC_UNUSED_UNUSED_UNUSED" hidden="1">"c7769"</definedName>
    <definedName name="IQ_IMPORTS_GOODS_SERVICES_POP_FC_UNUSED_UNUSED_UNUSED" hidden="1">"c7989"</definedName>
    <definedName name="IQ_IMPORTS_GOODS_SERVICES_POP_UNUSED_UNUSED_UNUSED" hidden="1">"c7109"</definedName>
    <definedName name="IQ_IMPORTS_GOODS_SERVICES_REAL_SAAR_APR_FC_UNUSED_UNUSED_UNUSED" hidden="1">"c8524"</definedName>
    <definedName name="IQ_IMPORTS_GOODS_SERVICES_REAL_SAAR_APR_UNUSED_UNUSED_UNUSED" hidden="1">"c7644"</definedName>
    <definedName name="IQ_IMPORTS_GOODS_SERVICES_REAL_SAAR_FC_UNUSED_UNUSED_UNUSED" hidden="1">"c7864"</definedName>
    <definedName name="IQ_IMPORTS_GOODS_SERVICES_REAL_SAAR_POP_FC_UNUSED_UNUSED_UNUSED" hidden="1">"c8084"</definedName>
    <definedName name="IQ_IMPORTS_GOODS_SERVICES_REAL_SAAR_POP_UNUSED_UNUSED_UNUSED" hidden="1">"c7204"</definedName>
    <definedName name="IQ_IMPORTS_GOODS_SERVICES_REAL_SAAR_UNUSED_UNUSED_UNUSED" hidden="1">"c6984"</definedName>
    <definedName name="IQ_IMPORTS_GOODS_SERVICES_REAL_SAAR_YOY_FC_UNUSED_UNUSED_UNUSED" hidden="1">"c8304"</definedName>
    <definedName name="IQ_IMPORTS_GOODS_SERVICES_REAL_SAAR_YOY_UNUSED_UNUSED_UNUSED" hidden="1">"c7424"</definedName>
    <definedName name="IQ_IMPORTS_GOODS_SERVICES_UNUSED_UNUSED_UNUSED" hidden="1">"c6889"</definedName>
    <definedName name="IQ_IMPORTS_GOODS_SERVICES_YOY_FC_UNUSED_UNUSED_UNUSED" hidden="1">"c8209"</definedName>
    <definedName name="IQ_IMPORTS_GOODS_SERVICES_YOY_UNUSED_UNUSED_UNUSED" hidden="1">"c7329"</definedName>
    <definedName name="IQ_IMPUT_OPER_LEASE_DEPR" hidden="1">"c2987"</definedName>
    <definedName name="IQ_IMPUT_OPER_LEASE_INT_EXP" hidden="1">"c2986"</definedName>
    <definedName name="IQ_INC_AFTER_TAX" hidden="1">"c1598"</definedName>
    <definedName name="IQ_INC_AVAIL_EXCL" hidden="1">"c789"</definedName>
    <definedName name="IQ_INC_AVAIL_INCL" hidden="1">"c791"</definedName>
    <definedName name="IQ_INC_BEFORE_TAX" hidden="1">"c386"</definedName>
    <definedName name="IQ_INC_EQUITY" hidden="1">"c549"</definedName>
    <definedName name="IQ_INC_EQUITY_BR" hidden="1">"c550"</definedName>
    <definedName name="IQ_INC_EQUITY_CF" hidden="1">"c551"</definedName>
    <definedName name="IQ_INC_EQUITY_FIN" hidden="1">"c552"</definedName>
    <definedName name="IQ_INC_EQUITY_INS" hidden="1">"c553"</definedName>
    <definedName name="IQ_INC_EQUITY_REC_BNK" hidden="1">"c554"</definedName>
    <definedName name="IQ_INC_EQUITY_REIT" hidden="1">"c555"</definedName>
    <definedName name="IQ_INC_EQUITY_REV_BNK" hidden="1">"c556"</definedName>
    <definedName name="IQ_INC_EQUITY_UTI" hidden="1">"c557"</definedName>
    <definedName name="IQ_INC_REAL_ESTATE_REC" hidden="1">"c558"</definedName>
    <definedName name="IQ_INC_REAL_ESTATE_REV" hidden="1">"c559"</definedName>
    <definedName name="IQ_INC_TAX" hidden="1">"c560"</definedName>
    <definedName name="IQ_INC_TAX_EXCL" hidden="1">"c1599"</definedName>
    <definedName name="IQ_INC_TAX_PAY_CURRENT" hidden="1">"c561"</definedName>
    <definedName name="IQ_INC_TRADE_ACT" hidden="1">"c562"</definedName>
    <definedName name="IQ_INCIDENTAL_CHANGES_BUSINESS_COMBINATIONS_FDIC" hidden="1">"c6502"</definedName>
    <definedName name="IQ_INCOME_BEFORE_EXTRA_FDIC" hidden="1">"c6585"</definedName>
    <definedName name="IQ_INCOME_EARNED_FDIC" hidden="1">"c6359"</definedName>
    <definedName name="IQ_INCOME_TAXES_FDIC" hidden="1">"c6582"</definedName>
    <definedName name="IQ_INDEX_PROVIDED_DIVIDEND" hidden="1">"c19252"</definedName>
    <definedName name="IQ_INDEXCONSTITUENT_CLOSEPRICE" hidden="1">"c19241"</definedName>
    <definedName name="IQ_INDIVIDUALS_CHARGE_OFFS_FDIC" hidden="1">"c6599"</definedName>
    <definedName name="IQ_INDIVIDUALS_LOANS_FDIC" hidden="1">"c6318"</definedName>
    <definedName name="IQ_INDIVIDUALS_NET_CHARGE_OFFS_FDIC" hidden="1">"c6637"</definedName>
    <definedName name="IQ_INDIVIDUALS_OTHER_LOANS_FDIC" hidden="1">"c6321"</definedName>
    <definedName name="IQ_INDIVIDUALS_PARTNERSHIPS_CORP_DEPOSITS_FOREIGN_FDIC" hidden="1">"c6479"</definedName>
    <definedName name="IQ_INDIVIDUALS_PARTNERSHIPS_CORP_NONTRANSACTION_ACCOUNTS_FDIC" hidden="1">"c6545"</definedName>
    <definedName name="IQ_INDIVIDUALS_PARTNERSHIPS_CORP_TOTAL_DEPOSITS_FDIC" hidden="1">"c6471"</definedName>
    <definedName name="IQ_INDIVIDUALS_PARTNERSHIPS_CORP_TRANSACTION_ACCOUNTS_FDIC" hidden="1">"c6537"</definedName>
    <definedName name="IQ_INDIVIDUALS_RECOVERIES_FDIC" hidden="1">"c6618"</definedName>
    <definedName name="IQ_INS_ANNUITY_LIAB" hidden="1">"c563"</definedName>
    <definedName name="IQ_INS_ANNUITY_REV" hidden="1">"c2788"</definedName>
    <definedName name="IQ_INS_DIV_EXP" hidden="1">"c564"</definedName>
    <definedName name="IQ_INS_DIV_REV" hidden="1">"c565"</definedName>
    <definedName name="IQ_INS_IN_FORCE" hidden="1">"c566"</definedName>
    <definedName name="IQ_INS_LIAB" hidden="1">"c567"</definedName>
    <definedName name="IQ_INS_POLICY_EXP" hidden="1">"c568"</definedName>
    <definedName name="IQ_INS_REV" hidden="1">"c569"</definedName>
    <definedName name="IQ_INS_SETTLE" hidden="1">"c570"</definedName>
    <definedName name="IQ_INS_SETTLE_BNK" hidden="1">"c571"</definedName>
    <definedName name="IQ_INS_SETTLE_BR" hidden="1">"c572"</definedName>
    <definedName name="IQ_INS_SETTLE_FIN" hidden="1">"c573"</definedName>
    <definedName name="IQ_INS_SETTLE_INS" hidden="1">"c574"</definedName>
    <definedName name="IQ_INS_SETTLE_REIT" hidden="1">"c575"</definedName>
    <definedName name="IQ_INS_SETTLE_UTI" hidden="1">"c576"</definedName>
    <definedName name="IQ_INSIDER_3MTH_BOUGHT" hidden="1">"c1534"</definedName>
    <definedName name="IQ_INSIDER_3MTH_BOUGHT_PCT" hidden="1">"c1534"</definedName>
    <definedName name="IQ_INSIDER_3MTH_NET" hidden="1">"c1535"</definedName>
    <definedName name="IQ_INSIDER_3MTH_NET_PCT" hidden="1">"c1535"</definedName>
    <definedName name="IQ_INSIDER_3MTH_SOLD" hidden="1">"c1533"</definedName>
    <definedName name="IQ_INSIDER_3MTH_SOLD_PCT" hidden="1">"c1533"</definedName>
    <definedName name="IQ_INSIDER_6MTH_BOUGHT" hidden="1">"c1537"</definedName>
    <definedName name="IQ_INSIDER_6MTH_BOUGHT_PCT" hidden="1">"c1537"</definedName>
    <definedName name="IQ_INSIDER_6MTH_NET" hidden="1">"c1538"</definedName>
    <definedName name="IQ_INSIDER_6MTH_NET_PCT" hidden="1">"c1538"</definedName>
    <definedName name="IQ_INSIDER_6MTH_SOLD" hidden="1">"c1536"</definedName>
    <definedName name="IQ_INSIDER_6MTH_SOLD_PCT" hidden="1">"c1536"</definedName>
    <definedName name="IQ_INSIDER_LOANS_FDIC" hidden="1">"c6365"</definedName>
    <definedName name="IQ_INSIDER_OVER_TOTAL" hidden="1">"c1581"</definedName>
    <definedName name="IQ_INSIDER_OWNER" hidden="1">"c577"</definedName>
    <definedName name="IQ_INSIDER_PERCENT" hidden="1">"c578"</definedName>
    <definedName name="IQ_INSIDER_SHARES" hidden="1">"c579"</definedName>
    <definedName name="IQ_INSTITUTIONAL_OVER_TOTAL" hidden="1">"c1580"</definedName>
    <definedName name="IQ_INSTITUTIONAL_OWNER" hidden="1">"c580"</definedName>
    <definedName name="IQ_INSTITUTIONAL_PERCENT" hidden="1">"c581"</definedName>
    <definedName name="IQ_INSTITUTIONAL_SHARES" hidden="1">"c582"</definedName>
    <definedName name="IQ_INSTITUTIONS_EARNINGS_GAINS_FDIC" hidden="1">"c6723"</definedName>
    <definedName name="IQ_INSUR_RECEIV" hidden="1">"c1600"</definedName>
    <definedName name="IQ_INSURANCE_COMMISSION_FEES_FDIC" hidden="1">"c6670"</definedName>
    <definedName name="IQ_INSURANCE_UNDERWRITING_INCOME_FDIC" hidden="1">"c6671"</definedName>
    <definedName name="IQ_INT_BORROW" hidden="1">"c583"</definedName>
    <definedName name="IQ_INT_DEMAND_NOTES_FDIC" hidden="1">"c6567"</definedName>
    <definedName name="IQ_INT_DEPOSITS" hidden="1">"c584"</definedName>
    <definedName name="IQ_INT_DIV_INC" hidden="1">"c585"</definedName>
    <definedName name="IQ_INT_DOMESTIC_DEPOSITS_FDIC" hidden="1">"c6564"</definedName>
    <definedName name="IQ_INT_EXP_BR" hidden="1">"c586"</definedName>
    <definedName name="IQ_INT_EXP_COVERAGE" hidden="1">"c587"</definedName>
    <definedName name="IQ_INT_EXP_FIN" hidden="1">"c588"</definedName>
    <definedName name="IQ_INT_EXP_INCL_CAP" hidden="1">"c2988"</definedName>
    <definedName name="IQ_INT_EXP_INS" hidden="1">"c589"</definedName>
    <definedName name="IQ_INT_EXP_LTD" hidden="1">"c2086"</definedName>
    <definedName name="IQ_INT_EXP_REIT" hidden="1">"c590"</definedName>
    <definedName name="IQ_INT_EXP_TOTAL" hidden="1">"c591"</definedName>
    <definedName name="IQ_INT_EXP_TOTAL_FDIC" hidden="1">"c6569"</definedName>
    <definedName name="IQ_INT_EXP_UTI" hidden="1">"c592"</definedName>
    <definedName name="IQ_INT_FED_FUNDS_FDIC" hidden="1">"c6566"</definedName>
    <definedName name="IQ_INT_FOREIGN_DEPOSITS_FDIC" hidden="1">"c6565"</definedName>
    <definedName name="IQ_INT_INC_BR" hidden="1">"c593"</definedName>
    <definedName name="IQ_INT_INC_DEPOSITORY_INST_FDIC" hidden="1">"c6558"</definedName>
    <definedName name="IQ_INT_INC_DOM_LOANS_FDIC" hidden="1">"c6555"</definedName>
    <definedName name="IQ_INT_INC_FED_FUNDS_FDIC" hidden="1">"c6561"</definedName>
    <definedName name="IQ_INT_INC_FIN" hidden="1">"c594"</definedName>
    <definedName name="IQ_INT_INC_FOREIGN_LOANS_FDIC" hidden="1">"c6556"</definedName>
    <definedName name="IQ_INT_INC_INVEST" hidden="1">"c595"</definedName>
    <definedName name="IQ_INT_INC_LEASE_RECEIVABLES_FDIC" hidden="1">"c6557"</definedName>
    <definedName name="IQ_INT_INC_LOANS" hidden="1">"c596"</definedName>
    <definedName name="IQ_INT_INC_OTHER_FDIC" hidden="1">"c6562"</definedName>
    <definedName name="IQ_INT_INC_REIT" hidden="1">"c597"</definedName>
    <definedName name="IQ_INT_INC_SECURITIES_FDIC" hidden="1">"c6559"</definedName>
    <definedName name="IQ_INT_INC_TOTAL" hidden="1">"c598"</definedName>
    <definedName name="IQ_INT_INC_TOTAL_FDIC" hidden="1">"c6563"</definedName>
    <definedName name="IQ_INT_INC_TRADING_ACCOUNTS_FDIC" hidden="1">"c6560"</definedName>
    <definedName name="IQ_INT_INC_UTI" hidden="1">"c599"</definedName>
    <definedName name="IQ_INT_INV_INC" hidden="1">"c600"</definedName>
    <definedName name="IQ_INT_INV_INC_REIT" hidden="1">"c601"</definedName>
    <definedName name="IQ_INT_INV_INC_UTI" hidden="1">"c602"</definedName>
    <definedName name="IQ_INT_ON_BORROWING_COVERAGE" hidden="1">"c603"</definedName>
    <definedName name="IQ_INT_RATE_SPREAD" hidden="1">"c604"</definedName>
    <definedName name="IQ_INT_SUB_NOTES_FDIC" hidden="1">"c6568"</definedName>
    <definedName name="IQ_INTANGIBLES_NET" hidden="1">"c907"</definedName>
    <definedName name="IQ_INTEL_EPS_EST" hidden="1">"c24729"</definedName>
    <definedName name="IQ_INTEREST_BEARING_BALANCES_FDIC" hidden="1">"c6371"</definedName>
    <definedName name="IQ_INTEREST_BEARING_DEPOSITS_DOMESTIC_FDIC" hidden="1">"c6478"</definedName>
    <definedName name="IQ_INTEREST_BEARING_DEPOSITS_FDIC" hidden="1">"c6373"</definedName>
    <definedName name="IQ_INTEREST_BEARING_DEPOSITS_FOREIGN_FDIC" hidden="1">"c6485"</definedName>
    <definedName name="IQ_INTEREST_CASH_DEPOSITS" hidden="1">"c2255"</definedName>
    <definedName name="IQ_INTEREST_EXP" hidden="1">"c618"</definedName>
    <definedName name="IQ_INTEREST_EXP_NET" hidden="1">"c1450"</definedName>
    <definedName name="IQ_INTEREST_EXP_NON" hidden="1">"c618"</definedName>
    <definedName name="IQ_INTEREST_EXP_SUPPL" hidden="1">"c1460"</definedName>
    <definedName name="IQ_INTEREST_INC" hidden="1">"c769"</definedName>
    <definedName name="IQ_INTEREST_INC_10K" hidden="1">"IQ_INTEREST_INC_10K"</definedName>
    <definedName name="IQ_INTEREST_INC_10Q" hidden="1">"IQ_INTEREST_INC_10Q"</definedName>
    <definedName name="IQ_INTEREST_INC_10Q1" hidden="1">"IQ_INTEREST_INC_10Q1"</definedName>
    <definedName name="IQ_INTEREST_INC_NON" hidden="1">"c619"</definedName>
    <definedName name="IQ_INTEREST_INVEST_INC" hidden="1">"c619"</definedName>
    <definedName name="IQ_INTEREST_LT_DEBT" hidden="1">"c2086"</definedName>
    <definedName name="IQ_INTEREST_RATE_CONTRACTS_FDIC" hidden="1">"c6512"</definedName>
    <definedName name="IQ_INTEREST_RATE_EXPOSURES_FDIC" hidden="1">"c6662"</definedName>
    <definedName name="IQ_INV_10YR_ANN_GROWTH" hidden="1">"c1930"</definedName>
    <definedName name="IQ_INV_1YR_ANN_GROWTH" hidden="1">"c1925"</definedName>
    <definedName name="IQ_INV_2YR_ANN_GROWTH" hidden="1">"c1926"</definedName>
    <definedName name="IQ_INV_3YR_ANN_GROWTH" hidden="1">"c1927"</definedName>
    <definedName name="IQ_INV_5YR_ANN_GROWTH" hidden="1">"c1928"</definedName>
    <definedName name="IQ_INV_7YR_ANN_GROWTH" hidden="1">"c1929"</definedName>
    <definedName name="IQ_INV_BANKING_FEE" hidden="1">"c620"</definedName>
    <definedName name="IQ_INV_METHOD" hidden="1">"c621"</definedName>
    <definedName name="IQ_INVENTORY" hidden="1">"c622"</definedName>
    <definedName name="IQ_INVENTORY_TURNS" hidden="1">"c623"</definedName>
    <definedName name="IQ_INVENTORY_UTI" hidden="1">"c624"</definedName>
    <definedName name="IQ_INVEST_DEBT" hidden="1">"c625"</definedName>
    <definedName name="IQ_INVEST_EQUITY_PREF" hidden="1">"c626"</definedName>
    <definedName name="IQ_INVEST_FHLB" hidden="1">"c627"</definedName>
    <definedName name="IQ_INVEST_LOANS_CF" hidden="1">"c628"</definedName>
    <definedName name="IQ_INVEST_LOANS_CF_BNK" hidden="1">"c629"</definedName>
    <definedName name="IQ_INVEST_LOANS_CF_BR" hidden="1">"c630"</definedName>
    <definedName name="IQ_INVEST_LOANS_CF_FIN" hidden="1">"c631"</definedName>
    <definedName name="IQ_INVEST_LOANS_CF_INS" hidden="1">"c632"</definedName>
    <definedName name="IQ_INVEST_LOANS_CF_REIT" hidden="1">"c633"</definedName>
    <definedName name="IQ_INVEST_LOANS_CF_UTI" hidden="1">"c634"</definedName>
    <definedName name="IQ_INVEST_REAL_ESTATE" hidden="1">"c635"</definedName>
    <definedName name="IQ_INVEST_SECURITY" hidden="1">"c636"</definedName>
    <definedName name="IQ_INVEST_SECURITY_CF" hidden="1">"c637"</definedName>
    <definedName name="IQ_INVEST_SECURITY_CF_BNK" hidden="1">"c638"</definedName>
    <definedName name="IQ_INVEST_SECURITY_CF_BR" hidden="1">"c639"</definedName>
    <definedName name="IQ_INVEST_SECURITY_CF_FIN" hidden="1">"c640"</definedName>
    <definedName name="IQ_INVEST_SECURITY_CF_INS" hidden="1">"c641"</definedName>
    <definedName name="IQ_INVEST_SECURITY_CF_REIT" hidden="1">"c642"</definedName>
    <definedName name="IQ_INVEST_SECURITY_CF_UTI" hidden="1">"c643"</definedName>
    <definedName name="IQ_INVESTMENT_BANKING_OTHER_FEES_FDIC" hidden="1">"c6666"</definedName>
    <definedName name="IQ_IPRD" hidden="1">"c644"</definedName>
    <definedName name="IQ_IRA_KEOGH_ACCOUNTS_FDIC" hidden="1">"c6496"</definedName>
    <definedName name="IQ_ISM_SERVICES_APR_FC_UNUSED_UNUSED_UNUSED" hidden="1">"c8443"</definedName>
    <definedName name="IQ_ISM_SERVICES_APR_UNUSED_UNUSED_UNUSED" hidden="1">"c7563"</definedName>
    <definedName name="IQ_ISM_SERVICES_FC_UNUSED_UNUSED_UNUSED" hidden="1">"c7783"</definedName>
    <definedName name="IQ_ISM_SERVICES_POP_FC_UNUSED_UNUSED_UNUSED" hidden="1">"c8003"</definedName>
    <definedName name="IQ_ISM_SERVICES_POP_UNUSED_UNUSED_UNUSED" hidden="1">"c7123"</definedName>
    <definedName name="IQ_ISM_SERVICES_UNUSED_UNUSED_UNUSED" hidden="1">"c6903"</definedName>
    <definedName name="IQ_ISM_SERVICES_YOY_FC_UNUSED_UNUSED_UNUSED" hidden="1">"c8223"</definedName>
    <definedName name="IQ_ISM_SERVICES_YOY_UNUSED_UNUSED_UNUSED" hidden="1">"c7343"</definedName>
    <definedName name="IQ_ISS_DEBT_NET" hidden="1">"c751"</definedName>
    <definedName name="IQ_ISS_STOCK_NET" hidden="1">"c1601"</definedName>
    <definedName name="IQ_ISSUED_GUARANTEED_US_FDIC" hidden="1">"c6404"</definedName>
    <definedName name="IQ_JR_SUB_DEBT" hidden="1">"c2534"</definedName>
    <definedName name="IQ_JR_SUB_DEBT_EBITDA" hidden="1">"c2560"</definedName>
    <definedName name="IQ_JR_SUB_DEBT_EBITDA_CAPEX" hidden="1">"c2561"</definedName>
    <definedName name="IQ_JR_SUB_DEBT_PCT" hidden="1">"c2535"</definedName>
    <definedName name="IQ_LAND" hidden="1">"c645"</definedName>
    <definedName name="IQ_LAST_SPLIT_DATE" hidden="1">"c2095"</definedName>
    <definedName name="IQ_LAST_SPLIT_FACTOR" hidden="1">"c2093"</definedName>
    <definedName name="IQ_LASTPRICINGDATE" hidden="1">"c3051"</definedName>
    <definedName name="IQ_LASTSALEPRICE" hidden="1">"c646"</definedName>
    <definedName name="IQ_LASTSALEPRICE_DATE" hidden="1">"c2109"</definedName>
    <definedName name="IQ_LATEST" hidden="1">"1"</definedName>
    <definedName name="IQ_LATESTK" hidden="1">1000</definedName>
    <definedName name="IQ_LATESTKFR" hidden="1">"100"</definedName>
    <definedName name="IQ_LATESTQ" hidden="1">500</definedName>
    <definedName name="IQ_LATESTQFR" hidden="1">"50"</definedName>
    <definedName name="IQ_LEASE_FINANCING_RECEIVABLES_CHARGE_OFFS_FDIC" hidden="1">"c6602"</definedName>
    <definedName name="IQ_LEASE_FINANCING_RECEIVABLES_FDIC" hidden="1">"c6433"</definedName>
    <definedName name="IQ_LEASE_FINANCING_RECEIVABLES_NET_CHARGE_OFFS_FDIC" hidden="1">"c6640"</definedName>
    <definedName name="IQ_LEASE_FINANCING_RECEIVABLES_RECOVERIES_FDIC" hidden="1">"c6621"</definedName>
    <definedName name="IQ_LEASE_FINANCING_RECEIVABLES_TOTAL_LOANS_FOREIGN_FDIC" hidden="1">"c6449"</definedName>
    <definedName name="IQ_LEGAL_SETTLE" hidden="1">"c647"</definedName>
    <definedName name="IQ_LEGAL_SETTLE_BNK" hidden="1">"c648"</definedName>
    <definedName name="IQ_LEGAL_SETTLE_BR" hidden="1">"c649"</definedName>
    <definedName name="IQ_LEGAL_SETTLE_FIN" hidden="1">"c650"</definedName>
    <definedName name="IQ_LEGAL_SETTLE_INS" hidden="1">"c651"</definedName>
    <definedName name="IQ_LEGAL_SETTLE_REIT" hidden="1">"c652"</definedName>
    <definedName name="IQ_LEGAL_SETTLE_UTI" hidden="1">"c653"</definedName>
    <definedName name="IQ_LEVERAGE_RATIO" hidden="1">"c654"</definedName>
    <definedName name="IQ_LEVERED_FCF" hidden="1">"c1907"</definedName>
    <definedName name="IQ_LFCF_10YR_ANN_GROWTH" hidden="1">"c1942"</definedName>
    <definedName name="IQ_LFCF_1YR_ANN_GROWTH" hidden="1">"c1937"</definedName>
    <definedName name="IQ_LFCF_2YR_ANN_GROWTH" hidden="1">"c1938"</definedName>
    <definedName name="IQ_LFCF_3YR_ANN_GROWTH" hidden="1">"c1939"</definedName>
    <definedName name="IQ_LFCF_5YR_ANN_GROWTH" hidden="1">"c1940"</definedName>
    <definedName name="IQ_LFCF_7YR_ANN_GROWTH" hidden="1">"c1941"</definedName>
    <definedName name="IQ_LFCF_MARGIN" hidden="1">"c1961"</definedName>
    <definedName name="IQ_LH_STATUTORY_SURPLUS" hidden="1">"c2771"</definedName>
    <definedName name="IQ_LICENSED_POPS" hidden="1">"c2123"</definedName>
    <definedName name="IQ_LIFE_EARNED" hidden="1">"c2739"</definedName>
    <definedName name="IQ_LIFE_INSURANCE_ASSETS_FDIC" hidden="1">"c6372"</definedName>
    <definedName name="IQ_LIFOR" hidden="1">"c655"</definedName>
    <definedName name="IQ_LISTING_CURRENCY" hidden="1">"c2127"</definedName>
    <definedName name="IQ_LL" hidden="1">"c656"</definedName>
    <definedName name="IQ_LOAN_COMMITMENTS_REVOLVING_FDIC" hidden="1">"c6524"</definedName>
    <definedName name="IQ_LOAN_LEASE_RECEIV" hidden="1">"c657"</definedName>
    <definedName name="IQ_LOAN_LOSS" hidden="1">"c656"</definedName>
    <definedName name="IQ_LOAN_LOSS_ALLOW_FDIC" hidden="1">"c6326"</definedName>
    <definedName name="IQ_LOAN_LOSS_ALLOWANCE_NONCURRENT_LOANS_FDIC" hidden="1">"c6740"</definedName>
    <definedName name="IQ_LOAN_LOSSES_FDIC" hidden="1">"c6580"</definedName>
    <definedName name="IQ_LOAN_SERVICE_REV" hidden="1">"c658"</definedName>
    <definedName name="IQ_LOANS_AND_LEASES_HELD_FDIC" hidden="1">"c6367"</definedName>
    <definedName name="IQ_LOANS_CF" hidden="1">"c659"</definedName>
    <definedName name="IQ_LOANS_CF_BNK" hidden="1">"c660"</definedName>
    <definedName name="IQ_LOANS_CF_BR" hidden="1">"c661"</definedName>
    <definedName name="IQ_LOANS_CF_FIN" hidden="1">"c662"</definedName>
    <definedName name="IQ_LOANS_CF_INS" hidden="1">"c663"</definedName>
    <definedName name="IQ_LOANS_CF_REIT" hidden="1">"c664"</definedName>
    <definedName name="IQ_LOANS_CF_UTI" hidden="1">"c665"</definedName>
    <definedName name="IQ_LOANS_DEPOSITORY_INSTITUTIONS_FDIC" hidden="1">"c6382"</definedName>
    <definedName name="IQ_LOANS_FOR_SALE" hidden="1">"c666"</definedName>
    <definedName name="IQ_LOANS_HELD_FOREIGN_FDIC" hidden="1">"c6315"</definedName>
    <definedName name="IQ_LOANS_LEASES_FOREIGN_FDIC" hidden="1">"c6383"</definedName>
    <definedName name="IQ_LOANS_LEASES_GROSS_FDIC" hidden="1">"c6323"</definedName>
    <definedName name="IQ_LOANS_LEASES_GROSS_FOREIGN_FDIC" hidden="1">"c6384"</definedName>
    <definedName name="IQ_LOANS_LEASES_NET_FDIC" hidden="1">"c6327"</definedName>
    <definedName name="IQ_LOANS_LEASES_NET_UNEARNED_FDIC" hidden="1">"c6325"</definedName>
    <definedName name="IQ_LOANS_NOT_SECURED_RE_FDIC" hidden="1">"c6381"</definedName>
    <definedName name="IQ_LOANS_PAST_DUE" hidden="1">"c667"</definedName>
    <definedName name="IQ_LOANS_RECEIV_CURRENT" hidden="1">"c668"</definedName>
    <definedName name="IQ_LOANS_RECEIV_LT" hidden="1">"c669"</definedName>
    <definedName name="IQ_LOANS_RECEIV_LT_UTI" hidden="1">"c670"</definedName>
    <definedName name="IQ_LOANS_SECURED_BY_RE_CHARGE_OFFS_FDIC" hidden="1">"c6588"</definedName>
    <definedName name="IQ_LOANS_SECURED_BY_RE_RECOVERIES_FDIC" hidden="1">"c6607"</definedName>
    <definedName name="IQ_LOANS_SECURED_NON_US_FDIC" hidden="1">"c6380"</definedName>
    <definedName name="IQ_LOANS_SECURED_RE_NET_CHARGE_OFFS_FDIC" hidden="1">"c6626"</definedName>
    <definedName name="IQ_LOANS_TO_DEPOSITORY_INSTITUTIONS_FOREIGN_FDIC" hidden="1">"c6453"</definedName>
    <definedName name="IQ_LOANS_TO_FOREIGN_GOVERNMENTS_FDIC" hidden="1">"c6448"</definedName>
    <definedName name="IQ_LOANS_TO_INDIVIDUALS_FOREIGN_FDIC" hidden="1">"c6452"</definedName>
    <definedName name="IQ_LONG_TERM_ASSETS_FDIC" hidden="1">"c6361"</definedName>
    <definedName name="IQ_LONG_TERM_DEBT" hidden="1">"c674"</definedName>
    <definedName name="IQ_LONG_TERM_DEBT_OVER_TOTAL_CAP" hidden="1">"c677"</definedName>
    <definedName name="IQ_LONG_TERM_GROWTH" hidden="1">"c671"</definedName>
    <definedName name="IQ_LONG_TERM_INV" hidden="1">"c697"</definedName>
    <definedName name="IQ_LOSS_ALLOWANCE_LOANS_FDIC" hidden="1">"c6739"</definedName>
    <definedName name="IQ_LOSS_LOSS_EXP" hidden="1">"c672"</definedName>
    <definedName name="IQ_LOSS_TO_NET_EARNED" hidden="1">"c2751"</definedName>
    <definedName name="IQ_LOWPRICE" hidden="1">"c673"</definedName>
    <definedName name="IQ_LT_DEBT" hidden="1">"c674"</definedName>
    <definedName name="IQ_LT_DEBT_BNK" hidden="1">"c675"</definedName>
    <definedName name="IQ_LT_DEBT_BR" hidden="1">"c676"</definedName>
    <definedName name="IQ_LT_DEBT_CAPITAL" hidden="1">"c677"</definedName>
    <definedName name="IQ_LT_DEBT_CAPITAL_LEASES" hidden="1">"c2542"</definedName>
    <definedName name="IQ_LT_DEBT_CAPITAL_LEASES_PCT" hidden="1">"c2543"</definedName>
    <definedName name="IQ_LT_DEBT_EQUITY" hidden="1">"c678"</definedName>
    <definedName name="IQ_LT_DEBT_FIN" hidden="1">"c679"</definedName>
    <definedName name="IQ_LT_DEBT_INS" hidden="1">"c680"</definedName>
    <definedName name="IQ_LT_DEBT_ISSUED" hidden="1">"c681"</definedName>
    <definedName name="IQ_LT_DEBT_ISSUED_BNK" hidden="1">"c682"</definedName>
    <definedName name="IQ_LT_DEBT_ISSUED_BR" hidden="1">"c683"</definedName>
    <definedName name="IQ_LT_DEBT_ISSUED_FIN" hidden="1">"c684"</definedName>
    <definedName name="IQ_LT_DEBT_ISSUED_INS" hidden="1">"c685"</definedName>
    <definedName name="IQ_LT_DEBT_ISSUED_REIT" hidden="1">"c686"</definedName>
    <definedName name="IQ_LT_DEBT_ISSUED_UTI" hidden="1">"c687"</definedName>
    <definedName name="IQ_LT_DEBT_REIT" hidden="1">"c688"</definedName>
    <definedName name="IQ_LT_DEBT_REPAID" hidden="1">"c689"</definedName>
    <definedName name="IQ_LT_DEBT_REPAID_BNK" hidden="1">"c690"</definedName>
    <definedName name="IQ_LT_DEBT_REPAID_BR" hidden="1">"c691"</definedName>
    <definedName name="IQ_LT_DEBT_REPAID_FIN" hidden="1">"c692"</definedName>
    <definedName name="IQ_LT_DEBT_REPAID_INS" hidden="1">"c693"</definedName>
    <definedName name="IQ_LT_DEBT_REPAID_REIT" hidden="1">"c694"</definedName>
    <definedName name="IQ_LT_DEBT_REPAID_UTI" hidden="1">"c695"</definedName>
    <definedName name="IQ_LT_DEBT_UTI" hidden="1">"c696"</definedName>
    <definedName name="IQ_LT_INVEST" hidden="1">"c697"</definedName>
    <definedName name="IQ_LT_INVEST_BR" hidden="1">"c698"</definedName>
    <definedName name="IQ_LT_INVEST_FIN" hidden="1">"c699"</definedName>
    <definedName name="IQ_LT_INVEST_REIT" hidden="1">"c700"</definedName>
    <definedName name="IQ_LT_INVEST_UTI" hidden="1">"c701"</definedName>
    <definedName name="IQ_LT_NOTE_RECEIV" hidden="1">"c1602"</definedName>
    <definedName name="IQ_LT_SENIOR_DEBT" hidden="1">"c702"</definedName>
    <definedName name="IQ_LT_SUB_DEBT" hidden="1">"c703"</definedName>
    <definedName name="IQ_LTD_DUE_AFTER_FIVE" hidden="1">"c704"</definedName>
    <definedName name="IQ_LTD_DUE_CY" hidden="1">"c705"</definedName>
    <definedName name="IQ_LTD_DUE_CY1" hidden="1">"c706"</definedName>
    <definedName name="IQ_LTD_DUE_CY2" hidden="1">"c707"</definedName>
    <definedName name="IQ_LTD_DUE_CY3" hidden="1">"c708"</definedName>
    <definedName name="IQ_LTD_DUE_CY4" hidden="1">"c709"</definedName>
    <definedName name="IQ_LTD_DUE_NEXT_FIVE" hidden="1">"c710"</definedName>
    <definedName name="IQ_LTM">2000</definedName>
    <definedName name="IQ_LTM_DATE" hidden="1">"IQ_LTM_DATE"</definedName>
    <definedName name="IQ_LTM_REVENUE_OVER_EMPLOYEES" hidden="1">"c1304"</definedName>
    <definedName name="IQ_LTMMONTH" hidden="1">120000</definedName>
    <definedName name="IQ_MACHINERY" hidden="1">"c711"</definedName>
    <definedName name="IQ_MACRO_SURVEY_CONSUMER_SENTIMENT" hidden="1">"c20808"</definedName>
    <definedName name="IQ_MAINT_CAPEX" hidden="1">"c2947"</definedName>
    <definedName name="IQ_MAINT_CAPEX_ACT_OR_EST" hidden="1">"c4458"</definedName>
    <definedName name="IQ_MAINT_REPAIR" hidden="1">"c2087"</definedName>
    <definedName name="IQ_MARKET_CAP_LFCF" hidden="1">"c2209"</definedName>
    <definedName name="IQ_MARKETCAP" hidden="1">"c712"</definedName>
    <definedName name="IQ_MARKETING" hidden="1">"c2239"</definedName>
    <definedName name="IQ_MARKTCAP" hidden="1">"c258"</definedName>
    <definedName name="IQ_MATURITY_ONE_YEAR_LESS_FDIC" hidden="1">"c6425"</definedName>
    <definedName name="IQ_MC_RATIO" hidden="1">"c2783"</definedName>
    <definedName name="IQ_MC_STATUTORY_SURPLUS" hidden="1">"c2772"</definedName>
    <definedName name="IQ_MEDIAN_NEW_HOME_SALES_APR_FC_UNUSED_UNUSED_UNUSED" hidden="1">"c8460"</definedName>
    <definedName name="IQ_MEDIAN_NEW_HOME_SALES_APR_UNUSED_UNUSED_UNUSED" hidden="1">"c7580"</definedName>
    <definedName name="IQ_MEDIAN_NEW_HOME_SALES_FC_UNUSED_UNUSED_UNUSED" hidden="1">"c7800"</definedName>
    <definedName name="IQ_MEDIAN_NEW_HOME_SALES_POP_FC_UNUSED_UNUSED_UNUSED" hidden="1">"c8020"</definedName>
    <definedName name="IQ_MEDIAN_NEW_HOME_SALES_POP_UNUSED_UNUSED_UNUSED" hidden="1">"c7140"</definedName>
    <definedName name="IQ_MEDIAN_NEW_HOME_SALES_UNUSED_UNUSED_UNUSED" hidden="1">"c6920"</definedName>
    <definedName name="IQ_MEDIAN_NEW_HOME_SALES_YOY_FC_UNUSED_UNUSED_UNUSED" hidden="1">"c8240"</definedName>
    <definedName name="IQ_MEDIAN_NEW_HOME_SALES_YOY_UNUSED_UNUSED_UNUSED" hidden="1">"c7360"</definedName>
    <definedName name="IQ_MERGER" hidden="1">"c713"</definedName>
    <definedName name="IQ_MERGER_BNK" hidden="1">"c714"</definedName>
    <definedName name="IQ_MERGER_BR" hidden="1">"c715"</definedName>
    <definedName name="IQ_MERGER_FIN" hidden="1">"c716"</definedName>
    <definedName name="IQ_MERGER_INS" hidden="1">"c717"</definedName>
    <definedName name="IQ_MERGER_REIT" hidden="1">"c718"</definedName>
    <definedName name="IQ_MERGER_RESTRUCTURE" hidden="1">"c719"</definedName>
    <definedName name="IQ_MERGER_RESTRUCTURE_BNK" hidden="1">"c720"</definedName>
    <definedName name="IQ_MERGER_RESTRUCTURE_BR" hidden="1">"c721"</definedName>
    <definedName name="IQ_MERGER_RESTRUCTURE_FIN" hidden="1">"c722"</definedName>
    <definedName name="IQ_MERGER_RESTRUCTURE_INS" hidden="1">"c723"</definedName>
    <definedName name="IQ_MERGER_RESTRUCTURE_REIT" hidden="1">"c724"</definedName>
    <definedName name="IQ_MERGER_RESTRUCTURE_UTI" hidden="1">"c725"</definedName>
    <definedName name="IQ_MERGER_UTI" hidden="1">"c726"</definedName>
    <definedName name="IQ_MINORITY_INTEREST" hidden="1">"c727"</definedName>
    <definedName name="IQ_MINORITY_INTEREST_BNK" hidden="1">"c728"</definedName>
    <definedName name="IQ_MINORITY_INTEREST_BR" hidden="1">"c729"</definedName>
    <definedName name="IQ_MINORITY_INTEREST_CF" hidden="1">"c730"</definedName>
    <definedName name="IQ_MINORITY_INTEREST_FIN" hidden="1">"c731"</definedName>
    <definedName name="IQ_MINORITY_INTEREST_INS" hidden="1">"c732"</definedName>
    <definedName name="IQ_MINORITY_INTEREST_IS" hidden="1">"c733"</definedName>
    <definedName name="IQ_MINORITY_INTEREST_REIT" hidden="1">"c734"</definedName>
    <definedName name="IQ_MINORITY_INTEREST_TOTAL" hidden="1">"c1905"</definedName>
    <definedName name="IQ_MINORITY_INTEREST_UTI" hidden="1">"c735"</definedName>
    <definedName name="IQ_MISC_ADJUST_CF" hidden="1">"c736"</definedName>
    <definedName name="IQ_MISC_EARN_ADJ" hidden="1">"c1603"</definedName>
    <definedName name="IQ_MKTCAP_EBT_EXCL" hidden="1">"c737"</definedName>
    <definedName name="IQ_MKTCAP_EBT_EXCL_AVG" hidden="1">"c738"</definedName>
    <definedName name="IQ_MKTCAP_EBT_INCL_AVG" hidden="1">"c739"</definedName>
    <definedName name="IQ_MKTCAP_TOTAL_REV" hidden="1">"c740"</definedName>
    <definedName name="IQ_MKTCAP_TOTAL_REV_AVG" hidden="1">"c741"</definedName>
    <definedName name="IQ_MKTCAP_TOTAL_REV_FWD" hidden="1">"c742"</definedName>
    <definedName name="IQ_MM_ACCOUNT" hidden="1">"c743"</definedName>
    <definedName name="IQ_MONEY_MARKET_DEPOSIT_ACCOUNTS_FDIC" hidden="1">"c6553"</definedName>
    <definedName name="IQ_MONTH">15000</definedName>
    <definedName name="IQ_MORT_BANK_ACT" hidden="1">"c744"</definedName>
    <definedName name="IQ_MORT_BANKING_FEE" hidden="1">"c745"</definedName>
    <definedName name="IQ_MORT_INT_INC" hidden="1">"c746"</definedName>
    <definedName name="IQ_MORT_LOANS" hidden="1">"c747"</definedName>
    <definedName name="IQ_MORT_SECURITY" hidden="1">"c748"</definedName>
    <definedName name="IQ_MORTGAGE_BACKED_SECURITIES_FDIC" hidden="1">"c6402"</definedName>
    <definedName name="IQ_MORTGAGE_SERV_RIGHTS" hidden="1">"c2242"</definedName>
    <definedName name="IQ_MORTGAGE_SERVICING_FDIC" hidden="1">"c6335"</definedName>
    <definedName name="IQ_MTD" hidden="1">800000</definedName>
    <definedName name="IQ_MULTIFAMILY_RESIDENTIAL_LOANS_FDIC" hidden="1">"c6311"</definedName>
    <definedName name="IQ_NAMES_REVISION_DATE_" hidden="1">43497.373287037</definedName>
    <definedName name="IQ_NAV_ACT_OR_EST" hidden="1">"c2225"</definedName>
    <definedName name="IQ_NET_CHANGE" hidden="1">"c749"</definedName>
    <definedName name="IQ_NET_CHARGE_OFFS_FDIC" hidden="1">"c6641"</definedName>
    <definedName name="IQ_NET_CHARGE_OFFS_LOANS_FDIC" hidden="1">"c6751"</definedName>
    <definedName name="IQ_NET_CLAIM_EXP_INCUR" hidden="1">"c2757"</definedName>
    <definedName name="IQ_NET_CLAIM_EXP_INCUR_CY" hidden="1">"c2761"</definedName>
    <definedName name="IQ_NET_CLAIM_EXP_INCUR_PY" hidden="1">"c2762"</definedName>
    <definedName name="IQ_NET_CLAIM_EXP_PAID" hidden="1">"c2760"</definedName>
    <definedName name="IQ_NET_CLAIM_EXP_PAID_CY" hidden="1">"c2763"</definedName>
    <definedName name="IQ_NET_CLAIM_EXP_PAID_PY" hidden="1">"c2764"</definedName>
    <definedName name="IQ_NET_CLAIM_EXP_RES" hidden="1">"c2754"</definedName>
    <definedName name="IQ_NET_DEBT" hidden="1">"c1584"</definedName>
    <definedName name="IQ_NET_DEBT_EBITDA" hidden="1">"c750"</definedName>
    <definedName name="IQ_NET_DEBT_EBITDA_CAPEX" hidden="1">"c2949"</definedName>
    <definedName name="IQ_NET_DEBT_ISSUED" hidden="1">"c751"</definedName>
    <definedName name="IQ_NET_DEBT_ISSUED_BNK" hidden="1">"c752"</definedName>
    <definedName name="IQ_NET_DEBT_ISSUED_BR" hidden="1">"c753"</definedName>
    <definedName name="IQ_NET_DEBT_ISSUED_FIN" hidden="1">"c754"</definedName>
    <definedName name="IQ_NET_DEBT_ISSUED_INS" hidden="1">"c755"</definedName>
    <definedName name="IQ_NET_DEBT_ISSUED_REIT" hidden="1">"c756"</definedName>
    <definedName name="IQ_NET_DEBT_ISSUED_UTI" hidden="1">"c757"</definedName>
    <definedName name="IQ_NET_EARNED" hidden="1">"c2734"</definedName>
    <definedName name="IQ_NET_INC" hidden="1">"c781"</definedName>
    <definedName name="IQ_NET_INC_10K" hidden="1">"IQ_NET_INC_10K"</definedName>
    <definedName name="IQ_NET_INC_10Q" hidden="1">"IQ_NET_INC_10Q"</definedName>
    <definedName name="IQ_NET_INC_10Q1" hidden="1">"IQ_NET_INC_10Q1"</definedName>
    <definedName name="IQ_NET_INC_BEFORE" hidden="1">"c344"</definedName>
    <definedName name="IQ_NET_INC_CF" hidden="1">"c793"</definedName>
    <definedName name="IQ_NET_INC_GROWTH_1" hidden="1">"c158"</definedName>
    <definedName name="IQ_NET_INC_GROWTH_2" hidden="1">"c162"</definedName>
    <definedName name="IQ_NET_INC_MARGIN" hidden="1">"c794"</definedName>
    <definedName name="IQ_NET_INCOME_FDIC" hidden="1">"c6587"</definedName>
    <definedName name="IQ_NET_INT_INC_10YR_ANN_GROWTH" hidden="1">"c758"</definedName>
    <definedName name="IQ_NET_INT_INC_1YR_ANN_GROWTH" hidden="1">"c759"</definedName>
    <definedName name="IQ_NET_INT_INC_2YR_ANN_GROWTH" hidden="1">"c760"</definedName>
    <definedName name="IQ_NET_INT_INC_3YR_ANN_GROWTH" hidden="1">"c761"</definedName>
    <definedName name="IQ_NET_INT_INC_5YR_ANN_GROWTH" hidden="1">"c762"</definedName>
    <definedName name="IQ_NET_INT_INC_7YR_ANN_GROWTH" hidden="1">"c763"</definedName>
    <definedName name="IQ_NET_INT_INC_BNK" hidden="1">"c764"</definedName>
    <definedName name="IQ_NET_INT_INC_BNK_FDIC" hidden="1">"c6570"</definedName>
    <definedName name="IQ_NET_INT_INC_BR" hidden="1">"c765"</definedName>
    <definedName name="IQ_NET_INT_INC_FIN" hidden="1">"c766"</definedName>
    <definedName name="IQ_NET_INT_INC_TOTAL_REV" hidden="1">"c767"</definedName>
    <definedName name="IQ_NET_INT_MARGIN" hidden="1">"c768"</definedName>
    <definedName name="IQ_NET_INTEREST_EXP" hidden="1">"c769"</definedName>
    <definedName name="IQ_NET_INTEREST_EXP_REIT" hidden="1">"c770"</definedName>
    <definedName name="IQ_NET_INTEREST_EXP_UTI" hidden="1">"c771"</definedName>
    <definedName name="IQ_NET_INTEREST_INC" hidden="1">"c764"</definedName>
    <definedName name="IQ_NET_INTEREST_INC_AFTER_LL" hidden="1">"c1604"</definedName>
    <definedName name="IQ_NET_INTEREST_MARGIN_FDIC" hidden="1">"c6726"</definedName>
    <definedName name="IQ_NET_LIFE_INS_IN_FORCE" hidden="1">"c2769"</definedName>
    <definedName name="IQ_NET_LOANS" hidden="1">"c772"</definedName>
    <definedName name="IQ_NET_LOANS_10YR_ANN_GROWTH" hidden="1">"c773"</definedName>
    <definedName name="IQ_NET_LOANS_1YR_ANN_GROWTH" hidden="1">"c774"</definedName>
    <definedName name="IQ_NET_LOANS_2YR_ANN_GROWTH" hidden="1">"c775"</definedName>
    <definedName name="IQ_NET_LOANS_3YR_ANN_GROWTH" hidden="1">"c776"</definedName>
    <definedName name="IQ_NET_LOANS_5YR_ANN_GROWTH" hidden="1">"c777"</definedName>
    <definedName name="IQ_NET_LOANS_7YR_ANN_GROWTH" hidden="1">"c778"</definedName>
    <definedName name="IQ_NET_LOANS_LEASES_CORE_DEPOSITS_FDIC" hidden="1">"c6743"</definedName>
    <definedName name="IQ_NET_LOANS_LEASES_DEPOSITS_FDIC" hidden="1">"c6742"</definedName>
    <definedName name="IQ_NET_LOANS_TOTAL_DEPOSITS" hidden="1">"c779"</definedName>
    <definedName name="IQ_NET_OPERATING_INCOME_ASSETS_FDIC" hidden="1">"c6729"</definedName>
    <definedName name="IQ_NET_RENTAL_EXP_FN" hidden="1">"c780"</definedName>
    <definedName name="IQ_NET_SECURITIZATION_INCOME_FDIC" hidden="1">"c6669"</definedName>
    <definedName name="IQ_NET_SERVICING_FEES_FDIC" hidden="1">"c6668"</definedName>
    <definedName name="IQ_NET_TO_GROSS_EARNED" hidden="1">"c2750"</definedName>
    <definedName name="IQ_NET_TO_GROSS_WRITTEN" hidden="1">"c2729"</definedName>
    <definedName name="IQ_NET_WORKING_CAP" hidden="1">"c3493"</definedName>
    <definedName name="IQ_NET_WRITTEN" hidden="1">"c2728"</definedName>
    <definedName name="IQ_NEW_PREM" hidden="1">"c2785"</definedName>
    <definedName name="IQ_NI" hidden="1">"c781"</definedName>
    <definedName name="IQ_NI_10YR_ANN_GROWTH" hidden="1">"c782"</definedName>
    <definedName name="IQ_NI_1YR_ANN_GROWTH" hidden="1">"c783"</definedName>
    <definedName name="IQ_NI_2YR_ANN_GROWTH" hidden="1">"c784"</definedName>
    <definedName name="IQ_NI_3YR_ANN_GROWTH" hidden="1">"c785"</definedName>
    <definedName name="IQ_NI_5YR_ANN_GROWTH" hidden="1">"c786"</definedName>
    <definedName name="IQ_NI_7YR_ANN_GROWTH" hidden="1">"c787"</definedName>
    <definedName name="IQ_NI_AFTER_CAPITALIZED" hidden="1">"c788"</definedName>
    <definedName name="IQ_NI_AVAIL_EXCL" hidden="1">"c789"</definedName>
    <definedName name="IQ_NI_AVAIL_EXCL_MARGIN" hidden="1">"c790"</definedName>
    <definedName name="IQ_NI_AVAIL_INCL" hidden="1">"c791"</definedName>
    <definedName name="IQ_NI_BEFORE_CAPITALIZED" hidden="1">"c792"</definedName>
    <definedName name="IQ_NI_CF" hidden="1">"c793"</definedName>
    <definedName name="IQ_NI_MARGIN" hidden="1">"c794"</definedName>
    <definedName name="IQ_NI_NORM" hidden="1">"c1901"</definedName>
    <definedName name="IQ_NI_NORM_10YR_ANN_GROWTH" hidden="1">"c1960"</definedName>
    <definedName name="IQ_NI_NORM_1YR_ANN_GROWTH" hidden="1">"c1955"</definedName>
    <definedName name="IQ_NI_NORM_2YR_ANN_GROWTH" hidden="1">"c1956"</definedName>
    <definedName name="IQ_NI_NORM_3YR_ANN_GROWTH" hidden="1">"c1957"</definedName>
    <definedName name="IQ_NI_NORM_5YR_ANN_GROWTH" hidden="1">"c1958"</definedName>
    <definedName name="IQ_NI_NORM_7YR_ANN_GROWTH" hidden="1">"c1959"</definedName>
    <definedName name="IQ_NI_NORM_MARGIN" hidden="1">"c1964"</definedName>
    <definedName name="IQ_NI_SFAS" hidden="1">"c795"</definedName>
    <definedName name="IQ_NOL_CF_1YR" hidden="1">"c3465"</definedName>
    <definedName name="IQ_NOL_CF_2YR" hidden="1">"c3466"</definedName>
    <definedName name="IQ_NOL_CF_3YR" hidden="1">"c3467"</definedName>
    <definedName name="IQ_NOL_CF_4YR" hidden="1">"c3468"</definedName>
    <definedName name="IQ_NOL_CF_5YR" hidden="1">"c3469"</definedName>
    <definedName name="IQ_NOL_CF_AFTER_FIVE" hidden="1">"c3470"</definedName>
    <definedName name="IQ_NOL_CF_MAX_YEAR" hidden="1">"c3473"</definedName>
    <definedName name="IQ_NOL_CF_NO_EXP" hidden="1">"c3471"</definedName>
    <definedName name="IQ_NOL_CF_TOTAL" hidden="1">"c3472"</definedName>
    <definedName name="IQ_NON_ACCRUAL_LOANS" hidden="1">"c796"</definedName>
    <definedName name="IQ_NON_CASH" hidden="1">"c797"</definedName>
    <definedName name="IQ_NON_CASH_ITEMS" hidden="1">"c797"</definedName>
    <definedName name="IQ_NON_INS_EXP" hidden="1">"c798"</definedName>
    <definedName name="IQ_NON_INS_REV" hidden="1">"c799"</definedName>
    <definedName name="IQ_NON_INT_BEAR_CD" hidden="1">"c800"</definedName>
    <definedName name="IQ_NON_INT_EXP" hidden="1">"c801"</definedName>
    <definedName name="IQ_NON_INT_EXP_FDIC" hidden="1">"c6579"</definedName>
    <definedName name="IQ_NON_INT_INC" hidden="1">"c802"</definedName>
    <definedName name="IQ_NON_INT_INC_10YR_ANN_GROWTH" hidden="1">"c803"</definedName>
    <definedName name="IQ_NON_INT_INC_1YR_ANN_GROWTH" hidden="1">"c804"</definedName>
    <definedName name="IQ_NON_INT_INC_2YR_ANN_GROWTH" hidden="1">"c805"</definedName>
    <definedName name="IQ_NON_INT_INC_3YR_ANN_GROWTH" hidden="1">"c806"</definedName>
    <definedName name="IQ_NON_INT_INC_5YR_ANN_GROWTH" hidden="1">"c807"</definedName>
    <definedName name="IQ_NON_INT_INC_7YR_ANN_GROWTH" hidden="1">"c808"</definedName>
    <definedName name="IQ_NON_INT_INC_FDIC" hidden="1">"c6575"</definedName>
    <definedName name="IQ_NON_INTEREST_EXP" hidden="1">"c801"</definedName>
    <definedName name="IQ_NON_INTEREST_INC" hidden="1">"c802"</definedName>
    <definedName name="IQ_NON_OPER_EXP" hidden="1">"c809"</definedName>
    <definedName name="IQ_NON_OPER_INC" hidden="1">"c810"</definedName>
    <definedName name="IQ_NON_PERF_ASSETS_10YR_ANN_GROWTH" hidden="1">"c811"</definedName>
    <definedName name="IQ_NON_PERF_ASSETS_1YR_ANN_GROWTH" hidden="1">"c812"</definedName>
    <definedName name="IQ_NON_PERF_ASSETS_2YR_ANN_GROWTH" hidden="1">"c813"</definedName>
    <definedName name="IQ_NON_PERF_ASSETS_3YR_ANN_GROWTH" hidden="1">"c814"</definedName>
    <definedName name="IQ_NON_PERF_ASSETS_5YR_ANN_GROWTH" hidden="1">"c815"</definedName>
    <definedName name="IQ_NON_PERF_ASSETS_7YR_ANN_GROWTH" hidden="1">"c816"</definedName>
    <definedName name="IQ_NON_PERF_ASSETS_TOTAL_ASSETS" hidden="1">"c817"</definedName>
    <definedName name="IQ_NON_PERF_LOANS_10YR_ANN_GROWTH" hidden="1">"c818"</definedName>
    <definedName name="IQ_NON_PERF_LOANS_1YR_ANN_GROWTH" hidden="1">"c819"</definedName>
    <definedName name="IQ_NON_PERF_LOANS_2YR_ANN_GROWTH" hidden="1">"c820"</definedName>
    <definedName name="IQ_NON_PERF_LOANS_3YR_ANN_GROWTH" hidden="1">"c821"</definedName>
    <definedName name="IQ_NON_PERF_LOANS_5YR_ANN_GROWTH" hidden="1">"c822"</definedName>
    <definedName name="IQ_NON_PERF_LOANS_7YR_ANN_GROWTH" hidden="1">"c823"</definedName>
    <definedName name="IQ_NON_PERF_LOANS_TOTAL_ASSETS" hidden="1">"c824"</definedName>
    <definedName name="IQ_NON_PERF_LOANS_TOTAL_LOANS" hidden="1">"c825"</definedName>
    <definedName name="IQ_NON_PERFORMING_ASSETS" hidden="1">"c826"</definedName>
    <definedName name="IQ_NON_PERFORMING_LOANS" hidden="1">"c827"</definedName>
    <definedName name="IQ_NON_US_ADDRESSEES_TOTAL_LOANS_FOREIGN_FDIC" hidden="1">"c6443"</definedName>
    <definedName name="IQ_NON_US_CHARGE_OFFS_AND_RECOVERIES_FDIC" hidden="1">"c6650"</definedName>
    <definedName name="IQ_NON_US_CHARGE_OFFS_FDIC" hidden="1">"c6648"</definedName>
    <definedName name="IQ_NON_US_COMMERCIAL_INDUSTRIAL_CHARGE_OFFS_FDIC" hidden="1">"c6651"</definedName>
    <definedName name="IQ_NON_US_NET_LOANS_FDIC" hidden="1">"c6376"</definedName>
    <definedName name="IQ_NON_US_RECOVERIES_FDIC" hidden="1">"c6649"</definedName>
    <definedName name="IQ_NONCASH_PENSION_EXP" hidden="1">"c3000"</definedName>
    <definedName name="IQ_NONCURRENT_LOANS_1_4_FAMILY_FDIC" hidden="1">"c6770"</definedName>
    <definedName name="IQ_NONCURRENT_LOANS_COMMERCIAL_INDUSTRIAL_FDIC" hidden="1">"c6773"</definedName>
    <definedName name="IQ_NONCURRENT_LOANS_COMMERCIAL_RE_FDIC" hidden="1">"c6768"</definedName>
    <definedName name="IQ_NONCURRENT_LOANS_COMMERCIAL_RE_NOT_SECURED_FDIC" hidden="1">"c6778"</definedName>
    <definedName name="IQ_NONCURRENT_LOANS_CONSTRUCTION_LAND_DEV_FDIC" hidden="1">"c6767"</definedName>
    <definedName name="IQ_NONCURRENT_LOANS_CREDIT_CARD_FDIC" hidden="1">"c6775"</definedName>
    <definedName name="IQ_NONCURRENT_LOANS_GUARANTEED_FDIC" hidden="1">"c6358"</definedName>
    <definedName name="IQ_NONCURRENT_LOANS_HOME_EQUITY_FDIC" hidden="1">"c6771"</definedName>
    <definedName name="IQ_NONCURRENT_LOANS_INDIVIDUALS_FDIC" hidden="1">"c6774"</definedName>
    <definedName name="IQ_NONCURRENT_LOANS_LEASES_FDIC" hidden="1">"c6357"</definedName>
    <definedName name="IQ_NONCURRENT_LOANS_MULTIFAMILY_FDIC" hidden="1">"c6769"</definedName>
    <definedName name="IQ_NONCURRENT_LOANS_OTHER_FAMILY_FDIC" hidden="1">"c6772"</definedName>
    <definedName name="IQ_NONCURRENT_LOANS_OTHER_INDIVIDUAL_FDIC" hidden="1">"c6776"</definedName>
    <definedName name="IQ_NONCURRENT_LOANS_OTHER_LOANS_FDIC" hidden="1">"c6777"</definedName>
    <definedName name="IQ_NONCURRENT_LOANS_RE_FDIC" hidden="1">"c6766"</definedName>
    <definedName name="IQ_NONCURRENT_LOANS_TOTAL_LOANS_FDIC" hidden="1">"c6765"</definedName>
    <definedName name="IQ_NONCURRENT_OREO_ASSETS_FDIC" hidden="1">"c6741"</definedName>
    <definedName name="IQ_NONINTEREST_BEARING_BALANCES_FDIC" hidden="1">"c6394"</definedName>
    <definedName name="IQ_NONINTEREST_BEARING_DEPOSITS_DOMESTIC_FDIC" hidden="1">"c6477"</definedName>
    <definedName name="IQ_NONINTEREST_BEARING_DEPOSITS_FOREIGN_FDIC" hidden="1">"c6484"</definedName>
    <definedName name="IQ_NONINTEREST_EXPENSE_EARNING_ASSETS_FDIC" hidden="1">"c6728"</definedName>
    <definedName name="IQ_NONINTEREST_INCOME_EARNING_ASSETS_FDIC" hidden="1">"c6727"</definedName>
    <definedName name="IQ_NONMORTGAGE_SERVICING_FDIC" hidden="1">"c6336"</definedName>
    <definedName name="IQ_NONRECOURSE_DEBT" hidden="1">"c2550"</definedName>
    <definedName name="IQ_NONRECOURSE_DEBT_PCT" hidden="1">"c2551"</definedName>
    <definedName name="IQ_NONRES_FIXED_INVEST_PRIV_APR_FC_UNUSED_UNUSED_UNUSED" hidden="1">"c8468"</definedName>
    <definedName name="IQ_NONRES_FIXED_INVEST_PRIV_APR_UNUSED_UNUSED_UNUSED" hidden="1">"c7588"</definedName>
    <definedName name="IQ_NONRES_FIXED_INVEST_PRIV_FC_UNUSED_UNUSED_UNUSED" hidden="1">"c7808"</definedName>
    <definedName name="IQ_NONRES_FIXED_INVEST_PRIV_POP_FC_UNUSED_UNUSED_UNUSED" hidden="1">"c8028"</definedName>
    <definedName name="IQ_NONRES_FIXED_INVEST_PRIV_POP_UNUSED_UNUSED_UNUSED" hidden="1">"c7148"</definedName>
    <definedName name="IQ_NONRES_FIXED_INVEST_PRIV_UNUSED_UNUSED_UNUSED" hidden="1">"c6928"</definedName>
    <definedName name="IQ_NONRES_FIXED_INVEST_PRIV_YOY_FC_UNUSED_UNUSED_UNUSED" hidden="1">"c8248"</definedName>
    <definedName name="IQ_NONRES_FIXED_INVEST_PRIV_YOY_UNUSED_UNUSED_UNUSED" hidden="1">"c7368"</definedName>
    <definedName name="IQ_NONTRANSACTION_ACCOUNTS_FDIC" hidden="1">"c6552"</definedName>
    <definedName name="IQ_NONUTIL_REV" hidden="1">"c2089"</definedName>
    <definedName name="IQ_NORMAL_INC_AFTER" hidden="1">"c1605"</definedName>
    <definedName name="IQ_NORMAL_INC_AVAIL" hidden="1">"c1606"</definedName>
    <definedName name="IQ_NORMAL_INC_BEFORE" hidden="1">"c1607"</definedName>
    <definedName name="IQ_NOTES_PAY" hidden="1">"c1176"</definedName>
    <definedName name="IQ_NOTIONAL_AMOUNT_CREDIT_DERIVATIVES_FDIC" hidden="1">"c6507"</definedName>
    <definedName name="IQ_NOTIONAL_VALUE_EXCHANGE_SWAPS_FDIC" hidden="1">"c6516"</definedName>
    <definedName name="IQ_NOTIONAL_VALUE_OTHER_SWAPS_FDIC" hidden="1">"c6521"</definedName>
    <definedName name="IQ_NOTIONAL_VALUE_RATE_SWAPS_FDIC" hidden="1">"c6511"</definedName>
    <definedName name="IQ_NOW_ACCOUNT" hidden="1">"c828"</definedName>
    <definedName name="IQ_NPPE" hidden="1">"c829"</definedName>
    <definedName name="IQ_NPPE_10YR_ANN_GROWTH" hidden="1">"c830"</definedName>
    <definedName name="IQ_NPPE_1YR_ANN_GROWTH" hidden="1">"c831"</definedName>
    <definedName name="IQ_NPPE_2YR_ANN_GROWTH" hidden="1">"c832"</definedName>
    <definedName name="IQ_NPPE_3YR_ANN_GROWTH" hidden="1">"c833"</definedName>
    <definedName name="IQ_NPPE_5YR_ANN_GROWTH" hidden="1">"c834"</definedName>
    <definedName name="IQ_NPPE_7YR_ANN_GROWTH" hidden="1">"c835"</definedName>
    <definedName name="IQ_NTM">6000</definedName>
    <definedName name="IQ_NUKE" hidden="1">"c836"</definedName>
    <definedName name="IQ_NUKE_CF" hidden="1">"c837"</definedName>
    <definedName name="IQ_NUKE_CONTR" hidden="1">"c838"</definedName>
    <definedName name="IQ_NUM_BRANCHES" hidden="1">"c2088"</definedName>
    <definedName name="IQ_NUM_OFFICES" hidden="1">"c2088"</definedName>
    <definedName name="IQ_NUMBER_ADRHOLDERS" hidden="1">"c1970"</definedName>
    <definedName name="IQ_NUMBER_DAYS" hidden="1">"c1904"</definedName>
    <definedName name="IQ_NUMBER_DEPOSITS_LESS_THAN_100K_FDIC" hidden="1">"c6495"</definedName>
    <definedName name="IQ_NUMBER_DEPOSITS_MORE_THAN_100K_FDIC" hidden="1">"c6493"</definedName>
    <definedName name="IQ_NUMBER_SHAREHOLDERS" hidden="1">"c1967"</definedName>
    <definedName name="IQ_NUMBER_SHAREHOLDERS_CLASSA" hidden="1">"c1968"</definedName>
    <definedName name="IQ_NUMBER_SHAREHOLDERS_CLASSB" hidden="1">"c1969"</definedName>
    <definedName name="IQ_NUMBER_SHAREHOLDERS_OTHER" hidden="1">"c1969"</definedName>
    <definedName name="IQ_OBLIGATIONS_OF_STATES_TOTAL_LOANS_FOREIGN_FDIC" hidden="1">"c6447"</definedName>
    <definedName name="IQ_OBLIGATIONS_STATES_FDIC" hidden="1">"c6431"</definedName>
    <definedName name="IQ_OCCUPY_EXP" hidden="1">"c839"</definedName>
    <definedName name="IQ_OG_10DISC" hidden="1">"c1998"</definedName>
    <definedName name="IQ_OG_10DISC_GAS" hidden="1">"c2018"</definedName>
    <definedName name="IQ_OG_10DISC_OIL" hidden="1">"c2008"</definedName>
    <definedName name="IQ_OG_ACQ_COST_PROVED" hidden="1">"c1975"</definedName>
    <definedName name="IQ_OG_ACQ_COST_PROVED_GAS" hidden="1">"c1987"</definedName>
    <definedName name="IQ_OG_ACQ_COST_PROVED_OIL" hidden="1">"c1981"</definedName>
    <definedName name="IQ_OG_ACQ_COST_UNPROVED" hidden="1">"c1976"</definedName>
    <definedName name="IQ_OG_ACQ_COST_UNPROVED_GAS" hidden="1">"c1988"</definedName>
    <definedName name="IQ_OG_ACQ_COST_UNPROVED_OIL" hidden="1">"c1982"</definedName>
    <definedName name="IQ_OG_AVG_DAILY_PROD_GAS" hidden="1">"c2910"</definedName>
    <definedName name="IQ_OG_AVG_DAILY_PROD_NGL" hidden="1">"c2911"</definedName>
    <definedName name="IQ_OG_AVG_DAILY_PROD_OIL" hidden="1">"c2909"</definedName>
    <definedName name="IQ_OG_CLOSE_BALANCE_GAS" hidden="1">"c2049"</definedName>
    <definedName name="IQ_OG_CLOSE_BALANCE_NGL" hidden="1">"c2920"</definedName>
    <definedName name="IQ_OG_CLOSE_BALANCE_OIL" hidden="1">"c2037"</definedName>
    <definedName name="IQ_OG_DCF_BEFORE_TAXES" hidden="1">"c2023"</definedName>
    <definedName name="IQ_OG_DCF_BEFORE_TAXES_GAS" hidden="1">"c2025"</definedName>
    <definedName name="IQ_OG_DCF_BEFORE_TAXES_OIL" hidden="1">"c2024"</definedName>
    <definedName name="IQ_OG_DEVELOPED_RESERVES_GAS" hidden="1">"c2053"</definedName>
    <definedName name="IQ_OG_DEVELOPED_RESERVES_NGL" hidden="1">"c2922"</definedName>
    <definedName name="IQ_OG_DEVELOPED_RESERVES_OIL" hidden="1">"c2054"</definedName>
    <definedName name="IQ_OG_DEVELOPMENT_COSTS" hidden="1">"c1978"</definedName>
    <definedName name="IQ_OG_DEVELOPMENT_COSTS_GAS" hidden="1">"c1990"</definedName>
    <definedName name="IQ_OG_DEVELOPMENT_COSTS_OIL" hidden="1">"c1984"</definedName>
    <definedName name="IQ_OG_EQUITY_DCF" hidden="1">"c2002"</definedName>
    <definedName name="IQ_OG_EQUITY_DCF_GAS" hidden="1">"c2022"</definedName>
    <definedName name="IQ_OG_EQUITY_DCF_OIL" hidden="1">"c2012"</definedName>
    <definedName name="IQ_OG_EQUTY_RESERVES_GAS" hidden="1">"c2050"</definedName>
    <definedName name="IQ_OG_EQUTY_RESERVES_NGL" hidden="1">"c2921"</definedName>
    <definedName name="IQ_OG_EQUTY_RESERVES_OIL" hidden="1">"c2038"</definedName>
    <definedName name="IQ_OG_EXPLORATION_COSTS" hidden="1">"c1977"</definedName>
    <definedName name="IQ_OG_EXPLORATION_COSTS_GAS" hidden="1">"c1989"</definedName>
    <definedName name="IQ_OG_EXPLORATION_COSTS_OIL" hidden="1">"c1983"</definedName>
    <definedName name="IQ_OG_EXT_DISC_GAS" hidden="1">"c2043"</definedName>
    <definedName name="IQ_OG_EXT_DISC_NGL" hidden="1">"c2914"</definedName>
    <definedName name="IQ_OG_EXT_DISC_OIL" hidden="1">"c2031"</definedName>
    <definedName name="IQ_OG_FUTURE_CASH_INFLOWS" hidden="1">"c1993"</definedName>
    <definedName name="IQ_OG_FUTURE_CASH_INFLOWS_GAS" hidden="1">"c2013"</definedName>
    <definedName name="IQ_OG_FUTURE_CASH_INFLOWS_OIL" hidden="1">"c2003"</definedName>
    <definedName name="IQ_OG_FUTURE_DEVELOPMENT_COSTS" hidden="1">"c1995"</definedName>
    <definedName name="IQ_OG_FUTURE_DEVELOPMENT_COSTS_GAS" hidden="1">"c2015"</definedName>
    <definedName name="IQ_OG_FUTURE_DEVELOPMENT_COSTS_OIL" hidden="1">"c2005"</definedName>
    <definedName name="IQ_OG_FUTURE_INC_TAXES" hidden="1">"c1997"</definedName>
    <definedName name="IQ_OG_FUTURE_INC_TAXES_GAS" hidden="1">"c2017"</definedName>
    <definedName name="IQ_OG_FUTURE_INC_TAXES_OIL" hidden="1">"c2007"</definedName>
    <definedName name="IQ_OG_FUTURE_PRODUCTION_COSTS" hidden="1">"c1994"</definedName>
    <definedName name="IQ_OG_FUTURE_PRODUCTION_COSTS_GAS" hidden="1">"c2014"</definedName>
    <definedName name="IQ_OG_FUTURE_PRODUCTION_COSTS_OIL" hidden="1">"c2004"</definedName>
    <definedName name="IQ_OG_GAS_PRICE_HEDGED" hidden="1">"c2056"</definedName>
    <definedName name="IQ_OG_GAS_PRICE_UNHEDGED" hidden="1">"c2058"</definedName>
    <definedName name="IQ_OG_IMPROVED_RECOVERY_GAS" hidden="1">"c2044"</definedName>
    <definedName name="IQ_OG_IMPROVED_RECOVERY_NGL" hidden="1">"c2915"</definedName>
    <definedName name="IQ_OG_IMPROVED_RECOVERY_OIL" hidden="1">"c2032"</definedName>
    <definedName name="IQ_OG_LIQUID_GAS_PRICE_HEDGED" hidden="1">"c2233"</definedName>
    <definedName name="IQ_OG_LIQUID_GAS_PRICE_UNHEDGED" hidden="1">"c2234"</definedName>
    <definedName name="IQ_OG_NET_FUTURE_CASH_FLOWS" hidden="1">"c1996"</definedName>
    <definedName name="IQ_OG_NET_FUTURE_CASH_FLOWS_GAS" hidden="1">"c2016"</definedName>
    <definedName name="IQ_OG_NET_FUTURE_CASH_FLOWS_OIL" hidden="1">"c2006"</definedName>
    <definedName name="IQ_OG_OIL_PRICE_HEDGED" hidden="1">"c2055"</definedName>
    <definedName name="IQ_OG_OIL_PRICE_UNHEDGED" hidden="1">"c2057"</definedName>
    <definedName name="IQ_OG_OPEN_BALANCE_GAS" hidden="1">"c2041"</definedName>
    <definedName name="IQ_OG_OPEN_BALANCE_NGL" hidden="1">"c2912"</definedName>
    <definedName name="IQ_OG_OPEN_BALANCE_OIL" hidden="1">"c2029"</definedName>
    <definedName name="IQ_OG_OTHER_ADJ" hidden="1">"c1999"</definedName>
    <definedName name="IQ_OG_OTHER_ADJ_FCF" hidden="1">"c1999"</definedName>
    <definedName name="IQ_OG_OTHER_ADJ_FCF_GAS" hidden="1">"c2019"</definedName>
    <definedName name="IQ_OG_OTHER_ADJ_FCF_OIL" hidden="1">"c2009"</definedName>
    <definedName name="IQ_OG_OTHER_ADJ_GAS" hidden="1">"c2048"</definedName>
    <definedName name="IQ_OG_OTHER_ADJ_NGL" hidden="1">"c2919"</definedName>
    <definedName name="IQ_OG_OTHER_ADJ_OIL" hidden="1">"c2036"</definedName>
    <definedName name="IQ_OG_OTHER_COSTS" hidden="1">"c1979"</definedName>
    <definedName name="IQ_OG_OTHER_COSTS_GAS" hidden="1">"c1991"</definedName>
    <definedName name="IQ_OG_OTHER_COSTS_OIL" hidden="1">"c1985"</definedName>
    <definedName name="IQ_OG_PRODUCTION_GAS" hidden="1">"c2047"</definedName>
    <definedName name="IQ_OG_PRODUCTION_NGL" hidden="1">"c2918"</definedName>
    <definedName name="IQ_OG_PRODUCTION_OIL" hidden="1">"c2035"</definedName>
    <definedName name="IQ_OG_PURCHASES_GAS" hidden="1">"c2045"</definedName>
    <definedName name="IQ_OG_PURCHASES_NGL" hidden="1">"c2916"</definedName>
    <definedName name="IQ_OG_PURCHASES_OIL" hidden="1">"c2033"</definedName>
    <definedName name="IQ_OG_REVISIONS_GAS" hidden="1">"c2042"</definedName>
    <definedName name="IQ_OG_REVISIONS_NGL" hidden="1">"c2913"</definedName>
    <definedName name="IQ_OG_REVISIONS_OIL" hidden="1">"c2030"</definedName>
    <definedName name="IQ_OG_SALES_IN_PLACE_GAS" hidden="1">"c2046"</definedName>
    <definedName name="IQ_OG_SALES_IN_PLACE_NGL" hidden="1">"c2917"</definedName>
    <definedName name="IQ_OG_SALES_IN_PLACE_OIL" hidden="1">"c2034"</definedName>
    <definedName name="IQ_OG_STANDARDIZED_DCF" hidden="1">"c2000"</definedName>
    <definedName name="IQ_OG_STANDARDIZED_DCF_GAS" hidden="1">"c2020"</definedName>
    <definedName name="IQ_OG_STANDARDIZED_DCF_HEDGED" hidden="1">"c2001"</definedName>
    <definedName name="IQ_OG_STANDARDIZED_DCF_HEDGED_GAS" hidden="1">"c2021"</definedName>
    <definedName name="IQ_OG_STANDARDIZED_DCF_HEDGED_OIL" hidden="1">"c2011"</definedName>
    <definedName name="IQ_OG_STANDARDIZED_DCF_OIL" hidden="1">"c2010"</definedName>
    <definedName name="IQ_OG_TAXES" hidden="1">"c2026"</definedName>
    <definedName name="IQ_OG_TAXES_GAS" hidden="1">"c2028"</definedName>
    <definedName name="IQ_OG_TAXES_OIL" hidden="1">"c2027"</definedName>
    <definedName name="IQ_OG_TOTAL_COSTS" hidden="1">"c1980"</definedName>
    <definedName name="IQ_OG_TOTAL_COSTS_GAS" hidden="1">"c1992"</definedName>
    <definedName name="IQ_OG_TOTAL_COSTS_OIL" hidden="1">"c1986"</definedName>
    <definedName name="IQ_OG_TOTAL_EST_PROVED_RESERVES_GAS" hidden="1">"c2052"</definedName>
    <definedName name="IQ_OG_TOTAL_GAS_PRODUCTION" hidden="1">"c2060"</definedName>
    <definedName name="IQ_OG_TOTAL_LIQUID_GAS_PRODUCTION" hidden="1">"c2235"</definedName>
    <definedName name="IQ_OG_TOTAL_OIL_PRODUCTION" hidden="1">"c2059"</definedName>
    <definedName name="IQ_OG_TOTAL_OIL_PRODUCTON" hidden="1">"c2059"</definedName>
    <definedName name="IQ_OG_UNDEVELOPED_RESERVES_GAS" hidden="1">"c2051"</definedName>
    <definedName name="IQ_OG_UNDEVELOPED_RESERVES_NGL" hidden="1">"c2923"</definedName>
    <definedName name="IQ_OG_UNDEVELOPED_RESERVES_OIL" hidden="1">"c2039"</definedName>
    <definedName name="IQ_OIL_IMPAIR" hidden="1">"c840"</definedName>
    <definedName name="IQ_OL_COMM_AFTER_FIVE" hidden="1">"c841"</definedName>
    <definedName name="IQ_OL_COMM_CY" hidden="1">"c842"</definedName>
    <definedName name="IQ_OL_COMM_CY1" hidden="1">"c843"</definedName>
    <definedName name="IQ_OL_COMM_CY2" hidden="1">"c844"</definedName>
    <definedName name="IQ_OL_COMM_CY3" hidden="1">"c845"</definedName>
    <definedName name="IQ_OL_COMM_CY4" hidden="1">"c846"</definedName>
    <definedName name="IQ_OL_COMM_NEXT_FIVE" hidden="1">"c847"</definedName>
    <definedName name="IQ_OPEB_ACCRUED_LIAB" hidden="1">"c3308"</definedName>
    <definedName name="IQ_OPEB_ACCRUED_LIAB_DOM" hidden="1">"c3306"</definedName>
    <definedName name="IQ_OPEB_ACCRUED_LIAB_FOREIGN" hidden="1">"c3307"</definedName>
    <definedName name="IQ_OPEB_ACCUM_OTHER_CI" hidden="1">"c3314"</definedName>
    <definedName name="IQ_OPEB_ACCUM_OTHER_CI_DOM" hidden="1">"c3312"</definedName>
    <definedName name="IQ_OPEB_ACCUM_OTHER_CI_FOREIGN" hidden="1">"c3313"</definedName>
    <definedName name="IQ_OPEB_ASSETS" hidden="1">"c3356"</definedName>
    <definedName name="IQ_OPEB_ASSETS_ACQ" hidden="1">"c3347"</definedName>
    <definedName name="IQ_OPEB_ASSETS_ACQ_DOM" hidden="1">"c3345"</definedName>
    <definedName name="IQ_OPEB_ASSETS_ACQ_FOREIGN" hidden="1">"c3346"</definedName>
    <definedName name="IQ_OPEB_ASSETS_ACTUAL_RETURN" hidden="1">"c3332"</definedName>
    <definedName name="IQ_OPEB_ASSETS_ACTUAL_RETURN_DOM" hidden="1">"c3330"</definedName>
    <definedName name="IQ_OPEB_ASSETS_ACTUAL_RETURN_FOREIGN" hidden="1">"c3331"</definedName>
    <definedName name="IQ_OPEB_ASSETS_BEG" hidden="1">"c3329"</definedName>
    <definedName name="IQ_OPEB_ASSETS_BEG_DOM" hidden="1">"c3327"</definedName>
    <definedName name="IQ_OPEB_ASSETS_BEG_FOREIGN" hidden="1">"c3328"</definedName>
    <definedName name="IQ_OPEB_ASSETS_BENEFITS_PAID" hidden="1">"c3341"</definedName>
    <definedName name="IQ_OPEB_ASSETS_BENEFITS_PAID_DOM" hidden="1">"c3339"</definedName>
    <definedName name="IQ_OPEB_ASSETS_BENEFITS_PAID_FOREIGN" hidden="1">"c3340"</definedName>
    <definedName name="IQ_OPEB_ASSETS_CURTAIL" hidden="1">"c3350"</definedName>
    <definedName name="IQ_OPEB_ASSETS_CURTAIL_DOM" hidden="1">"c3348"</definedName>
    <definedName name="IQ_OPEB_ASSETS_CURTAIL_FOREIGN" hidden="1">"c3349"</definedName>
    <definedName name="IQ_OPEB_ASSETS_DOM" hidden="1">"c3354"</definedName>
    <definedName name="IQ_OPEB_ASSETS_EMPLOYER_CONTRIBUTIONS" hidden="1">"c3335"</definedName>
    <definedName name="IQ_OPEB_ASSETS_EMPLOYER_CONTRIBUTIONS_DOM" hidden="1">"c3333"</definedName>
    <definedName name="IQ_OPEB_ASSETS_EMPLOYER_CONTRIBUTIONS_FOREIGN" hidden="1">"c3334"</definedName>
    <definedName name="IQ_OPEB_ASSETS_FOREIGN" hidden="1">"c3355"</definedName>
    <definedName name="IQ_OPEB_ASSETS_FX_ADJ" hidden="1">"c3344"</definedName>
    <definedName name="IQ_OPEB_ASSETS_FX_ADJ_DOM" hidden="1">"c3342"</definedName>
    <definedName name="IQ_OPEB_ASSETS_FX_ADJ_FOREIGN" hidden="1">"c3343"</definedName>
    <definedName name="IQ_OPEB_ASSETS_OTHER_PLAN_ADJ" hidden="1">"c3353"</definedName>
    <definedName name="IQ_OPEB_ASSETS_OTHER_PLAN_ADJ_DOM" hidden="1">"c3351"</definedName>
    <definedName name="IQ_OPEB_ASSETS_OTHER_PLAN_ADJ_FOREIGN" hidden="1">"c3352"</definedName>
    <definedName name="IQ_OPEB_ASSETS_PARTICIP_CONTRIBUTIONS" hidden="1">"c3338"</definedName>
    <definedName name="IQ_OPEB_ASSETS_PARTICIP_CONTRIBUTIONS_DOM" hidden="1">"c3336"</definedName>
    <definedName name="IQ_OPEB_ASSETS_PARTICIP_CONTRIBUTIONS_FOREIGN" hidden="1">"c3337"</definedName>
    <definedName name="IQ_OPEB_BENEFIT_INFO_DATE" hidden="1">"c3410"</definedName>
    <definedName name="IQ_OPEB_BENEFIT_INFO_DATE_DOM" hidden="1">"c3408"</definedName>
    <definedName name="IQ_OPEB_BENEFIT_INFO_DATE_FOREIGN" hidden="1">"c3409"</definedName>
    <definedName name="IQ_OPEB_BREAKDOWN_EQ" hidden="1">"c3275"</definedName>
    <definedName name="IQ_OPEB_BREAKDOWN_EQ_DOM" hidden="1">"c3273"</definedName>
    <definedName name="IQ_OPEB_BREAKDOWN_EQ_FOREIGN" hidden="1">"c3274"</definedName>
    <definedName name="IQ_OPEB_BREAKDOWN_FI" hidden="1">"c3278"</definedName>
    <definedName name="IQ_OPEB_BREAKDOWN_FI_DOM" hidden="1">"c3276"</definedName>
    <definedName name="IQ_OPEB_BREAKDOWN_FI_FOREIGN" hidden="1">"c3277"</definedName>
    <definedName name="IQ_OPEB_BREAKDOWN_OTHER" hidden="1">"c3284"</definedName>
    <definedName name="IQ_OPEB_BREAKDOWN_OTHER_DOM" hidden="1">"c3282"</definedName>
    <definedName name="IQ_OPEB_BREAKDOWN_OTHER_FOREIGN" hidden="1">"c3283"</definedName>
    <definedName name="IQ_OPEB_BREAKDOWN_PCT_EQ" hidden="1">"c3263"</definedName>
    <definedName name="IQ_OPEB_BREAKDOWN_PCT_EQ_DOM" hidden="1">"c3261"</definedName>
    <definedName name="IQ_OPEB_BREAKDOWN_PCT_EQ_FOREIGN" hidden="1">"c3262"</definedName>
    <definedName name="IQ_OPEB_BREAKDOWN_PCT_FI" hidden="1">"c3266"</definedName>
    <definedName name="IQ_OPEB_BREAKDOWN_PCT_FI_DOM" hidden="1">"c3264"</definedName>
    <definedName name="IQ_OPEB_BREAKDOWN_PCT_FI_FOREIGN" hidden="1">"c3265"</definedName>
    <definedName name="IQ_OPEB_BREAKDOWN_PCT_OTHER" hidden="1">"c3272"</definedName>
    <definedName name="IQ_OPEB_BREAKDOWN_PCT_OTHER_DOM" hidden="1">"c3270"</definedName>
    <definedName name="IQ_OPEB_BREAKDOWN_PCT_OTHER_FOREIGN" hidden="1">"c3271"</definedName>
    <definedName name="IQ_OPEB_BREAKDOWN_PCT_RE" hidden="1">"c3269"</definedName>
    <definedName name="IQ_OPEB_BREAKDOWN_PCT_RE_DOM" hidden="1">"c3267"</definedName>
    <definedName name="IQ_OPEB_BREAKDOWN_PCT_RE_FOREIGN" hidden="1">"c3268"</definedName>
    <definedName name="IQ_OPEB_BREAKDOWN_RE" hidden="1">"c3281"</definedName>
    <definedName name="IQ_OPEB_BREAKDOWN_RE_DOM" hidden="1">"c3279"</definedName>
    <definedName name="IQ_OPEB_BREAKDOWN_RE_FOREIGN" hidden="1">"c3280"</definedName>
    <definedName name="IQ_OPEB_DECREASE_EFFECT_PBO" hidden="1">"c3458"</definedName>
    <definedName name="IQ_OPEB_DECREASE_EFFECT_PBO_DOM" hidden="1">"c3456"</definedName>
    <definedName name="IQ_OPEB_DECREASE_EFFECT_PBO_FOREIGN" hidden="1">"c3457"</definedName>
    <definedName name="IQ_OPEB_DECREASE_EFFECT_SERVICE_INT_COST" hidden="1">"c3455"</definedName>
    <definedName name="IQ_OPEB_DECREASE_EFFECT_SERVICE_INT_COST_DOM" hidden="1">"c3453"</definedName>
    <definedName name="IQ_OPEB_DECREASE_EFFECT_SERVICE_INT_COST_FOREIGN" hidden="1">"c3454"</definedName>
    <definedName name="IQ_OPEB_DISC_RATE_MAX" hidden="1">"c3422"</definedName>
    <definedName name="IQ_OPEB_DISC_RATE_MAX_DOM" hidden="1">"c3420"</definedName>
    <definedName name="IQ_OPEB_DISC_RATE_MAX_FOREIGN" hidden="1">"c3421"</definedName>
    <definedName name="IQ_OPEB_DISC_RATE_MIN" hidden="1">"c3419"</definedName>
    <definedName name="IQ_OPEB_DISC_RATE_MIN_DOM" hidden="1">"c3417"</definedName>
    <definedName name="IQ_OPEB_DISC_RATE_MIN_FOREIGN" hidden="1">"c3418"</definedName>
    <definedName name="IQ_OPEB_EST_BENEFIT_1YR" hidden="1">"c3287"</definedName>
    <definedName name="IQ_OPEB_EST_BENEFIT_1YR_DOM" hidden="1">"c3285"</definedName>
    <definedName name="IQ_OPEB_EST_BENEFIT_1YR_FOREIGN" hidden="1">"c3286"</definedName>
    <definedName name="IQ_OPEB_EST_BENEFIT_2YR" hidden="1">"c3290"</definedName>
    <definedName name="IQ_OPEB_EST_BENEFIT_2YR_DOM" hidden="1">"c3288"</definedName>
    <definedName name="IQ_OPEB_EST_BENEFIT_2YR_FOREIGN" hidden="1">"c3289"</definedName>
    <definedName name="IQ_OPEB_EST_BENEFIT_3YR" hidden="1">"c3293"</definedName>
    <definedName name="IQ_OPEB_EST_BENEFIT_3YR_DOM" hidden="1">"c3291"</definedName>
    <definedName name="IQ_OPEB_EST_BENEFIT_3YR_FOREIGN" hidden="1">"c3292"</definedName>
    <definedName name="IQ_OPEB_EST_BENEFIT_4YR" hidden="1">"c3296"</definedName>
    <definedName name="IQ_OPEB_EST_BENEFIT_4YR_DOM" hidden="1">"c3294"</definedName>
    <definedName name="IQ_OPEB_EST_BENEFIT_4YR_FOREIGN" hidden="1">"c3295"</definedName>
    <definedName name="IQ_OPEB_EST_BENEFIT_5YR" hidden="1">"c3299"</definedName>
    <definedName name="IQ_OPEB_EST_BENEFIT_5YR_DOM" hidden="1">"c3297"</definedName>
    <definedName name="IQ_OPEB_EST_BENEFIT_5YR_FOREIGN" hidden="1">"c3298"</definedName>
    <definedName name="IQ_OPEB_EST_BENEFIT_AFTER5" hidden="1">"c3302"</definedName>
    <definedName name="IQ_OPEB_EST_BENEFIT_AFTER5_DOM" hidden="1">"c3300"</definedName>
    <definedName name="IQ_OPEB_EST_BENEFIT_AFTER5_FOREIGN" hidden="1">"c3301"</definedName>
    <definedName name="IQ_OPEB_EXP_RATE_RETURN_MAX" hidden="1">"c3434"</definedName>
    <definedName name="IQ_OPEB_EXP_RATE_RETURN_MAX_DOM" hidden="1">"c3432"</definedName>
    <definedName name="IQ_OPEB_EXP_RATE_RETURN_MAX_FOREIGN" hidden="1">"c3433"</definedName>
    <definedName name="IQ_OPEB_EXP_RATE_RETURN_MIN" hidden="1">"c3431"</definedName>
    <definedName name="IQ_OPEB_EXP_RATE_RETURN_MIN_DOM" hidden="1">"c3429"</definedName>
    <definedName name="IQ_OPEB_EXP_RATE_RETURN_MIN_FOREIGN" hidden="1">"c3430"</definedName>
    <definedName name="IQ_OPEB_EXP_RETURN" hidden="1">"c3398"</definedName>
    <definedName name="IQ_OPEB_EXP_RETURN_DOM" hidden="1">"c3396"</definedName>
    <definedName name="IQ_OPEB_EXP_RETURN_FOREIGN" hidden="1">"c3397"</definedName>
    <definedName name="IQ_OPEB_HEALTH_COST_TREND_INITIAL" hidden="1">"c3413"</definedName>
    <definedName name="IQ_OPEB_HEALTH_COST_TREND_INITIAL_DOM" hidden="1">"c3411"</definedName>
    <definedName name="IQ_OPEB_HEALTH_COST_TREND_INITIAL_FOREIGN" hidden="1">"c3412"</definedName>
    <definedName name="IQ_OPEB_HEALTH_COST_TREND_ULTIMATE" hidden="1">"c3416"</definedName>
    <definedName name="IQ_OPEB_HEALTH_COST_TREND_ULTIMATE_DOM" hidden="1">"c3414"</definedName>
    <definedName name="IQ_OPEB_HEALTH_COST_TREND_ULTIMATE_FOREIGN" hidden="1">"c3415"</definedName>
    <definedName name="IQ_OPEB_INCREASE_EFFECT_PBO" hidden="1">"c3452"</definedName>
    <definedName name="IQ_OPEB_INCREASE_EFFECT_PBO_DOM" hidden="1">"c3450"</definedName>
    <definedName name="IQ_OPEB_INCREASE_EFFECT_PBO_FOREIGN" hidden="1">"c3451"</definedName>
    <definedName name="IQ_OPEB_INCREASE_EFFECT_SERVICE_INT_COST" hidden="1">"c3449"</definedName>
    <definedName name="IQ_OPEB_INCREASE_EFFECT_SERVICE_INT_COST_DOM" hidden="1">"c3447"</definedName>
    <definedName name="IQ_OPEB_INCREASE_EFFECT_SERVICE_INT_COST_FOREIGN" hidden="1">"c3448"</definedName>
    <definedName name="IQ_OPEB_INTAN_ASSETS" hidden="1">"c3311"</definedName>
    <definedName name="IQ_OPEB_INTAN_ASSETS_DOM" hidden="1">"c3309"</definedName>
    <definedName name="IQ_OPEB_INTAN_ASSETS_FOREIGN" hidden="1">"c3310"</definedName>
    <definedName name="IQ_OPEB_INTEREST_COST" hidden="1">"c3395"</definedName>
    <definedName name="IQ_OPEB_INTEREST_COST_DOM" hidden="1">"c3393"</definedName>
    <definedName name="IQ_OPEB_INTEREST_COST_FOREIGN" hidden="1">"c3394"</definedName>
    <definedName name="IQ_OPEB_NET_ASSET_RECOG" hidden="1">"c3326"</definedName>
    <definedName name="IQ_OPEB_NET_ASSET_RECOG_DOM" hidden="1">"c3324"</definedName>
    <definedName name="IQ_OPEB_NET_ASSET_RECOG_FOREIGN" hidden="1">"c3325"</definedName>
    <definedName name="IQ_OPEB_OBLIGATION_ACCUMULATED" hidden="1">"c3407"</definedName>
    <definedName name="IQ_OPEB_OBLIGATION_ACCUMULATED_DOM" hidden="1">"c3405"</definedName>
    <definedName name="IQ_OPEB_OBLIGATION_ACCUMULATED_FOREIGN" hidden="1">"c3406"</definedName>
    <definedName name="IQ_OPEB_OBLIGATION_ACQ" hidden="1">"c3380"</definedName>
    <definedName name="IQ_OPEB_OBLIGATION_ACQ_DOM" hidden="1">"c3378"</definedName>
    <definedName name="IQ_OPEB_OBLIGATION_ACQ_FOREIGN" hidden="1">"c3379"</definedName>
    <definedName name="IQ_OPEB_OBLIGATION_ACTUARIAL_GAIN_LOSS" hidden="1">"c3371"</definedName>
    <definedName name="IQ_OPEB_OBLIGATION_ACTUARIAL_GAIN_LOSS_DOM" hidden="1">"c3369"</definedName>
    <definedName name="IQ_OPEB_OBLIGATION_ACTUARIAL_GAIN_LOSS_FOREIGN" hidden="1">"c3370"</definedName>
    <definedName name="IQ_OPEB_OBLIGATION_BEG" hidden="1">"c3359"</definedName>
    <definedName name="IQ_OPEB_OBLIGATION_BEG_DOM" hidden="1">"c3357"</definedName>
    <definedName name="IQ_OPEB_OBLIGATION_BEG_FOREIGN" hidden="1">"c3358"</definedName>
    <definedName name="IQ_OPEB_OBLIGATION_CURTAIL" hidden="1">"c3383"</definedName>
    <definedName name="IQ_OPEB_OBLIGATION_CURTAIL_DOM" hidden="1">"c3381"</definedName>
    <definedName name="IQ_OPEB_OBLIGATION_CURTAIL_FOREIGN" hidden="1">"c3382"</definedName>
    <definedName name="IQ_OPEB_OBLIGATION_EMPLOYEE_CONTRIBUTIONS" hidden="1">"c3368"</definedName>
    <definedName name="IQ_OPEB_OBLIGATION_EMPLOYEE_CONTRIBUTIONS_DOM" hidden="1">"c3366"</definedName>
    <definedName name="IQ_OPEB_OBLIGATION_EMPLOYEE_CONTRIBUTIONS_FOREIGN" hidden="1">"c3367"</definedName>
    <definedName name="IQ_OPEB_OBLIGATION_FX_ADJ" hidden="1">"c3377"</definedName>
    <definedName name="IQ_OPEB_OBLIGATION_FX_ADJ_DOM" hidden="1">"c3375"</definedName>
    <definedName name="IQ_OPEB_OBLIGATION_FX_ADJ_FOREIGN" hidden="1">"c3376"</definedName>
    <definedName name="IQ_OPEB_OBLIGATION_INTEREST_COST" hidden="1">"c3365"</definedName>
    <definedName name="IQ_OPEB_OBLIGATION_INTEREST_COST_DOM" hidden="1">"c3363"</definedName>
    <definedName name="IQ_OPEB_OBLIGATION_INTEREST_COST_FOREIGN" hidden="1">"c3364"</definedName>
    <definedName name="IQ_OPEB_OBLIGATION_OTHER_PLAN_ADJ" hidden="1">"c3386"</definedName>
    <definedName name="IQ_OPEB_OBLIGATION_OTHER_PLAN_ADJ_DOM" hidden="1">"c3384"</definedName>
    <definedName name="IQ_OPEB_OBLIGATION_OTHER_PLAN_ADJ_FOREIGN" hidden="1">"c3385"</definedName>
    <definedName name="IQ_OPEB_OBLIGATION_PAID" hidden="1">"c3374"</definedName>
    <definedName name="IQ_OPEB_OBLIGATION_PAID_DOM" hidden="1">"c3372"</definedName>
    <definedName name="IQ_OPEB_OBLIGATION_PAID_FOREIGN" hidden="1">"c3373"</definedName>
    <definedName name="IQ_OPEB_OBLIGATION_PROJECTED" hidden="1">"c3389"</definedName>
    <definedName name="IQ_OPEB_OBLIGATION_PROJECTED_DOM" hidden="1">"c3387"</definedName>
    <definedName name="IQ_OPEB_OBLIGATION_PROJECTED_FOREIGN" hidden="1">"c3388"</definedName>
    <definedName name="IQ_OPEB_OBLIGATION_SERVICE_COST" hidden="1">"c3362"</definedName>
    <definedName name="IQ_OPEB_OBLIGATION_SERVICE_COST_DOM" hidden="1">"c3360"</definedName>
    <definedName name="IQ_OPEB_OBLIGATION_SERVICE_COST_FOREIGN" hidden="1">"c3361"</definedName>
    <definedName name="IQ_OPEB_OTHER" hidden="1">"c3317"</definedName>
    <definedName name="IQ_OPEB_OTHER_ADJ" hidden="1">"c3323"</definedName>
    <definedName name="IQ_OPEB_OTHER_ADJ_DOM" hidden="1">"c3321"</definedName>
    <definedName name="IQ_OPEB_OTHER_ADJ_FOREIGN" hidden="1">"c3322"</definedName>
    <definedName name="IQ_OPEB_OTHER_COST" hidden="1">"c3401"</definedName>
    <definedName name="IQ_OPEB_OTHER_COST_DOM" hidden="1">"c3399"</definedName>
    <definedName name="IQ_OPEB_OTHER_COST_FOREIGN" hidden="1">"c3400"</definedName>
    <definedName name="IQ_OPEB_OTHER_DOM" hidden="1">"c3315"</definedName>
    <definedName name="IQ_OPEB_OTHER_FOREIGN" hidden="1">"c3316"</definedName>
    <definedName name="IQ_OPEB_PBO_ASSUMED_RATE_RET_MAX" hidden="1">"c3440"</definedName>
    <definedName name="IQ_OPEB_PBO_ASSUMED_RATE_RET_MAX_DOM" hidden="1">"c3438"</definedName>
    <definedName name="IQ_OPEB_PBO_ASSUMED_RATE_RET_MAX_FOREIGN" hidden="1">"c3439"</definedName>
    <definedName name="IQ_OPEB_PBO_ASSUMED_RATE_RET_MIN" hidden="1">"c3437"</definedName>
    <definedName name="IQ_OPEB_PBO_ASSUMED_RATE_RET_MIN_DOM" hidden="1">"c3435"</definedName>
    <definedName name="IQ_OPEB_PBO_ASSUMED_RATE_RET_MIN_FOREIGN" hidden="1">"c3436"</definedName>
    <definedName name="IQ_OPEB_PBO_RATE_COMP_INCREASE_MAX" hidden="1">"c3446"</definedName>
    <definedName name="IQ_OPEB_PBO_RATE_COMP_INCREASE_MAX_DOM" hidden="1">"c3444"</definedName>
    <definedName name="IQ_OPEB_PBO_RATE_COMP_INCREASE_MAX_FOREIGN" hidden="1">"c3445"</definedName>
    <definedName name="IQ_OPEB_PBO_RATE_COMP_INCREASE_MIN" hidden="1">"c3443"</definedName>
    <definedName name="IQ_OPEB_PBO_RATE_COMP_INCREASE_MIN_DOM" hidden="1">"c3441"</definedName>
    <definedName name="IQ_OPEB_PBO_RATE_COMP_INCREASE_MIN_FOREIGN" hidden="1">"c3442"</definedName>
    <definedName name="IQ_OPEB_PREPAID_COST" hidden="1">"c3305"</definedName>
    <definedName name="IQ_OPEB_PREPAID_COST_DOM" hidden="1">"c3303"</definedName>
    <definedName name="IQ_OPEB_PREPAID_COST_FOREIGN" hidden="1">"c3304"</definedName>
    <definedName name="IQ_OPEB_RATE_COMP_INCREASE_MAX" hidden="1">"c3428"</definedName>
    <definedName name="IQ_OPEB_RATE_COMP_INCREASE_MAX_DOM" hidden="1">"c3426"</definedName>
    <definedName name="IQ_OPEB_RATE_COMP_INCREASE_MAX_FOREIGN" hidden="1">"c3427"</definedName>
    <definedName name="IQ_OPEB_RATE_COMP_INCREASE_MIN" hidden="1">"c3425"</definedName>
    <definedName name="IQ_OPEB_RATE_COMP_INCREASE_MIN_DOM" hidden="1">"c3423"</definedName>
    <definedName name="IQ_OPEB_RATE_COMP_INCREASE_MIN_FOREIGN" hidden="1">"c3424"</definedName>
    <definedName name="IQ_OPEB_SERVICE_COST" hidden="1">"c3392"</definedName>
    <definedName name="IQ_OPEB_SERVICE_COST_DOM" hidden="1">"c3390"</definedName>
    <definedName name="IQ_OPEB_SERVICE_COST_FOREIGN" hidden="1">"c3391"</definedName>
    <definedName name="IQ_OPEB_TOTAL_COST" hidden="1">"c3404"</definedName>
    <definedName name="IQ_OPEB_TOTAL_COST_DOM" hidden="1">"c3402"</definedName>
    <definedName name="IQ_OPEB_TOTAL_COST_FOREIGN" hidden="1">"c3403"</definedName>
    <definedName name="IQ_OPEB_UNRECOG_PRIOR" hidden="1">"c3320"</definedName>
    <definedName name="IQ_OPEB_UNRECOG_PRIOR_DOM" hidden="1">"c3318"</definedName>
    <definedName name="IQ_OPEB_UNRECOG_PRIOR_FOREIGN" hidden="1">"c3319"</definedName>
    <definedName name="IQ_OPENED55" hidden="1">1</definedName>
    <definedName name="IQ_OPENPRICE" hidden="1">"c848"</definedName>
    <definedName name="IQ_OPER_INC" hidden="1">"c849"</definedName>
    <definedName name="IQ_OPER_INC_BR" hidden="1">"c850"</definedName>
    <definedName name="IQ_OPER_INC_FIN" hidden="1">"c851"</definedName>
    <definedName name="IQ_OPER_INC_INS" hidden="1">"c852"</definedName>
    <definedName name="IQ_OPER_INC_MARGIN" hidden="1">"c362"</definedName>
    <definedName name="IQ_OPER_INC_REIT" hidden="1">"c853"</definedName>
    <definedName name="IQ_OPER_INC_UTI" hidden="1">"c854"</definedName>
    <definedName name="IQ_OPERATIONS_EXP" hidden="1">"c855"</definedName>
    <definedName name="IQ_OPTIONS_BEG_OS" hidden="1">"c1572"</definedName>
    <definedName name="IQ_OPTIONS_CANCELLED" hidden="1">"c856"</definedName>
    <definedName name="IQ_OPTIONS_END_OS" hidden="1">"c1573"</definedName>
    <definedName name="IQ_OPTIONS_EXCERCISED" hidden="1">"c2116"</definedName>
    <definedName name="IQ_OPTIONS_EXERCISED" hidden="1">"c2116"</definedName>
    <definedName name="IQ_OPTIONS_GRANTED" hidden="1">"c2673"</definedName>
    <definedName name="IQ_OPTIONS_ISSUED" hidden="1">"c857"</definedName>
    <definedName name="IQ_OPTIONS_OS" hidden="1">"c858"</definedName>
    <definedName name="IQ_OPTIONS_STRIKE_PRICE_GRANTED" hidden="1">"c2678"</definedName>
    <definedName name="IQ_OPTIONS_STRIKE_PRICE_OS" hidden="1">"c2677"</definedName>
    <definedName name="IQ_ORDER_BACKLOG" hidden="1">"c2090"</definedName>
    <definedName name="IQ_OREO_1_4_RESIDENTIAL_FDIC" hidden="1">"c6454"</definedName>
    <definedName name="IQ_OREO_COMMERCIAL_RE_FDIC" hidden="1">"c6456"</definedName>
    <definedName name="IQ_OREO_CONSTRUCTION_DEVELOPMENT_FDIC" hidden="1">"c6457"</definedName>
    <definedName name="IQ_OREO_FARMLAND_FDIC" hidden="1">"c6458"</definedName>
    <definedName name="IQ_OREO_FOREIGN_FDIC" hidden="1">"c6460"</definedName>
    <definedName name="IQ_OREO_MULTI_FAMILY_RESIDENTIAL_FDIC" hidden="1">"c6455"</definedName>
    <definedName name="IQ_OTHER_ADJUST_GROSS_LOANS" hidden="1">"c859"</definedName>
    <definedName name="IQ_OTHER_AMORT_BR" hidden="1">"c5566"</definedName>
    <definedName name="IQ_OTHER_ASSETS" hidden="1">"c860"</definedName>
    <definedName name="IQ_OTHER_ASSETS_BNK" hidden="1">"c861"</definedName>
    <definedName name="IQ_OTHER_ASSETS_BR" hidden="1">"c862"</definedName>
    <definedName name="IQ_OTHER_ASSETS_FDIC" hidden="1">"c6338"</definedName>
    <definedName name="IQ_OTHER_ASSETS_FIN" hidden="1">"c863"</definedName>
    <definedName name="IQ_OTHER_ASSETS_INS" hidden="1">"c864"</definedName>
    <definedName name="IQ_OTHER_ASSETS_REIT" hidden="1">"c865"</definedName>
    <definedName name="IQ_OTHER_ASSETS_SERV_RIGHTS" hidden="1">"c2243"</definedName>
    <definedName name="IQ_OTHER_ASSETS_UTI" hidden="1">"c866"</definedName>
    <definedName name="IQ_OTHER_BEARING_LIAB" hidden="1">"c1608"</definedName>
    <definedName name="IQ_OTHER_BENEFITS_OBLIGATION" hidden="1">"c867"</definedName>
    <definedName name="IQ_OTHER_BORROWED_FUNDS_FDIC" hidden="1">"c6345"</definedName>
    <definedName name="IQ_OTHER_CA" hidden="1">"c868"</definedName>
    <definedName name="IQ_OTHER_CA_SUPPL" hidden="1">"c869"</definedName>
    <definedName name="IQ_OTHER_CA_SUPPL_BNK" hidden="1">"c870"</definedName>
    <definedName name="IQ_OTHER_CA_SUPPL_BR" hidden="1">"c871"</definedName>
    <definedName name="IQ_OTHER_CA_SUPPL_FIN" hidden="1">"c872"</definedName>
    <definedName name="IQ_OTHER_CA_SUPPL_INS" hidden="1">"c873"</definedName>
    <definedName name="IQ_OTHER_CA_SUPPL_REIT" hidden="1">"c874"</definedName>
    <definedName name="IQ_OTHER_CA_SUPPL_UTI" hidden="1">"c875"</definedName>
    <definedName name="IQ_OTHER_CA_UTI" hidden="1">"c876"</definedName>
    <definedName name="IQ_OTHER_CL" hidden="1">"c877"</definedName>
    <definedName name="IQ_OTHER_CL_SUPPL" hidden="1">"c878"</definedName>
    <definedName name="IQ_OTHER_CL_SUPPL_BNK" hidden="1">"c879"</definedName>
    <definedName name="IQ_OTHER_CL_SUPPL_BR" hidden="1">"c880"</definedName>
    <definedName name="IQ_OTHER_CL_SUPPL_FIN" hidden="1">"c881"</definedName>
    <definedName name="IQ_OTHER_CL_SUPPL_REIT" hidden="1">"c882"</definedName>
    <definedName name="IQ_OTHER_CL_SUPPL_UTI" hidden="1">"c883"</definedName>
    <definedName name="IQ_OTHER_CL_UTI" hidden="1">"c884"</definedName>
    <definedName name="IQ_OTHER_COMPREHENSIVE_INCOME_FDIC" hidden="1">"c6503"</definedName>
    <definedName name="IQ_OTHER_CURRENT_ASSETS" hidden="1">"c868"</definedName>
    <definedName name="IQ_OTHER_CURRENT_LIAB" hidden="1">"c877"</definedName>
    <definedName name="IQ_OTHER_DEBT" hidden="1">"c2507"</definedName>
    <definedName name="IQ_OTHER_DEBT_PCT" hidden="1">"c2508"</definedName>
    <definedName name="IQ_OTHER_DEP" hidden="1">"c885"</definedName>
    <definedName name="IQ_OTHER_DEPOSITORY_INSTITUTIONS_LOANS_FDIC" hidden="1">"c6436"</definedName>
    <definedName name="IQ_OTHER_DEPOSITORY_INSTITUTIONS_TOTAL_LOANS_FOREIGN_FDIC" hidden="1">"c6442"</definedName>
    <definedName name="IQ_OTHER_DOMESTIC_DEBT_SECURITIES_FDIC" hidden="1">"c6302"</definedName>
    <definedName name="IQ_OTHER_EARNING" hidden="1">"c1609"</definedName>
    <definedName name="IQ_OTHER_EQUITY" hidden="1">"c886"</definedName>
    <definedName name="IQ_OTHER_EQUITY_BNK" hidden="1">"c887"</definedName>
    <definedName name="IQ_OTHER_EQUITY_BR" hidden="1">"c888"</definedName>
    <definedName name="IQ_OTHER_EQUITY_FIN" hidden="1">"c889"</definedName>
    <definedName name="IQ_OTHER_EQUITY_INS" hidden="1">"c890"</definedName>
    <definedName name="IQ_OTHER_EQUITY_REIT" hidden="1">"c891"</definedName>
    <definedName name="IQ_OTHER_EQUITY_UTI" hidden="1">"c892"</definedName>
    <definedName name="IQ_OTHER_FINANCE_ACT" hidden="1">"c893"</definedName>
    <definedName name="IQ_OTHER_FINANCE_ACT_BNK" hidden="1">"c894"</definedName>
    <definedName name="IQ_OTHER_FINANCE_ACT_BR" hidden="1">"c895"</definedName>
    <definedName name="IQ_OTHER_FINANCE_ACT_FIN" hidden="1">"c896"</definedName>
    <definedName name="IQ_OTHER_FINANCE_ACT_INS" hidden="1">"c897"</definedName>
    <definedName name="IQ_OTHER_FINANCE_ACT_REIT" hidden="1">"c898"</definedName>
    <definedName name="IQ_OTHER_FINANCE_ACT_SUPPL" hidden="1">"c899"</definedName>
    <definedName name="IQ_OTHER_FINANCE_ACT_SUPPL_BNK" hidden="1">"c900"</definedName>
    <definedName name="IQ_OTHER_FINANCE_ACT_SUPPL_BR" hidden="1">"c901"</definedName>
    <definedName name="IQ_OTHER_FINANCE_ACT_SUPPL_FIN" hidden="1">"c902"</definedName>
    <definedName name="IQ_OTHER_FINANCE_ACT_SUPPL_INS" hidden="1">"c903"</definedName>
    <definedName name="IQ_OTHER_FINANCE_ACT_SUPPL_REIT" hidden="1">"c904"</definedName>
    <definedName name="IQ_OTHER_FINANCE_ACT_SUPPL_UTI" hidden="1">"c905"</definedName>
    <definedName name="IQ_OTHER_FINANCE_ACT_UTI" hidden="1">"c906"</definedName>
    <definedName name="IQ_OTHER_INSURANCE_FEES_FDIC" hidden="1">"c6672"</definedName>
    <definedName name="IQ_OTHER_INTAN" hidden="1">"c907"</definedName>
    <definedName name="IQ_OTHER_INTAN_BNK" hidden="1">"c908"</definedName>
    <definedName name="IQ_OTHER_INTAN_BR" hidden="1">"c909"</definedName>
    <definedName name="IQ_OTHER_INTAN_FIN" hidden="1">"c910"</definedName>
    <definedName name="IQ_OTHER_INTAN_INS" hidden="1">"c911"</definedName>
    <definedName name="IQ_OTHER_INTAN_REIT" hidden="1">"c912"</definedName>
    <definedName name="IQ_OTHER_INTAN_UTI" hidden="1">"c913"</definedName>
    <definedName name="IQ_OTHER_INTANGIBLE_FDIC" hidden="1">"c6337"</definedName>
    <definedName name="IQ_OTHER_INV" hidden="1">"c914"</definedName>
    <definedName name="IQ_OTHER_INVEST" hidden="1">"c915"</definedName>
    <definedName name="IQ_OTHER_INVEST_ACT" hidden="1">"c916"</definedName>
    <definedName name="IQ_OTHER_INVEST_ACT_BNK" hidden="1">"c917"</definedName>
    <definedName name="IQ_OTHER_INVEST_ACT_BR" hidden="1">"c918"</definedName>
    <definedName name="IQ_OTHER_INVEST_ACT_FIN" hidden="1">"c919"</definedName>
    <definedName name="IQ_OTHER_INVEST_ACT_INS" hidden="1">"c920"</definedName>
    <definedName name="IQ_OTHER_INVEST_ACT_REIT" hidden="1">"c921"</definedName>
    <definedName name="IQ_OTHER_INVEST_ACT_SUPPL" hidden="1">"c922"</definedName>
    <definedName name="IQ_OTHER_INVEST_ACT_SUPPL_BNK" hidden="1">"c923"</definedName>
    <definedName name="IQ_OTHER_INVEST_ACT_SUPPL_BR" hidden="1">"c924"</definedName>
    <definedName name="IQ_OTHER_INVEST_ACT_SUPPL_FIN" hidden="1">"c925"</definedName>
    <definedName name="IQ_OTHER_INVEST_ACT_SUPPL_INS" hidden="1">"c926"</definedName>
    <definedName name="IQ_OTHER_INVEST_ACT_SUPPL_REIT" hidden="1">"c927"</definedName>
    <definedName name="IQ_OTHER_INVEST_ACT_SUPPL_UTI" hidden="1">"c928"</definedName>
    <definedName name="IQ_OTHER_INVEST_ACT_UTI" hidden="1">"c929"</definedName>
    <definedName name="IQ_OTHER_INVESTING" hidden="1">"c916"</definedName>
    <definedName name="IQ_OTHER_LIAB" hidden="1">"c930"</definedName>
    <definedName name="IQ_OTHER_LIAB_BNK" hidden="1">"c931"</definedName>
    <definedName name="IQ_OTHER_LIAB_BR" hidden="1">"c932"</definedName>
    <definedName name="IQ_OTHER_LIAB_FIN" hidden="1">"c933"</definedName>
    <definedName name="IQ_OTHER_LIAB_INS" hidden="1">"c934"</definedName>
    <definedName name="IQ_OTHER_LIAB_LT" hidden="1">"c935"</definedName>
    <definedName name="IQ_OTHER_LIAB_LT_BNK" hidden="1">"c936"</definedName>
    <definedName name="IQ_OTHER_LIAB_LT_BR" hidden="1">"c937"</definedName>
    <definedName name="IQ_OTHER_LIAB_LT_FIN" hidden="1">"c938"</definedName>
    <definedName name="IQ_OTHER_LIAB_LT_INS" hidden="1">"c939"</definedName>
    <definedName name="IQ_OTHER_LIAB_LT_REIT" hidden="1">"c940"</definedName>
    <definedName name="IQ_OTHER_LIAB_LT_UTI" hidden="1">"c941"</definedName>
    <definedName name="IQ_OTHER_LIAB_REIT" hidden="1">"c942"</definedName>
    <definedName name="IQ_OTHER_LIAB_UTI" hidden="1">"c943"</definedName>
    <definedName name="IQ_OTHER_LIAB_WRITTEN" hidden="1">"c944"</definedName>
    <definedName name="IQ_OTHER_LIABILITIES_FDIC" hidden="1">"c6347"</definedName>
    <definedName name="IQ_OTHER_LOANS" hidden="1">"c945"</definedName>
    <definedName name="IQ_OTHER_LOANS_CHARGE_OFFS_FDIC" hidden="1">"c6601"</definedName>
    <definedName name="IQ_OTHER_LOANS_FOREIGN_FDIC" hidden="1">"c6446"</definedName>
    <definedName name="IQ_OTHER_LOANS_LEASES_FDIC" hidden="1">"c6322"</definedName>
    <definedName name="IQ_OTHER_LOANS_NET_CHARGE_OFFS_FDIC" hidden="1">"c6639"</definedName>
    <definedName name="IQ_OTHER_LOANS_RECOVERIES_FDIC" hidden="1">"c6620"</definedName>
    <definedName name="IQ_OTHER_LOANS_TOTAL_FDIC" hidden="1">"c6432"</definedName>
    <definedName name="IQ_OTHER_LONG_TERM" hidden="1">"c946"</definedName>
    <definedName name="IQ_OTHER_LT_ASSETS" hidden="1">"c946"</definedName>
    <definedName name="IQ_OTHER_LT_ASSETS_BNK" hidden="1">"c947"</definedName>
    <definedName name="IQ_OTHER_LT_ASSETS_BR" hidden="1">"c948"</definedName>
    <definedName name="IQ_OTHER_LT_ASSETS_FIN" hidden="1">"c949"</definedName>
    <definedName name="IQ_OTHER_LT_ASSETS_INS" hidden="1">"c950"</definedName>
    <definedName name="IQ_OTHER_LT_ASSETS_REIT" hidden="1">"c951"</definedName>
    <definedName name="IQ_OTHER_LT_ASSETS_UTI" hidden="1">"c952"</definedName>
    <definedName name="IQ_OTHER_NET" hidden="1">"c959"</definedName>
    <definedName name="IQ_OTHER_NON_INT_EXP" hidden="1">"c953"</definedName>
    <definedName name="IQ_OTHER_NON_INT_EXP_FDIC" hidden="1">"c6578"</definedName>
    <definedName name="IQ_OTHER_NON_INT_EXP_TOTAL" hidden="1">"c954"</definedName>
    <definedName name="IQ_OTHER_NON_INT_EXPENSE_FDIC" hidden="1">"c6679"</definedName>
    <definedName name="IQ_OTHER_NON_INT_INC" hidden="1">"c955"</definedName>
    <definedName name="IQ_OTHER_NON_INT_INC_FDIC" hidden="1">"c6676"</definedName>
    <definedName name="IQ_OTHER_NON_OPER_EXP" hidden="1">"c956"</definedName>
    <definedName name="IQ_OTHER_NON_OPER_EXP_BR" hidden="1">"c957"</definedName>
    <definedName name="IQ_OTHER_NON_OPER_EXP_FIN" hidden="1">"c958"</definedName>
    <definedName name="IQ_OTHER_NON_OPER_EXP_INS" hidden="1">"c959"</definedName>
    <definedName name="IQ_OTHER_NON_OPER_EXP_REIT" hidden="1">"c960"</definedName>
    <definedName name="IQ_OTHER_NON_OPER_EXP_SUPPL" hidden="1">"c961"</definedName>
    <definedName name="IQ_OTHER_NON_OPER_EXP_SUPPL_BR" hidden="1">"c962"</definedName>
    <definedName name="IQ_OTHER_NON_OPER_EXP_SUPPL_FIN" hidden="1">"c963"</definedName>
    <definedName name="IQ_OTHER_NON_OPER_EXP_SUPPL_INS" hidden="1">"c964"</definedName>
    <definedName name="IQ_OTHER_NON_OPER_EXP_SUPPL_REIT" hidden="1">"c965"</definedName>
    <definedName name="IQ_OTHER_NON_OPER_EXP_SUPPL_UTI" hidden="1">"c966"</definedName>
    <definedName name="IQ_OTHER_NON_OPER_EXP_UTI" hidden="1">"c967"</definedName>
    <definedName name="IQ_OTHER_OFF_BS_LIAB_FDIC" hidden="1">"c6533"</definedName>
    <definedName name="IQ_OTHER_OPER" hidden="1">"c982"</definedName>
    <definedName name="IQ_OTHER_OPER_ACT" hidden="1">"c983"</definedName>
    <definedName name="IQ_OTHER_OPER_ACT_BNK" hidden="1">"c984"</definedName>
    <definedName name="IQ_OTHER_OPER_ACT_BR" hidden="1">"c985"</definedName>
    <definedName name="IQ_OTHER_OPER_ACT_FIN" hidden="1">"c986"</definedName>
    <definedName name="IQ_OTHER_OPER_ACT_INS" hidden="1">"c987"</definedName>
    <definedName name="IQ_OTHER_OPER_ACT_REIT" hidden="1">"c988"</definedName>
    <definedName name="IQ_OTHER_OPER_ACT_UTI" hidden="1">"c989"</definedName>
    <definedName name="IQ_OTHER_OPER_BR" hidden="1">"c990"</definedName>
    <definedName name="IQ_OTHER_OPER_FIN" hidden="1">"c991"</definedName>
    <definedName name="IQ_OTHER_OPER_INS" hidden="1">"c992"</definedName>
    <definedName name="IQ_OTHER_OPER_REIT" hidden="1">"c993"</definedName>
    <definedName name="IQ_OTHER_OPER_SUPPL_BR" hidden="1">"c994"</definedName>
    <definedName name="IQ_OTHER_OPER_SUPPL_FIN" hidden="1">"c995"</definedName>
    <definedName name="IQ_OTHER_OPER_SUPPL_INS" hidden="1">"c996"</definedName>
    <definedName name="IQ_OTHER_OPER_SUPPL_REIT" hidden="1">"c997"</definedName>
    <definedName name="IQ_OTHER_OPER_SUPPL_UTI" hidden="1">"c998"</definedName>
    <definedName name="IQ_OTHER_OPER_TOT_BNK" hidden="1">"c999"</definedName>
    <definedName name="IQ_OTHER_OPER_TOT_BR" hidden="1">"c1000"</definedName>
    <definedName name="IQ_OTHER_OPER_TOT_FIN" hidden="1">"c1001"</definedName>
    <definedName name="IQ_OTHER_OPER_TOT_INS" hidden="1">"c1002"</definedName>
    <definedName name="IQ_OTHER_OPER_TOT_REIT" hidden="1">"c1003"</definedName>
    <definedName name="IQ_OTHER_OPER_TOT_UTI" hidden="1">"c1004"</definedName>
    <definedName name="IQ_OTHER_OPER_UTI" hidden="1">"c1005"</definedName>
    <definedName name="IQ_OTHER_OPTIONS_BEG_OS" hidden="1">"c2686"</definedName>
    <definedName name="IQ_OTHER_OPTIONS_CANCELLED" hidden="1">"c2689"</definedName>
    <definedName name="IQ_OTHER_OPTIONS_END_OS" hidden="1">"c2690"</definedName>
    <definedName name="IQ_OTHER_OPTIONS_EXERCISED" hidden="1">"c2688"</definedName>
    <definedName name="IQ_OTHER_OPTIONS_GRANTED" hidden="1">"c2687"</definedName>
    <definedName name="IQ_OTHER_OPTIONS_STRIKE_PRICE_OS" hidden="1">"c2691"</definedName>
    <definedName name="IQ_OTHER_OUTSTANDING_BS_DATE" hidden="1">"c1972"</definedName>
    <definedName name="IQ_OTHER_OUTSTANDING_FILING_DATE" hidden="1">"c1974"</definedName>
    <definedName name="IQ_OTHER_PC_WRITTEN" hidden="1">"c1006"</definedName>
    <definedName name="IQ_OTHER_RE_OWNED_FDIC" hidden="1">"c6330"</definedName>
    <definedName name="IQ_OTHER_REAL_ESTATE" hidden="1">"c1007"</definedName>
    <definedName name="IQ_OTHER_RECEIV" hidden="1">"c1008"</definedName>
    <definedName name="IQ_OTHER_RECEIV_INS" hidden="1">"c1009"</definedName>
    <definedName name="IQ_OTHER_REV" hidden="1">"c1010"</definedName>
    <definedName name="IQ_OTHER_REV_BR" hidden="1">"c1011"</definedName>
    <definedName name="IQ_OTHER_REV_FIN" hidden="1">"c1012"</definedName>
    <definedName name="IQ_OTHER_REV_INS" hidden="1">"c1013"</definedName>
    <definedName name="IQ_OTHER_REV_REIT" hidden="1">"c1014"</definedName>
    <definedName name="IQ_OTHER_REV_SUPPL" hidden="1">"c1015"</definedName>
    <definedName name="IQ_OTHER_REV_SUPPL_BR" hidden="1">"c1016"</definedName>
    <definedName name="IQ_OTHER_REV_SUPPL_FIN" hidden="1">"c1017"</definedName>
    <definedName name="IQ_OTHER_REV_SUPPL_INS" hidden="1">"c1018"</definedName>
    <definedName name="IQ_OTHER_REV_SUPPL_REIT" hidden="1">"c1019"</definedName>
    <definedName name="IQ_OTHER_REV_SUPPL_UTI" hidden="1">"c1020"</definedName>
    <definedName name="IQ_OTHER_REV_UTI" hidden="1">"c1021"</definedName>
    <definedName name="IQ_OTHER_REVENUE" hidden="1">"c1010"</definedName>
    <definedName name="IQ_OTHER_SAVINGS_DEPOSITS_FDIC" hidden="1">"c6554"</definedName>
    <definedName name="IQ_OTHER_STRIKE_PRICE_GRANTED" hidden="1">"c2692"</definedName>
    <definedName name="IQ_OTHER_TRANSACTIONS_FDIC" hidden="1">"c6504"</definedName>
    <definedName name="IQ_OTHER_UNDRAWN" hidden="1">"c2522"</definedName>
    <definedName name="IQ_OTHER_UNUSED_COMMITMENTS_FDIC" hidden="1">"c6530"</definedName>
    <definedName name="IQ_OTHER_UNUSUAL" hidden="1">"c1488"</definedName>
    <definedName name="IQ_OTHER_UNUSUAL_BNK" hidden="1">"c1560"</definedName>
    <definedName name="IQ_OTHER_UNUSUAL_BR" hidden="1">"c1561"</definedName>
    <definedName name="IQ_OTHER_UNUSUAL_FIN" hidden="1">"c1562"</definedName>
    <definedName name="IQ_OTHER_UNUSUAL_INS" hidden="1">"c1563"</definedName>
    <definedName name="IQ_OTHER_UNUSUAL_REIT" hidden="1">"c1564"</definedName>
    <definedName name="IQ_OTHER_UNUSUAL_SUPPL" hidden="1">"c1494"</definedName>
    <definedName name="IQ_OTHER_UNUSUAL_SUPPL_BNK" hidden="1">"c1495"</definedName>
    <definedName name="IQ_OTHER_UNUSUAL_SUPPL_BR" hidden="1">"c1496"</definedName>
    <definedName name="IQ_OTHER_UNUSUAL_SUPPL_FIN" hidden="1">"c1497"</definedName>
    <definedName name="IQ_OTHER_UNUSUAL_SUPPL_INS" hidden="1">"c1498"</definedName>
    <definedName name="IQ_OTHER_UNUSUAL_SUPPL_REIT" hidden="1">"c1499"</definedName>
    <definedName name="IQ_OTHER_UNUSUAL_SUPPL_UTI" hidden="1">"c1500"</definedName>
    <definedName name="IQ_OTHER_UNUSUAL_UTI" hidden="1">"c1565"</definedName>
    <definedName name="IQ_OTHER_WARRANTS_BEG_OS" hidden="1">"c2712"</definedName>
    <definedName name="IQ_OTHER_WARRANTS_CANCELLED" hidden="1">"c2715"</definedName>
    <definedName name="IQ_OTHER_WARRANTS_END_OS" hidden="1">"c2716"</definedName>
    <definedName name="IQ_OTHER_WARRANTS_EXERCISED" hidden="1">"c2714"</definedName>
    <definedName name="IQ_OTHER_WARRANTS_ISSUED" hidden="1">"c2713"</definedName>
    <definedName name="IQ_OTHER_WARRANTS_STRIKE_PRICE_ISSUED" hidden="1">"c2718"</definedName>
    <definedName name="IQ_OTHER_WARRANTS_STRIKE_PRICE_OS" hidden="1">"c2717"</definedName>
    <definedName name="IQ_OUTSTANDING_BS_DATE" hidden="1">"c1022"</definedName>
    <definedName name="IQ_OUTSTANDING_FILING_DATE" hidden="1">"c1023"</definedName>
    <definedName name="IQ_OUTSTANDING_FILING_DATE_TOTAL" hidden="1">"c2107"</definedName>
    <definedName name="IQ_OVER_FIFETEEN_YEAR_MORTGAGE_PASS_THROUGHS_FDIC" hidden="1">"c6416"</definedName>
    <definedName name="IQ_OVER_FIFTEEN_YEAR_FIXED_AND_FLOATING_RATE_FDIC" hidden="1">"c6424"</definedName>
    <definedName name="IQ_OVER_THREE_YEARS_FDIC" hidden="1">"c6418"</definedName>
    <definedName name="IQ_PART_TIME" hidden="1">"c1024"</definedName>
    <definedName name="IQ_PARTICIPATION_POOLS_RESIDENTIAL_MORTGAGES_FDIC" hidden="1">"c6403"</definedName>
    <definedName name="IQ_PAST_DUE_30_1_4_FAMILY_LOANS_FDIC" hidden="1">"c6693"</definedName>
    <definedName name="IQ_PAST_DUE_30_AUTO_LOANS_FDIC" hidden="1">"c6687"</definedName>
    <definedName name="IQ_PAST_DUE_30_CL_LOANS_FDIC" hidden="1">"c6688"</definedName>
    <definedName name="IQ_PAST_DUE_30_CREDIT_CARDS_RECEIVABLES_FDIC" hidden="1">"c6690"</definedName>
    <definedName name="IQ_PAST_DUE_30_HOME_EQUITY_LINES_FDIC" hidden="1">"c6691"</definedName>
    <definedName name="IQ_PAST_DUE_30_OTHER_CONSUMER_LOANS_FDIC" hidden="1">"c6689"</definedName>
    <definedName name="IQ_PAST_DUE_30_OTHER_LOANS_FDIC" hidden="1">"c6692"</definedName>
    <definedName name="IQ_PAST_DUE_90_1_4_FAMILY_LOANS_FDIC" hidden="1">"c6700"</definedName>
    <definedName name="IQ_PAST_DUE_90_AUTO_LOANS_FDIC" hidden="1">"c6694"</definedName>
    <definedName name="IQ_PAST_DUE_90_CL_LOANS_FDIC" hidden="1">"c6695"</definedName>
    <definedName name="IQ_PAST_DUE_90_CREDIT_CARDS_RECEIVABLES_FDIC" hidden="1">"c6697"</definedName>
    <definedName name="IQ_PAST_DUE_90_HOME_EQUITY_LINES_FDIC" hidden="1">"c6698"</definedName>
    <definedName name="IQ_PAST_DUE_90_OTHER_CONSUMER_LOANS_FDIC" hidden="1">"c6696"</definedName>
    <definedName name="IQ_PAST_DUE_90_OTHER_LOANS_FDIC" hidden="1">"c6699"</definedName>
    <definedName name="IQ_PAY_ACCRUED" hidden="1">"c8"</definedName>
    <definedName name="IQ_PAYOUT_RATIO" hidden="1">"c1900"</definedName>
    <definedName name="IQ_PBV" hidden="1">"c1025"</definedName>
    <definedName name="IQ_PBV_AVG" hidden="1">"c1026"</definedName>
    <definedName name="IQ_PC_EARNED" hidden="1">"c2749"</definedName>
    <definedName name="IQ_PC_GAAP_COMBINED_RATIO" hidden="1">"c2781"</definedName>
    <definedName name="IQ_PC_GAAP_COMBINED_RATIO_EXCL_CL" hidden="1">"c2782"</definedName>
    <definedName name="IQ_PC_GAAP_EXPENSE_RATIO" hidden="1">"c2780"</definedName>
    <definedName name="IQ_PC_GAAP_LOSS" hidden="1">"c2779"</definedName>
    <definedName name="IQ_PC_POLICY_BENEFITS_EXP" hidden="1">"c2790"</definedName>
    <definedName name="IQ_PC_STAT_COMBINED_RATIO" hidden="1">"c2778"</definedName>
    <definedName name="IQ_PC_STAT_COMBINED_RATIO_EXCL_DIV" hidden="1">"c2777"</definedName>
    <definedName name="IQ_PC_STAT_DIVIDEND_RATIO" hidden="1">"c2776"</definedName>
    <definedName name="IQ_PC_STAT_EXPENSE_RATIO" hidden="1">"c2775"</definedName>
    <definedName name="IQ_PC_STAT_LOSS_RATIO" hidden="1">"c2774"</definedName>
    <definedName name="IQ_PC_STATUTORY_SURPLUS" hidden="1">"c2770"</definedName>
    <definedName name="IQ_PC_WRITTEN" hidden="1">"c1027"</definedName>
    <definedName name="IQ_PE_EXCL" hidden="1">"c1028"</definedName>
    <definedName name="IQ_PE_EXCL_AVG" hidden="1">"c1029"</definedName>
    <definedName name="IQ_PE_EXCL_FWD" hidden="1">"c1030"</definedName>
    <definedName name="IQ_PE_NORMALIZED" hidden="1">"c2207"</definedName>
    <definedName name="IQ_PE_RATIO" hidden="1">"c1610"</definedName>
    <definedName name="IQ_PENSION" hidden="1">"c1031"</definedName>
    <definedName name="IQ_PENSION_ACCRUED_LIAB" hidden="1">"c3134"</definedName>
    <definedName name="IQ_PENSION_ACCRUED_LIAB_DOM" hidden="1">"c3132"</definedName>
    <definedName name="IQ_PENSION_ACCRUED_LIAB_FOREIGN" hidden="1">"c3133"</definedName>
    <definedName name="IQ_PENSION_ACCUM_OTHER_CI" hidden="1">"c3140"</definedName>
    <definedName name="IQ_PENSION_ACCUM_OTHER_CI_DOM" hidden="1">"c3138"</definedName>
    <definedName name="IQ_PENSION_ACCUM_OTHER_CI_FOREIGN" hidden="1">"c3139"</definedName>
    <definedName name="IQ_PENSION_ACCUMULATED_OBLIGATION" hidden="1">"c3570"</definedName>
    <definedName name="IQ_PENSION_ACCUMULATED_OBLIGATION_DOMESTIC" hidden="1">"c3568"</definedName>
    <definedName name="IQ_PENSION_ACCUMULATED_OBLIGATION_FOREIGN" hidden="1">"c3569"</definedName>
    <definedName name="IQ_PENSION_ASSETS" hidden="1">"c3182"</definedName>
    <definedName name="IQ_PENSION_ASSETS_ACQ" hidden="1">"c3173"</definedName>
    <definedName name="IQ_PENSION_ASSETS_ACQ_DOM" hidden="1">"c3171"</definedName>
    <definedName name="IQ_PENSION_ASSETS_ACQ_FOREIGN" hidden="1">"c3172"</definedName>
    <definedName name="IQ_PENSION_ASSETS_ACTUAL_RETURN" hidden="1">"c3158"</definedName>
    <definedName name="IQ_PENSION_ASSETS_ACTUAL_RETURN_DOM" hidden="1">"c3156"</definedName>
    <definedName name="IQ_PENSION_ASSETS_ACTUAL_RETURN_FOREIGN" hidden="1">"c3157"</definedName>
    <definedName name="IQ_PENSION_ASSETS_BEG" hidden="1">"c3155"</definedName>
    <definedName name="IQ_PENSION_ASSETS_BEG_DOM" hidden="1">"c3153"</definedName>
    <definedName name="IQ_PENSION_ASSETS_BEG_FOREIGN" hidden="1">"c3154"</definedName>
    <definedName name="IQ_PENSION_ASSETS_BENEFITS_PAID" hidden="1">"c3167"</definedName>
    <definedName name="IQ_PENSION_ASSETS_BENEFITS_PAID_DOM" hidden="1">"c3165"</definedName>
    <definedName name="IQ_PENSION_ASSETS_BENEFITS_PAID_FOREIGN" hidden="1">"c3166"</definedName>
    <definedName name="IQ_PENSION_ASSETS_CURTAIL" hidden="1">"c3176"</definedName>
    <definedName name="IQ_PENSION_ASSETS_CURTAIL_DOM" hidden="1">"c3174"</definedName>
    <definedName name="IQ_PENSION_ASSETS_CURTAIL_FOREIGN" hidden="1">"c3175"</definedName>
    <definedName name="IQ_PENSION_ASSETS_DOM" hidden="1">"c3180"</definedName>
    <definedName name="IQ_PENSION_ASSETS_EMPLOYER_CONTRIBUTIONS" hidden="1">"c3161"</definedName>
    <definedName name="IQ_PENSION_ASSETS_EMPLOYER_CONTRIBUTIONS_DOM" hidden="1">"c3159"</definedName>
    <definedName name="IQ_PENSION_ASSETS_EMPLOYER_CONTRIBUTIONS_FOREIGN" hidden="1">"c3160"</definedName>
    <definedName name="IQ_PENSION_ASSETS_FOREIGN" hidden="1">"c3181"</definedName>
    <definedName name="IQ_PENSION_ASSETS_FX_ADJ" hidden="1">"c3170"</definedName>
    <definedName name="IQ_PENSION_ASSETS_FX_ADJ_DOM" hidden="1">"c3168"</definedName>
    <definedName name="IQ_PENSION_ASSETS_FX_ADJ_FOREIGN" hidden="1">"c3169"</definedName>
    <definedName name="IQ_PENSION_ASSETS_OTHER_PLAN_ADJ" hidden="1">"c3179"</definedName>
    <definedName name="IQ_PENSION_ASSETS_OTHER_PLAN_ADJ_DOM" hidden="1">"c3177"</definedName>
    <definedName name="IQ_PENSION_ASSETS_OTHER_PLAN_ADJ_FOREIGN" hidden="1">"c3178"</definedName>
    <definedName name="IQ_PENSION_ASSETS_PARTICIP_CONTRIBUTIONS" hidden="1">"c3164"</definedName>
    <definedName name="IQ_PENSION_ASSETS_PARTICIP_CONTRIBUTIONS_DOM" hidden="1">"c3162"</definedName>
    <definedName name="IQ_PENSION_ASSETS_PARTICIP_CONTRIBUTIONS_FOREIGN" hidden="1">"c3163"</definedName>
    <definedName name="IQ_PENSION_BENEFIT_INFO_DATE" hidden="1">"c3230"</definedName>
    <definedName name="IQ_PENSION_BENEFIT_INFO_DATE_DOM" hidden="1">"c3228"</definedName>
    <definedName name="IQ_PENSION_BENEFIT_INFO_DATE_FOREIGN" hidden="1">"c3229"</definedName>
    <definedName name="IQ_PENSION_BREAKDOWN_EQ" hidden="1">"c3101"</definedName>
    <definedName name="IQ_PENSION_BREAKDOWN_EQ_DOM" hidden="1">"c3099"</definedName>
    <definedName name="IQ_PENSION_BREAKDOWN_EQ_FOREIGN" hidden="1">"c3100"</definedName>
    <definedName name="IQ_PENSION_BREAKDOWN_FI" hidden="1">"c3104"</definedName>
    <definedName name="IQ_PENSION_BREAKDOWN_FI_DOM" hidden="1">"c3102"</definedName>
    <definedName name="IQ_PENSION_BREAKDOWN_FI_FOREIGN" hidden="1">"c3103"</definedName>
    <definedName name="IQ_PENSION_BREAKDOWN_OTHER" hidden="1">"c3110"</definedName>
    <definedName name="IQ_PENSION_BREAKDOWN_OTHER_DOM" hidden="1">"c3108"</definedName>
    <definedName name="IQ_PENSION_BREAKDOWN_OTHER_FOREIGN" hidden="1">"c3109"</definedName>
    <definedName name="IQ_PENSION_BREAKDOWN_PCT_EQ" hidden="1">"c3089"</definedName>
    <definedName name="IQ_PENSION_BREAKDOWN_PCT_EQ_DOM" hidden="1">"c3087"</definedName>
    <definedName name="IQ_PENSION_BREAKDOWN_PCT_EQ_FOREIGN" hidden="1">"c3088"</definedName>
    <definedName name="IQ_PENSION_BREAKDOWN_PCT_FI" hidden="1">"c3092"</definedName>
    <definedName name="IQ_PENSION_BREAKDOWN_PCT_FI_DOM" hidden="1">"c3090"</definedName>
    <definedName name="IQ_PENSION_BREAKDOWN_PCT_FI_FOREIGN" hidden="1">"c3091"</definedName>
    <definedName name="IQ_PENSION_BREAKDOWN_PCT_OTHER" hidden="1">"c3098"</definedName>
    <definedName name="IQ_PENSION_BREAKDOWN_PCT_OTHER_DOM" hidden="1">"c3096"</definedName>
    <definedName name="IQ_PENSION_BREAKDOWN_PCT_OTHER_FOREIGN" hidden="1">"c3097"</definedName>
    <definedName name="IQ_PENSION_BREAKDOWN_PCT_RE" hidden="1">"c3095"</definedName>
    <definedName name="IQ_PENSION_BREAKDOWN_PCT_RE_DOM" hidden="1">"c3093"</definedName>
    <definedName name="IQ_PENSION_BREAKDOWN_PCT_RE_FOREIGN" hidden="1">"c3094"</definedName>
    <definedName name="IQ_PENSION_BREAKDOWN_RE" hidden="1">"c3107"</definedName>
    <definedName name="IQ_PENSION_BREAKDOWN_RE_DOM" hidden="1">"c3105"</definedName>
    <definedName name="IQ_PENSION_BREAKDOWN_RE_FOREIGN" hidden="1">"c3106"</definedName>
    <definedName name="IQ_PENSION_CONTRIBUTION_TOTAL_COST" hidden="1">"c3559"</definedName>
    <definedName name="IQ_PENSION_DISC_RATE_MAX" hidden="1">"c3236"</definedName>
    <definedName name="IQ_PENSION_DISC_RATE_MAX_DOM" hidden="1">"c3234"</definedName>
    <definedName name="IQ_PENSION_DISC_RATE_MAX_FOREIGN" hidden="1">"c3235"</definedName>
    <definedName name="IQ_PENSION_DISC_RATE_MIN" hidden="1">"c3233"</definedName>
    <definedName name="IQ_PENSION_DISC_RATE_MIN_DOM" hidden="1">"c3231"</definedName>
    <definedName name="IQ_PENSION_DISC_RATE_MIN_FOREIGN" hidden="1">"c3232"</definedName>
    <definedName name="IQ_PENSION_DISCOUNT_RATE_DOMESTIC" hidden="1">"c3573"</definedName>
    <definedName name="IQ_PENSION_DISCOUNT_RATE_FOREIGN" hidden="1">"c3574"</definedName>
    <definedName name="IQ_PENSION_EST_BENEFIT_1YR" hidden="1">"c3113"</definedName>
    <definedName name="IQ_PENSION_EST_BENEFIT_1YR_DOM" hidden="1">"c3111"</definedName>
    <definedName name="IQ_PENSION_EST_BENEFIT_1YR_FOREIGN" hidden="1">"c3112"</definedName>
    <definedName name="IQ_PENSION_EST_BENEFIT_2YR" hidden="1">"c3116"</definedName>
    <definedName name="IQ_PENSION_EST_BENEFIT_2YR_DOM" hidden="1">"c3114"</definedName>
    <definedName name="IQ_PENSION_EST_BENEFIT_2YR_FOREIGN" hidden="1">"c3115"</definedName>
    <definedName name="IQ_PENSION_EST_BENEFIT_3YR" hidden="1">"c3119"</definedName>
    <definedName name="IQ_PENSION_EST_BENEFIT_3YR_DOM" hidden="1">"c3117"</definedName>
    <definedName name="IQ_PENSION_EST_BENEFIT_3YR_FOREIGN" hidden="1">"c3118"</definedName>
    <definedName name="IQ_PENSION_EST_BENEFIT_4YR" hidden="1">"c3122"</definedName>
    <definedName name="IQ_PENSION_EST_BENEFIT_4YR_DOM" hidden="1">"c3120"</definedName>
    <definedName name="IQ_PENSION_EST_BENEFIT_4YR_FOREIGN" hidden="1">"c3121"</definedName>
    <definedName name="IQ_PENSION_EST_BENEFIT_5YR" hidden="1">"c3125"</definedName>
    <definedName name="IQ_PENSION_EST_BENEFIT_5YR_DOM" hidden="1">"c3123"</definedName>
    <definedName name="IQ_PENSION_EST_BENEFIT_5YR_FOREIGN" hidden="1">"c3124"</definedName>
    <definedName name="IQ_PENSION_EST_BENEFIT_AFTER5" hidden="1">"c3128"</definedName>
    <definedName name="IQ_PENSION_EST_BENEFIT_AFTER5_DOM" hidden="1">"c3126"</definedName>
    <definedName name="IQ_PENSION_EST_BENEFIT_AFTER5_FOREIGN" hidden="1">"c3127"</definedName>
    <definedName name="IQ_PENSION_EST_CONTRIBUTIONS_NEXTYR" hidden="1">"c3218"</definedName>
    <definedName name="IQ_PENSION_EST_CONTRIBUTIONS_NEXTYR_DOM" hidden="1">"c3216"</definedName>
    <definedName name="IQ_PENSION_EST_CONTRIBUTIONS_NEXTYR_FOREIGN" hidden="1">"c3217"</definedName>
    <definedName name="IQ_PENSION_EXP_RATE_RETURN_MAX" hidden="1">"c3248"</definedName>
    <definedName name="IQ_PENSION_EXP_RATE_RETURN_MAX_DOM" hidden="1">"c3246"</definedName>
    <definedName name="IQ_PENSION_EXP_RATE_RETURN_MAX_FOREIGN" hidden="1">"c3247"</definedName>
    <definedName name="IQ_PENSION_EXP_RATE_RETURN_MIN" hidden="1">"c3245"</definedName>
    <definedName name="IQ_PENSION_EXP_RATE_RETURN_MIN_DOM" hidden="1">"c3243"</definedName>
    <definedName name="IQ_PENSION_EXP_RATE_RETURN_MIN_FOREIGN" hidden="1">"c3244"</definedName>
    <definedName name="IQ_PENSION_EXP_RETURN_DOMESTIC" hidden="1">"c3571"</definedName>
    <definedName name="IQ_PENSION_EXP_RETURN_FOREIGN" hidden="1">"c3572"</definedName>
    <definedName name="IQ_PENSION_INTAN_ASSETS" hidden="1">"c3137"</definedName>
    <definedName name="IQ_PENSION_INTAN_ASSETS_DOM" hidden="1">"c3135"</definedName>
    <definedName name="IQ_PENSION_INTAN_ASSETS_FOREIGN" hidden="1">"c3136"</definedName>
    <definedName name="IQ_PENSION_INTEREST_COST" hidden="1">"c3582"</definedName>
    <definedName name="IQ_PENSION_INTEREST_COST_DOM" hidden="1">"c3580"</definedName>
    <definedName name="IQ_PENSION_INTEREST_COST_FOREIGN" hidden="1">"c3581"</definedName>
    <definedName name="IQ_PENSION_NET_ASSET_RECOG" hidden="1">"c3152"</definedName>
    <definedName name="IQ_PENSION_NET_ASSET_RECOG_DOM" hidden="1">"c3150"</definedName>
    <definedName name="IQ_PENSION_NET_ASSET_RECOG_FOREIGN" hidden="1">"c3151"</definedName>
    <definedName name="IQ_PENSION_OBLIGATION_ACQ" hidden="1">"c3206"</definedName>
    <definedName name="IQ_PENSION_OBLIGATION_ACQ_DOM" hidden="1">"c3204"</definedName>
    <definedName name="IQ_PENSION_OBLIGATION_ACQ_FOREIGN" hidden="1">"c3205"</definedName>
    <definedName name="IQ_PENSION_OBLIGATION_ACTUARIAL_GAIN_LOSS" hidden="1">"c3197"</definedName>
    <definedName name="IQ_PENSION_OBLIGATION_ACTUARIAL_GAIN_LOSS_DOM" hidden="1">"c3195"</definedName>
    <definedName name="IQ_PENSION_OBLIGATION_ACTUARIAL_GAIN_LOSS_FOREIGN" hidden="1">"c3196"</definedName>
    <definedName name="IQ_PENSION_OBLIGATION_BEG" hidden="1">"c3185"</definedName>
    <definedName name="IQ_PENSION_OBLIGATION_BEG_DOM" hidden="1">"c3183"</definedName>
    <definedName name="IQ_PENSION_OBLIGATION_BEG_FOREIGN" hidden="1">"c3184"</definedName>
    <definedName name="IQ_PENSION_OBLIGATION_CURTAIL" hidden="1">"c3209"</definedName>
    <definedName name="IQ_PENSION_OBLIGATION_CURTAIL_DOM" hidden="1">"c3207"</definedName>
    <definedName name="IQ_PENSION_OBLIGATION_CURTAIL_FOREIGN" hidden="1">"c3208"</definedName>
    <definedName name="IQ_PENSION_OBLIGATION_EMPLOYEE_CONTRIBUTIONS" hidden="1">"c3194"</definedName>
    <definedName name="IQ_PENSION_OBLIGATION_EMPLOYEE_CONTRIBUTIONS_DOM" hidden="1">"c3192"</definedName>
    <definedName name="IQ_PENSION_OBLIGATION_EMPLOYEE_CONTRIBUTIONS_FOREIGN" hidden="1">"c3193"</definedName>
    <definedName name="IQ_PENSION_OBLIGATION_FX_ADJ" hidden="1">"c3203"</definedName>
    <definedName name="IQ_PENSION_OBLIGATION_FX_ADJ_DOM" hidden="1">"c3201"</definedName>
    <definedName name="IQ_PENSION_OBLIGATION_FX_ADJ_FOREIGN" hidden="1">"c3202"</definedName>
    <definedName name="IQ_PENSION_OBLIGATION_INTEREST_COST" hidden="1">"c3191"</definedName>
    <definedName name="IQ_PENSION_OBLIGATION_INTEREST_COST_DOM" hidden="1">"c3189"</definedName>
    <definedName name="IQ_PENSION_OBLIGATION_INTEREST_COST_FOREIGN" hidden="1">"c3190"</definedName>
    <definedName name="IQ_PENSION_OBLIGATION_OTHER_COST" hidden="1">"c3555"</definedName>
    <definedName name="IQ_PENSION_OBLIGATION_OTHER_COST_DOM" hidden="1">"c3553"</definedName>
    <definedName name="IQ_PENSION_OBLIGATION_OTHER_COST_FOREIGN" hidden="1">"c3554"</definedName>
    <definedName name="IQ_PENSION_OBLIGATION_OTHER_PLAN_ADJ" hidden="1">"c3212"</definedName>
    <definedName name="IQ_PENSION_OBLIGATION_OTHER_PLAN_ADJ_DOM" hidden="1">"c3210"</definedName>
    <definedName name="IQ_PENSION_OBLIGATION_OTHER_PLAN_ADJ_FOREIGN" hidden="1">"c3211"</definedName>
    <definedName name="IQ_PENSION_OBLIGATION_PAID" hidden="1">"c3200"</definedName>
    <definedName name="IQ_PENSION_OBLIGATION_PAID_DOM" hidden="1">"c3198"</definedName>
    <definedName name="IQ_PENSION_OBLIGATION_PAID_FOREIGN" hidden="1">"c3199"</definedName>
    <definedName name="IQ_PENSION_OBLIGATION_PROJECTED" hidden="1">"c3215"</definedName>
    <definedName name="IQ_PENSION_OBLIGATION_PROJECTED_DOM" hidden="1">"c3213"</definedName>
    <definedName name="IQ_PENSION_OBLIGATION_PROJECTED_FOREIGN" hidden="1">"c3214"</definedName>
    <definedName name="IQ_PENSION_OBLIGATION_ROA" hidden="1">"c3552"</definedName>
    <definedName name="IQ_PENSION_OBLIGATION_ROA_DOM" hidden="1">"c3550"</definedName>
    <definedName name="IQ_PENSION_OBLIGATION_ROA_FOREIGN" hidden="1">"c3551"</definedName>
    <definedName name="IQ_PENSION_OBLIGATION_SERVICE_COST" hidden="1">"c3188"</definedName>
    <definedName name="IQ_PENSION_OBLIGATION_SERVICE_COST_DOM" hidden="1">"c3186"</definedName>
    <definedName name="IQ_PENSION_OBLIGATION_SERVICE_COST_FOREIGN" hidden="1">"c3187"</definedName>
    <definedName name="IQ_PENSION_OBLIGATION_TOTAL_COST" hidden="1">"c3558"</definedName>
    <definedName name="IQ_PENSION_OBLIGATION_TOTAL_COST_DOM" hidden="1">"c3556"</definedName>
    <definedName name="IQ_PENSION_OBLIGATION_TOTAL_COST_FOREIGN" hidden="1">"c3557"</definedName>
    <definedName name="IQ_PENSION_OTHER" hidden="1">"c3143"</definedName>
    <definedName name="IQ_PENSION_OTHER_ADJ" hidden="1">"c3149"</definedName>
    <definedName name="IQ_PENSION_OTHER_ADJ_DOM" hidden="1">"c3147"</definedName>
    <definedName name="IQ_PENSION_OTHER_ADJ_FOREIGN" hidden="1">"c3148"</definedName>
    <definedName name="IQ_PENSION_OTHER_DOM" hidden="1">"c3141"</definedName>
    <definedName name="IQ_PENSION_OTHER_FOREIGN" hidden="1">"c3142"</definedName>
    <definedName name="IQ_PENSION_PBO_ASSUMED_RATE_RET_MAX" hidden="1">"c3254"</definedName>
    <definedName name="IQ_PENSION_PBO_ASSUMED_RATE_RET_MAX_DOM" hidden="1">"c3252"</definedName>
    <definedName name="IQ_PENSION_PBO_ASSUMED_RATE_RET_MAX_FOREIGN" hidden="1">"c3253"</definedName>
    <definedName name="IQ_PENSION_PBO_ASSUMED_RATE_RET_MIN" hidden="1">"c3251"</definedName>
    <definedName name="IQ_PENSION_PBO_ASSUMED_RATE_RET_MIN_DOM" hidden="1">"c3249"</definedName>
    <definedName name="IQ_PENSION_PBO_ASSUMED_RATE_RET_MIN_FOREIGN" hidden="1">"c3250"</definedName>
    <definedName name="IQ_PENSION_PBO_RATE_COMP_INCREASE_MAX" hidden="1">"c3260"</definedName>
    <definedName name="IQ_PENSION_PBO_RATE_COMP_INCREASE_MAX_DOM" hidden="1">"c3258"</definedName>
    <definedName name="IQ_PENSION_PBO_RATE_COMP_INCREASE_MAX_FOREIGN" hidden="1">"c3259"</definedName>
    <definedName name="IQ_PENSION_PBO_RATE_COMP_INCREASE_MIN" hidden="1">"c3257"</definedName>
    <definedName name="IQ_PENSION_PBO_RATE_COMP_INCREASE_MIN_DOM" hidden="1">"c3255"</definedName>
    <definedName name="IQ_PENSION_PBO_RATE_COMP_INCREASE_MIN_FOREIGN" hidden="1">"c3256"</definedName>
    <definedName name="IQ_PENSION_PREPAID_COST" hidden="1">"c3131"</definedName>
    <definedName name="IQ_PENSION_PREPAID_COST_DOM" hidden="1">"c3129"</definedName>
    <definedName name="IQ_PENSION_PREPAID_COST_FOREIGN" hidden="1">"c3130"</definedName>
    <definedName name="IQ_PENSION_PROJECTED_OBLIGATION" hidden="1">"c3566"</definedName>
    <definedName name="IQ_PENSION_PROJECTED_OBLIGATION_DOMESTIC" hidden="1">"c3564"</definedName>
    <definedName name="IQ_PENSION_PROJECTED_OBLIGATION_FOREIGN" hidden="1">"c3565"</definedName>
    <definedName name="IQ_PENSION_QUART_ADDL_CONTRIBUTIONS_EXP" hidden="1">"c3224"</definedName>
    <definedName name="IQ_PENSION_QUART_ADDL_CONTRIBUTIONS_EXP_DOM" hidden="1">"c3222"</definedName>
    <definedName name="IQ_PENSION_QUART_ADDL_CONTRIBUTIONS_EXP_FOREIGN" hidden="1">"c3223"</definedName>
    <definedName name="IQ_PENSION_QUART_EMPLOYER_CONTRIBUTIONS" hidden="1">"c3221"</definedName>
    <definedName name="IQ_PENSION_QUART_EMPLOYER_CONTRIBUTIONS_DOM" hidden="1">"c3219"</definedName>
    <definedName name="IQ_PENSION_QUART_EMPLOYER_CONTRIBUTIONS_FOREIGN" hidden="1">"c3220"</definedName>
    <definedName name="IQ_PENSION_RATE_COMP_GROWTH_DOMESTIC" hidden="1">"c3575"</definedName>
    <definedName name="IQ_PENSION_RATE_COMP_GROWTH_FOREIGN" hidden="1">"c3576"</definedName>
    <definedName name="IQ_PENSION_RATE_COMP_INCREASE_MAX" hidden="1">"c3242"</definedName>
    <definedName name="IQ_PENSION_RATE_COMP_INCREASE_MAX_DOM" hidden="1">"c3240"</definedName>
    <definedName name="IQ_PENSION_RATE_COMP_INCREASE_MAX_FOREIGN" hidden="1">"c3241"</definedName>
    <definedName name="IQ_PENSION_RATE_COMP_INCREASE_MIN" hidden="1">"c3239"</definedName>
    <definedName name="IQ_PENSION_RATE_COMP_INCREASE_MIN_DOM" hidden="1">"c3237"</definedName>
    <definedName name="IQ_PENSION_RATE_COMP_INCREASE_MIN_FOREIGN" hidden="1">"c3238"</definedName>
    <definedName name="IQ_PENSION_SERVICE_COST" hidden="1">"c3579"</definedName>
    <definedName name="IQ_PENSION_SERVICE_COST_DOM" hidden="1">"c3577"</definedName>
    <definedName name="IQ_PENSION_SERVICE_COST_FOREIGN" hidden="1">"c3578"</definedName>
    <definedName name="IQ_PENSION_TOTAL_ASSETS" hidden="1">"c3563"</definedName>
    <definedName name="IQ_PENSION_TOTAL_ASSETS_DOMESTIC" hidden="1">"c3561"</definedName>
    <definedName name="IQ_PENSION_TOTAL_ASSETS_FOREIGN" hidden="1">"c3562"</definedName>
    <definedName name="IQ_PENSION_TOTAL_EXP" hidden="1">"c3560"</definedName>
    <definedName name="IQ_PENSION_UNFUNDED_ADDL_MIN_LIAB" hidden="1">"c3227"</definedName>
    <definedName name="IQ_PENSION_UNFUNDED_ADDL_MIN_LIAB_DOM" hidden="1">"c3225"</definedName>
    <definedName name="IQ_PENSION_UNFUNDED_ADDL_MIN_LIAB_FOREIGN" hidden="1">"c3226"</definedName>
    <definedName name="IQ_PENSION_UNRECOG_PRIOR" hidden="1">"c3146"</definedName>
    <definedName name="IQ_PENSION_UNRECOG_PRIOR_DOM" hidden="1">"c3144"</definedName>
    <definedName name="IQ_PENSION_UNRECOG_PRIOR_FOREIGN" hidden="1">"c3145"</definedName>
    <definedName name="IQ_PENSION_UV_LIAB" hidden="1">"c3567"</definedName>
    <definedName name="IQ_PERCENT_CHANGE_EST_FFO_12MONTHS" hidden="1">"c1828"</definedName>
    <definedName name="IQ_PERCENT_CHANGE_EST_FFO_12MONTHS_CIQ" hidden="1">"c3769"</definedName>
    <definedName name="IQ_PERCENT_CHANGE_EST_FFO_12MONTHS_REUT" hidden="1">"c3938"</definedName>
    <definedName name="IQ_PERCENT_CHANGE_EST_FFO_12MONTHS_THOM" hidden="1">"c5248"</definedName>
    <definedName name="IQ_PERCENT_CHANGE_EST_FFO_18MONTHS" hidden="1">"c1829"</definedName>
    <definedName name="IQ_PERCENT_CHANGE_EST_FFO_18MONTHS_CIQ" hidden="1">"c3770"</definedName>
    <definedName name="IQ_PERCENT_CHANGE_EST_FFO_18MONTHS_REUT" hidden="1">"c3939"</definedName>
    <definedName name="IQ_PERCENT_CHANGE_EST_FFO_18MONTHS_THOM" hidden="1">"c5249"</definedName>
    <definedName name="IQ_PERCENT_CHANGE_EST_FFO_3MONTHS" hidden="1">"c1825"</definedName>
    <definedName name="IQ_PERCENT_CHANGE_EST_FFO_3MONTHS_CIQ" hidden="1">"c3766"</definedName>
    <definedName name="IQ_PERCENT_CHANGE_EST_FFO_3MONTHS_REUT" hidden="1">"c3935"</definedName>
    <definedName name="IQ_PERCENT_CHANGE_EST_FFO_3MONTHS_THOM" hidden="1">"c5245"</definedName>
    <definedName name="IQ_PERCENT_CHANGE_EST_FFO_6MONTHS" hidden="1">"c1826"</definedName>
    <definedName name="IQ_PERCENT_CHANGE_EST_FFO_6MONTHS_CIQ" hidden="1">"c3767"</definedName>
    <definedName name="IQ_PERCENT_CHANGE_EST_FFO_6MONTHS_REUT" hidden="1">"c3936"</definedName>
    <definedName name="IQ_PERCENT_CHANGE_EST_FFO_6MONTHS_THOM" hidden="1">"c5246"</definedName>
    <definedName name="IQ_PERCENT_CHANGE_EST_FFO_9MONTHS" hidden="1">"c1827"</definedName>
    <definedName name="IQ_PERCENT_CHANGE_EST_FFO_9MONTHS_CIQ" hidden="1">"c3768"</definedName>
    <definedName name="IQ_PERCENT_CHANGE_EST_FFO_9MONTHS_REUT" hidden="1">"c3937"</definedName>
    <definedName name="IQ_PERCENT_CHANGE_EST_FFO_9MONTHS_THOM" hidden="1">"c5247"</definedName>
    <definedName name="IQ_PERCENT_CHANGE_EST_FFO_DAY" hidden="1">"c1822"</definedName>
    <definedName name="IQ_PERCENT_CHANGE_EST_FFO_DAY_CIQ" hidden="1">"c3764"</definedName>
    <definedName name="IQ_PERCENT_CHANGE_EST_FFO_DAY_REUT" hidden="1">"c3933"</definedName>
    <definedName name="IQ_PERCENT_CHANGE_EST_FFO_DAY_THOM" hidden="1">"c5243"</definedName>
    <definedName name="IQ_PERCENT_CHANGE_EST_FFO_MONTH" hidden="1">"c1824"</definedName>
    <definedName name="IQ_PERCENT_CHANGE_EST_FFO_MONTH_CIQ" hidden="1">"c3765"</definedName>
    <definedName name="IQ_PERCENT_CHANGE_EST_FFO_MONTH_REUT" hidden="1">"c3934"</definedName>
    <definedName name="IQ_PERCENT_CHANGE_EST_FFO_MONTH_THOM" hidden="1">"c5244"</definedName>
    <definedName name="IQ_PERCENT_CHANGE_EST_FFO_WEEK" hidden="1">"c1823"</definedName>
    <definedName name="IQ_PERCENT_CHANGE_EST_FFO_WEEK_CIQ" hidden="1">"c3795"</definedName>
    <definedName name="IQ_PERCENT_CHANGE_EST_FFO_WEEK_REUT" hidden="1">"c3964"</definedName>
    <definedName name="IQ_PERCENT_CHANGE_EST_FFO_WEEK_THOM" hidden="1">"c5274"</definedName>
    <definedName name="IQ_PERCENT_INSURED_FDIC" hidden="1">"c6374"</definedName>
    <definedName name="IQ_PERIODDATE" hidden="1">"c1034"</definedName>
    <definedName name="IQ_PERIODDATE_BS" hidden="1">"c1032"</definedName>
    <definedName name="IQ_PERIODDATE_CF" hidden="1">"c1033"</definedName>
    <definedName name="IQ_PERIODDATE_FDIC" hidden="1">"c13646"</definedName>
    <definedName name="IQ_PERIODDATE_IS" hidden="1">"c1034"</definedName>
    <definedName name="IQ_PERIODLENGTH_CF" hidden="1">"c1502"</definedName>
    <definedName name="IQ_PERIODLENGTH_IS" hidden="1">"c1503"</definedName>
    <definedName name="IQ_PERTYPE" hidden="1">"c1611"</definedName>
    <definedName name="IQ_PLEDGED_SECURITIES_FDIC" hidden="1">"c6401"</definedName>
    <definedName name="IQ_PLL" hidden="1">"c2114"</definedName>
    <definedName name="IQ_POLICY_BENEFITS" hidden="1">"c1036"</definedName>
    <definedName name="IQ_POLICY_COST" hidden="1">"c1037"</definedName>
    <definedName name="IQ_POLICY_LIAB" hidden="1">"c1612"</definedName>
    <definedName name="IQ_POLICY_LOANS" hidden="1">"c1038"</definedName>
    <definedName name="IQ_POST_RETIRE_EXP" hidden="1">"c1039"</definedName>
    <definedName name="IQ_POSTPAID_CHURN" hidden="1">"c2121"</definedName>
    <definedName name="IQ_POSTPAID_SUBS" hidden="1">"c2118"</definedName>
    <definedName name="IQ_PRE_OPEN_COST" hidden="1">"c1040"</definedName>
    <definedName name="IQ_PRE_TAX_INCOME_FDIC" hidden="1">"c6581"</definedName>
    <definedName name="IQ_PREF_CONVERT" hidden="1">"c1041"</definedName>
    <definedName name="IQ_PREF_DIV_CF" hidden="1">"c1042"</definedName>
    <definedName name="IQ_PREF_DIV_OTHER" hidden="1">"c1043"</definedName>
    <definedName name="IQ_PREF_DIVID" hidden="1">"c1461"</definedName>
    <definedName name="IQ_PREF_EQUITY" hidden="1">"c1044"</definedName>
    <definedName name="IQ_PREF_ISSUED" hidden="1">"c1045"</definedName>
    <definedName name="IQ_PREF_ISSUED_BNK" hidden="1">"c1046"</definedName>
    <definedName name="IQ_PREF_ISSUED_BR" hidden="1">"c1047"</definedName>
    <definedName name="IQ_PREF_ISSUED_FIN" hidden="1">"c1048"</definedName>
    <definedName name="IQ_PREF_ISSUED_INS" hidden="1">"c1049"</definedName>
    <definedName name="IQ_PREF_ISSUED_REIT" hidden="1">"c1050"</definedName>
    <definedName name="IQ_PREF_ISSUED_UTI" hidden="1">"c1051"</definedName>
    <definedName name="IQ_PREF_NON_REDEEM" hidden="1">"c1052"</definedName>
    <definedName name="IQ_PREF_OTHER" hidden="1">"c1053"</definedName>
    <definedName name="IQ_PREF_OTHER_BNK" hidden="1">"c1054"</definedName>
    <definedName name="IQ_PREF_OTHER_BR" hidden="1">"c1055"</definedName>
    <definedName name="IQ_PREF_OTHER_FIN" hidden="1">"c1056"</definedName>
    <definedName name="IQ_PREF_OTHER_INS" hidden="1">"c1057"</definedName>
    <definedName name="IQ_PREF_OTHER_REIT" hidden="1">"c1058"</definedName>
    <definedName name="IQ_PREF_REDEEM" hidden="1">"c1059"</definedName>
    <definedName name="IQ_PREF_REP" hidden="1">"c1060"</definedName>
    <definedName name="IQ_PREF_REP_BNK" hidden="1">"c1061"</definedName>
    <definedName name="IQ_PREF_REP_BR" hidden="1">"c1062"</definedName>
    <definedName name="IQ_PREF_REP_FIN" hidden="1">"c1063"</definedName>
    <definedName name="IQ_PREF_REP_INS" hidden="1">"c1064"</definedName>
    <definedName name="IQ_PREF_REP_REIT" hidden="1">"c1065"</definedName>
    <definedName name="IQ_PREF_REP_UTI" hidden="1">"c1066"</definedName>
    <definedName name="IQ_PREF_STOCK" hidden="1">"c1052"</definedName>
    <definedName name="IQ_PREF_TOT" hidden="1">"c1044"</definedName>
    <definedName name="IQ_PREFERRED_FDIC" hidden="1">"c6349"</definedName>
    <definedName name="IQ_PREMISES_EQUIPMENT_FDIC" hidden="1">"c6577"</definedName>
    <definedName name="IQ_PREMIUMS_ANNUITY_REV" hidden="1">"c1067"</definedName>
    <definedName name="IQ_PREPAID_CHURN" hidden="1">"c2120"</definedName>
    <definedName name="IQ_PREPAID_EXP" hidden="1">"c1068"</definedName>
    <definedName name="IQ_PREPAID_EXPEN" hidden="1">"c1068"</definedName>
    <definedName name="IQ_PREPAID_SUBS" hidden="1">"c2117"</definedName>
    <definedName name="IQ_PRETAX_INC_10K" hidden="1">"IQ_PRETAX_INC_10K"</definedName>
    <definedName name="IQ_PRETAX_INC_10Q" hidden="1">"IQ_PRETAX_INC_10Q"</definedName>
    <definedName name="IQ_PRETAX_INC_10Q1" hidden="1">"IQ_PRETAX_INC_10Q1"</definedName>
    <definedName name="IQ_PRETAX_RETURN_ASSETS_FDIC" hidden="1">"c6731"</definedName>
    <definedName name="IQ_PRICE_OVER_BVPS" hidden="1">"c1026"</definedName>
    <definedName name="IQ_PRICE_OVER_EPS_EST" hidden="1">"c174"</definedName>
    <definedName name="IQ_PRICE_OVER_EPS_EST_1" hidden="1">"c175"</definedName>
    <definedName name="IQ_PRICE_OVER_LTM_EPS" hidden="1">"c1029"</definedName>
    <definedName name="IQ_PRICE_TARGET" hidden="1">"c82"</definedName>
    <definedName name="IQ_PRICEDATE" hidden="1">"c1069"</definedName>
    <definedName name="IQ_PRICEDATETIME" hidden="1">"IQ_PRICEDATETIME"</definedName>
    <definedName name="IQ_PRICING_DATE" hidden="1">"c1613"</definedName>
    <definedName name="IQ_PRIMARY_EPS_TYPE_THOM" hidden="1">"c5297"</definedName>
    <definedName name="IQ_PRIMARY_INDUSTRY" hidden="1">"c1070"</definedName>
    <definedName name="IQ_PRIVATE_CONST_TOTAL_APR_FC_UNUSED_UNUSED_UNUSED" hidden="1">"c8559"</definedName>
    <definedName name="IQ_PRIVATE_CONST_TOTAL_APR_UNUSED_UNUSED_UNUSED" hidden="1">"c7679"</definedName>
    <definedName name="IQ_PRIVATE_CONST_TOTAL_FC_UNUSED_UNUSED_UNUSED" hidden="1">"c7899"</definedName>
    <definedName name="IQ_PRIVATE_CONST_TOTAL_POP_FC_UNUSED_UNUSED_UNUSED" hidden="1">"c8119"</definedName>
    <definedName name="IQ_PRIVATE_CONST_TOTAL_POP_UNUSED_UNUSED_UNUSED" hidden="1">"c7239"</definedName>
    <definedName name="IQ_PRIVATE_CONST_TOTAL_UNUSED_UNUSED_UNUSED" hidden="1">"c7019"</definedName>
    <definedName name="IQ_PRIVATE_CONST_TOTAL_YOY_FC_UNUSED_UNUSED_UNUSED" hidden="1">"c8339"</definedName>
    <definedName name="IQ_PRIVATE_CONST_TOTAL_YOY_UNUSED_UNUSED_UNUSED" hidden="1">"c7459"</definedName>
    <definedName name="IQ_PRIVATE_RES_CONST_REAL_APR_FC_UNUSED_UNUSED_UNUSED" hidden="1">"c8535"</definedName>
    <definedName name="IQ_PRIVATE_RES_CONST_REAL_APR_UNUSED_UNUSED_UNUSED" hidden="1">"c7655"</definedName>
    <definedName name="IQ_PRIVATE_RES_CONST_REAL_FC_UNUSED_UNUSED_UNUSED" hidden="1">"c7875"</definedName>
    <definedName name="IQ_PRIVATE_RES_CONST_REAL_POP_FC_UNUSED_UNUSED_UNUSED" hidden="1">"c8095"</definedName>
    <definedName name="IQ_PRIVATE_RES_CONST_REAL_POP_UNUSED_UNUSED_UNUSED" hidden="1">"c7215"</definedName>
    <definedName name="IQ_PRIVATE_RES_CONST_REAL_UNUSED_UNUSED_UNUSED" hidden="1">"c6995"</definedName>
    <definedName name="IQ_PRIVATE_RES_CONST_REAL_YOY_FC_UNUSED_UNUSED_UNUSED" hidden="1">"c8315"</definedName>
    <definedName name="IQ_PRIVATE_RES_CONST_REAL_YOY_UNUSED_UNUSED_UNUSED" hidden="1">"c7435"</definedName>
    <definedName name="IQ_PRIVATELY_ISSUED_MORTGAGE_BACKED_SECURITIES_FDIC" hidden="1">"c6407"</definedName>
    <definedName name="IQ_PRIVATELY_ISSUED_MORTGAGE_PASS_THROUGHS_FDIC" hidden="1">"c6405"</definedName>
    <definedName name="IQ_PRO_FORMA_BASIC_EPS" hidden="1">"c1614"</definedName>
    <definedName name="IQ_PRO_FORMA_DILUT_EPS" hidden="1">"c1615"</definedName>
    <definedName name="IQ_PRO_FORMA_NET_INC" hidden="1">"c795"</definedName>
    <definedName name="IQ_PROFESSIONAL" hidden="1">"c1071"</definedName>
    <definedName name="IQ_PROFESSIONAL_TITLE" hidden="1">"c1072"</definedName>
    <definedName name="IQ_PROJECTED_PENSION_OBLIGATION" hidden="1">"c1292"</definedName>
    <definedName name="IQ_PROJECTED_PENSION_OBLIGATION_DOMESTIC" hidden="1">"c2656"</definedName>
    <definedName name="IQ_PROJECTED_PENSION_OBLIGATION_FOREIGN" hidden="1">"c2664"</definedName>
    <definedName name="IQ_PROPERTY_EXP" hidden="1">"c1073"</definedName>
    <definedName name="IQ_PROPERTY_GROSS" hidden="1">"c518"</definedName>
    <definedName name="IQ_PROPERTY_MGMT_FEE" hidden="1">"c1074"</definedName>
    <definedName name="IQ_PROPERTY_NET" hidden="1">"c829"</definedName>
    <definedName name="IQ_PROV_BAD_DEBTS" hidden="1">"c1075"</definedName>
    <definedName name="IQ_PROV_BAD_DEBTS_CF" hidden="1">"c1076"</definedName>
    <definedName name="IQ_PROVISION_10YR_ANN_GROWTH" hidden="1">"c1077"</definedName>
    <definedName name="IQ_PROVISION_1YR_ANN_GROWTH" hidden="1">"c1078"</definedName>
    <definedName name="IQ_PROVISION_2YR_ANN_GROWTH" hidden="1">"c1079"</definedName>
    <definedName name="IQ_PROVISION_3YR_ANN_GROWTH" hidden="1">"c1080"</definedName>
    <definedName name="IQ_PROVISION_5YR_ANN_GROWTH" hidden="1">"c1081"</definedName>
    <definedName name="IQ_PROVISION_7YR_ANN_GROWTH" hidden="1">"c1082"</definedName>
    <definedName name="IQ_PROVISION_CHARGE_OFFS" hidden="1">"c1083"</definedName>
    <definedName name="IQ_PTBV" hidden="1">"c1084"</definedName>
    <definedName name="IQ_PTBV_AVG" hidden="1">"c1085"</definedName>
    <definedName name="IQ_PURCHASE_FOREIGN_CURRENCIES_FDIC" hidden="1">"c6513"</definedName>
    <definedName name="IQ_PURCHASED_OPTION_CONTRACTS_FDIC" hidden="1">"c6510"</definedName>
    <definedName name="IQ_PURCHASED_OPTION_CONTRACTS_FX_RISK_FDIC" hidden="1">"c6515"</definedName>
    <definedName name="IQ_PURCHASED_OPTION_CONTRACTS_NON_FX_IR_FDIC" hidden="1">"c6520"</definedName>
    <definedName name="IQ_PURCHASES_EQUIP_NONRES_SAAR_APR_FC_UNUSED_UNUSED_UNUSED" hidden="1">"c8491"</definedName>
    <definedName name="IQ_PURCHASES_EQUIP_NONRES_SAAR_APR_UNUSED_UNUSED_UNUSED" hidden="1">"c7611"</definedName>
    <definedName name="IQ_PURCHASES_EQUIP_NONRES_SAAR_FC_UNUSED_UNUSED_UNUSED" hidden="1">"c7831"</definedName>
    <definedName name="IQ_PURCHASES_EQUIP_NONRES_SAAR_POP_FC_UNUSED_UNUSED_UNUSED" hidden="1">"c8051"</definedName>
    <definedName name="IQ_PURCHASES_EQUIP_NONRES_SAAR_POP_UNUSED_UNUSED_UNUSED" hidden="1">"c7171"</definedName>
    <definedName name="IQ_PURCHASES_EQUIP_NONRES_SAAR_UNUSED_UNUSED_UNUSED" hidden="1">"c6951"</definedName>
    <definedName name="IQ_PURCHASES_EQUIP_NONRES_SAAR_YOY_FC_UNUSED_UNUSED_UNUSED" hidden="1">"c8271"</definedName>
    <definedName name="IQ_PURCHASES_EQUIP_NONRES_SAAR_YOY_UNUSED_UNUSED_UNUSED" hidden="1">"c7391"</definedName>
    <definedName name="IQ_QTD" hidden="1">750000</definedName>
    <definedName name="IQ_QUICK_RATIO" hidden="1">"c1086"</definedName>
    <definedName name="IQ_RATE_COMP_GROWTH_DOMESTIC" hidden="1">"c1087"</definedName>
    <definedName name="IQ_RATE_COMP_GROWTH_FOREIGN" hidden="1">"c1088"</definedName>
    <definedName name="IQ_RAW_INV" hidden="1">"c1089"</definedName>
    <definedName name="IQ_RC" hidden="1">"c2497"</definedName>
    <definedName name="IQ_RC_PCT" hidden="1">"c2498"</definedName>
    <definedName name="IQ_RD_EXP" hidden="1">"c1090"</definedName>
    <definedName name="IQ_RD_EXP_FN" hidden="1">"c1091"</definedName>
    <definedName name="IQ_RE" hidden="1">"c1092"</definedName>
    <definedName name="IQ_RE_FORECLOSURE_FDIC" hidden="1">"c6332"</definedName>
    <definedName name="IQ_RE_INVEST_FDIC" hidden="1">"c6331"</definedName>
    <definedName name="IQ_RE_LOANS_DOMESTIC_CHARGE_OFFS_FDIC" hidden="1">"c6589"</definedName>
    <definedName name="IQ_RE_LOANS_DOMESTIC_FDIC" hidden="1">"c6309"</definedName>
    <definedName name="IQ_RE_LOANS_DOMESTIC_NET_CHARGE_OFFS_FDIC" hidden="1">"c6627"</definedName>
    <definedName name="IQ_RE_LOANS_DOMESTIC_RECOVERIES_FDIC" hidden="1">"c6608"</definedName>
    <definedName name="IQ_RE_LOANS_FDIC" hidden="1">"c6308"</definedName>
    <definedName name="IQ_RE_LOANS_FOREIGN_CHARGE_OFFS_FDIC" hidden="1">"c6595"</definedName>
    <definedName name="IQ_RE_LOANS_FOREIGN_NET_CHARGE_OFFS_FDIC" hidden="1">"c6633"</definedName>
    <definedName name="IQ_RE_LOANS_FOREIGN_RECOVERIES_FDIC" hidden="1">"c6614"</definedName>
    <definedName name="IQ_REAL_ESTATE" hidden="1">"c1093"</definedName>
    <definedName name="IQ_REAL_ESTATE_ASSETS" hidden="1">"c1094"</definedName>
    <definedName name="IQ_RECOVERIES_1_4_FAMILY_LOANS_FDIC" hidden="1">"c6707"</definedName>
    <definedName name="IQ_RECOVERIES_AUTO_LOANS_FDIC" hidden="1">"c6701"</definedName>
    <definedName name="IQ_RECOVERIES_CL_LOANS_FDIC" hidden="1">"c6702"</definedName>
    <definedName name="IQ_RECOVERIES_CREDIT_CARDS_RECEIVABLES_FDIC" hidden="1">"c6704"</definedName>
    <definedName name="IQ_RECOVERIES_HOME_EQUITY_LINES_FDIC" hidden="1">"c6705"</definedName>
    <definedName name="IQ_RECOVERIES_OTHER_CONSUMER_LOANS_FDIC" hidden="1">"c6703"</definedName>
    <definedName name="IQ_RECOVERIES_OTHER_LOANS_FDIC" hidden="1">"c6706"</definedName>
    <definedName name="IQ_REDEEM_PREF_STOCK" hidden="1">"c1059"</definedName>
    <definedName name="IQ_REG_ASSETS" hidden="1">"c1095"</definedName>
    <definedName name="IQ_REINSUR_PAY" hidden="1">"c1096"</definedName>
    <definedName name="IQ_REINSUR_PAY_CF" hidden="1">"c1097"</definedName>
    <definedName name="IQ_REINSUR_RECOVER" hidden="1">"c1098"</definedName>
    <definedName name="IQ_REINSUR_RECOVER_CF" hidden="1">"c1099"</definedName>
    <definedName name="IQ_REINSURANCE" hidden="1">"c1100"</definedName>
    <definedName name="IQ_RELATED_PLANS_FDIC" hidden="1">"c6320"</definedName>
    <definedName name="IQ_RENTAL_REV" hidden="1">"c1101"</definedName>
    <definedName name="IQ_RES_CONST_REAL_APR_FC_UNUSED_UNUSED_UNUSED" hidden="1">"c8536"</definedName>
    <definedName name="IQ_RES_CONST_REAL_APR_UNUSED_UNUSED_UNUSED" hidden="1">"c7656"</definedName>
    <definedName name="IQ_RES_CONST_REAL_FC_UNUSED_UNUSED_UNUSED" hidden="1">"c7876"</definedName>
    <definedName name="IQ_RES_CONST_REAL_POP_FC_UNUSED_UNUSED_UNUSED" hidden="1">"c8096"</definedName>
    <definedName name="IQ_RES_CONST_REAL_POP_UNUSED_UNUSED_UNUSED" hidden="1">"c7216"</definedName>
    <definedName name="IQ_RES_CONST_REAL_SAAR_APR_FC_UNUSED_UNUSED_UNUSED" hidden="1">"c8537"</definedName>
    <definedName name="IQ_RES_CONST_REAL_SAAR_APR_UNUSED_UNUSED_UNUSED" hidden="1">"c7657"</definedName>
    <definedName name="IQ_RES_CONST_REAL_SAAR_FC_UNUSED_UNUSED_UNUSED" hidden="1">"c7877"</definedName>
    <definedName name="IQ_RES_CONST_REAL_SAAR_POP_FC_UNUSED_UNUSED_UNUSED" hidden="1">"c8097"</definedName>
    <definedName name="IQ_RES_CONST_REAL_SAAR_POP_UNUSED_UNUSED_UNUSED" hidden="1">"c7217"</definedName>
    <definedName name="IQ_RES_CONST_REAL_SAAR_UNUSED_UNUSED_UNUSED" hidden="1">"c6997"</definedName>
    <definedName name="IQ_RES_CONST_REAL_SAAR_YOY_FC_UNUSED_UNUSED_UNUSED" hidden="1">"c8317"</definedName>
    <definedName name="IQ_RES_CONST_REAL_SAAR_YOY_UNUSED_UNUSED_UNUSED" hidden="1">"c7437"</definedName>
    <definedName name="IQ_RES_CONST_REAL_UNUSED_UNUSED_UNUSED" hidden="1">"c6996"</definedName>
    <definedName name="IQ_RES_CONST_REAL_YOY_FC_UNUSED_UNUSED_UNUSED" hidden="1">"c8316"</definedName>
    <definedName name="IQ_RES_CONST_REAL_YOY_UNUSED_UNUSED_UNUSED" hidden="1">"c7436"</definedName>
    <definedName name="IQ_RES_CONST_SAAR_APR_FC_UNUSED_UNUSED_UNUSED" hidden="1">"c8540"</definedName>
    <definedName name="IQ_RES_CONST_SAAR_APR_UNUSED_UNUSED_UNUSED" hidden="1">"c7660"</definedName>
    <definedName name="IQ_RES_CONST_SAAR_FC_UNUSED_UNUSED_UNUSED" hidden="1">"c7880"</definedName>
    <definedName name="IQ_RES_CONST_SAAR_POP_FC_UNUSED_UNUSED_UNUSED" hidden="1">"c8100"</definedName>
    <definedName name="IQ_RES_CONST_SAAR_POP_UNUSED_UNUSED_UNUSED" hidden="1">"c7220"</definedName>
    <definedName name="IQ_RES_CONST_SAAR_UNUSED_UNUSED_UNUSED" hidden="1">"c7000"</definedName>
    <definedName name="IQ_RES_CONST_SAAR_YOY_FC_UNUSED_UNUSED_UNUSED" hidden="1">"c8320"</definedName>
    <definedName name="IQ_RES_CONST_SAAR_YOY_UNUSED_UNUSED_UNUSED" hidden="1">"c7440"</definedName>
    <definedName name="IQ_RESEARCH_DEV" hidden="1">"c1090"</definedName>
    <definedName name="IQ_RESIDENTIAL_LOANS" hidden="1">"c1102"</definedName>
    <definedName name="IQ_RESTATEMENT_BS" hidden="1">"c1643"</definedName>
    <definedName name="IQ_RESTATEMENT_CF" hidden="1">"c1644"</definedName>
    <definedName name="IQ_RESTATEMENT_IS" hidden="1">"c1642"</definedName>
    <definedName name="IQ_RESTATEMENTS_NET_FDIC" hidden="1">"c6500"</definedName>
    <definedName name="IQ_RESTR_STOCK_COMP" hidden="1">"c3506"</definedName>
    <definedName name="IQ_RESTR_STOCK_COMP_PRETAX" hidden="1">"c3504"</definedName>
    <definedName name="IQ_RESTR_STOCK_COMP_TAX" hidden="1">"c3505"</definedName>
    <definedName name="IQ_RESTRICTED_CASH" hidden="1">"c1103"</definedName>
    <definedName name="IQ_RESTRUCTURE" hidden="1">"c1104"</definedName>
    <definedName name="IQ_RESTRUCTURE_BNK" hidden="1">"c1105"</definedName>
    <definedName name="IQ_RESTRUCTURE_BR" hidden="1">"c1106"</definedName>
    <definedName name="IQ_RESTRUCTURE_CF" hidden="1">"c1107"</definedName>
    <definedName name="IQ_RESTRUCTURE_FIN" hidden="1">"c1108"</definedName>
    <definedName name="IQ_RESTRUCTURE_INS" hidden="1">"c1109"</definedName>
    <definedName name="IQ_RESTRUCTURE_REIT" hidden="1">"c1110"</definedName>
    <definedName name="IQ_RESTRUCTURE_UTI" hidden="1">"c1111"</definedName>
    <definedName name="IQ_RESTRUCTURED_LOANS" hidden="1">"c1112"</definedName>
    <definedName name="IQ_RESTRUCTURED_LOANS_1_4_RESIDENTIAL_FDIC" hidden="1">"c6378"</definedName>
    <definedName name="IQ_RESTRUCTURED_LOANS_LEASES_FDIC" hidden="1">"c6377"</definedName>
    <definedName name="IQ_RESTRUCTURED_LOANS_NON_1_4_FDIC" hidden="1">"c6379"</definedName>
    <definedName name="IQ_RETAIL_ACQUIRED_FRANCHISE_STORES" hidden="1">"c2895"</definedName>
    <definedName name="IQ_RETAIL_ACQUIRED_OWNED_STORES" hidden="1">"c2903"</definedName>
    <definedName name="IQ_RETAIL_ACQUIRED_STORES" hidden="1">"c2887"</definedName>
    <definedName name="IQ_RETAIL_AVG_STORE_SIZE_GROSS" hidden="1">"c2066"</definedName>
    <definedName name="IQ_RETAIL_AVG_STORE_SIZE_NET" hidden="1">"c2067"</definedName>
    <definedName name="IQ_RETAIL_AVG_WK_SALES" hidden="1">"c2891"</definedName>
    <definedName name="IQ_RETAIL_AVG_WK_SALES_FRANCHISE" hidden="1">"c2899"</definedName>
    <definedName name="IQ_RETAIL_AVG_WK_SALES_OWNED" hidden="1">"c2907"</definedName>
    <definedName name="IQ_RETAIL_CLOSED_FRANCHISE_STORES" hidden="1">"c2896"</definedName>
    <definedName name="IQ_RETAIL_CLOSED_OWNED_STORES" hidden="1">"c2904"</definedName>
    <definedName name="IQ_RETAIL_CLOSED_STORES" hidden="1">"c2063"</definedName>
    <definedName name="IQ_RETAIL_DEPOSITS_FDIC" hidden="1">"c6488"</definedName>
    <definedName name="IQ_RETAIL_FRANCHISE_STORES_BEG" hidden="1">"c2893"</definedName>
    <definedName name="IQ_RETAIL_OPENED_FRANCHISE_STORES" hidden="1">"c2894"</definedName>
    <definedName name="IQ_RETAIL_OPENED_OWNED_STORES" hidden="1">"c2902"</definedName>
    <definedName name="IQ_RETAIL_OPENED_STORES" hidden="1">"c2062"</definedName>
    <definedName name="IQ_RETAIL_OWNED_STORES_BEG" hidden="1">"c2901"</definedName>
    <definedName name="IQ_RETAIL_SALES_SQFT_ALL_GROSS" hidden="1">"c2138"</definedName>
    <definedName name="IQ_RETAIL_SALES_SQFT_ALL_NET" hidden="1">"c2139"</definedName>
    <definedName name="IQ_RETAIL_SALES_SQFT_COMPARABLE_GROSS" hidden="1">"c2136"</definedName>
    <definedName name="IQ_RETAIL_SALES_SQFT_COMPARABLE_NET" hidden="1">"c2137"</definedName>
    <definedName name="IQ_RETAIL_SALES_SQFT_OWNED_GROSS" hidden="1">"c2134"</definedName>
    <definedName name="IQ_RETAIL_SALES_SQFT_OWNED_NET" hidden="1">"c2135"</definedName>
    <definedName name="IQ_RETAIL_SOLD_FRANCHISE_STORES" hidden="1">"c2897"</definedName>
    <definedName name="IQ_RETAIL_SOLD_OWNED_STORES" hidden="1">"c2905"</definedName>
    <definedName name="IQ_RETAIL_SOLD_STORES" hidden="1">"c2889"</definedName>
    <definedName name="IQ_RETAIL_SQ_FOOTAGE" hidden="1">"c2064"</definedName>
    <definedName name="IQ_RETAIL_STORE_SELLING_AREA" hidden="1">"c2065"</definedName>
    <definedName name="IQ_RETAIL_STORES_BEG" hidden="1">"c2885"</definedName>
    <definedName name="IQ_RETAIL_TOTAL_FRANCHISE_STORES" hidden="1">"c2898"</definedName>
    <definedName name="IQ_RETAIL_TOTAL_OWNED_STORES" hidden="1">"c2906"</definedName>
    <definedName name="IQ_RETAIL_TOTAL_STORES" hidden="1">"c2061"</definedName>
    <definedName name="IQ_RETAINED_EARN" hidden="1">"c1092"</definedName>
    <definedName name="IQ_RETAINED_EARNINGS_AVERAGE_EQUITY_FDIC" hidden="1">"c6733"</definedName>
    <definedName name="IQ_RETURN_ASSETS" hidden="1">"c1113"</definedName>
    <definedName name="IQ_RETURN_ASSETS_BANK" hidden="1">"c1114"</definedName>
    <definedName name="IQ_RETURN_ASSETS_BROK" hidden="1">"c1115"</definedName>
    <definedName name="IQ_RETURN_ASSETS_FDIC" hidden="1">"c6730"</definedName>
    <definedName name="IQ_RETURN_ASSETS_FS" hidden="1">"c1116"</definedName>
    <definedName name="IQ_RETURN_CAPITAL" hidden="1">"c1117"</definedName>
    <definedName name="IQ_RETURN_EQUITY" hidden="1">"c1118"</definedName>
    <definedName name="IQ_RETURN_EQUITY_BANK" hidden="1">"c1119"</definedName>
    <definedName name="IQ_RETURN_EQUITY_BROK" hidden="1">"c1120"</definedName>
    <definedName name="IQ_RETURN_EQUITY_FDIC" hidden="1">"c6732"</definedName>
    <definedName name="IQ_RETURN_EQUITY_FS" hidden="1">"c1121"</definedName>
    <definedName name="IQ_RETURN_INVESTMENT" hidden="1">"c1117"</definedName>
    <definedName name="IQ_REV" hidden="1">"c1122"</definedName>
    <definedName name="IQ_REV_BEFORE_LL" hidden="1">"c1123"</definedName>
    <definedName name="IQ_REV_STDDEV_EST" hidden="1">"c1124"</definedName>
    <definedName name="IQ_REV_UTI" hidden="1">"c1125"</definedName>
    <definedName name="IQ_REVALUATION_GAINS_FDIC" hidden="1">"c6428"</definedName>
    <definedName name="IQ_REVALUATION_LOSSES_FDIC" hidden="1">"c6429"</definedName>
    <definedName name="IQ_REVENUE" hidden="1">"c1122"</definedName>
    <definedName name="IQ_REVENUE_10K" hidden="1">"IQ_REVENUE_10K"</definedName>
    <definedName name="IQ_REVENUE_10Q" hidden="1">"IQ_REVENUE_10Q"</definedName>
    <definedName name="IQ_REVENUE_10Q1" hidden="1">"IQ_REVENUE_10Q1"</definedName>
    <definedName name="IQ_REVENUE_EST" hidden="1">"c1126"</definedName>
    <definedName name="IQ_REVENUE_GROWTH_1" hidden="1">"c155"</definedName>
    <definedName name="IQ_REVENUE_GROWTH_2" hidden="1">"c159"</definedName>
    <definedName name="IQ_REVENUE_HIGH_EST" hidden="1">"c1127"</definedName>
    <definedName name="IQ_REVENUE_LOW_EST" hidden="1">"c1128"</definedName>
    <definedName name="IQ_REVENUE_NO_EST" hidden="1">"c263"</definedName>
    <definedName name="IQ_REVENUE_NUM_EST" hidden="1">"c1129"</definedName>
    <definedName name="IQ_Revision_date_2" hidden="1">38784.4474652778</definedName>
    <definedName name="IQ_REVOLVING_SECURED_1_–4_NON_ACCRUAL_FFIEC" hidden="1">"c15565"</definedName>
    <definedName name="IQ_RISK_ADJ_BANK_ASSETS" hidden="1">"c2670"</definedName>
    <definedName name="IQ_RISK_WEIGHTED_ASSETS_FDIC" hidden="1">"c6370"</definedName>
    <definedName name="IQ_SALARY" hidden="1">"c1130"</definedName>
    <definedName name="IQ_SALARY_FDIC" hidden="1">"c6576"</definedName>
    <definedName name="IQ_SALE_CONVERSION_RETIREMENT_STOCK_FDIC" hidden="1">"c6661"</definedName>
    <definedName name="IQ_SALE_INTAN_CF" hidden="1">"c1131"</definedName>
    <definedName name="IQ_SALE_INTAN_CF_BNK" hidden="1">"c1132"</definedName>
    <definedName name="IQ_SALE_INTAN_CF_BR" hidden="1">"c1133"</definedName>
    <definedName name="IQ_SALE_INTAN_CF_FIN" hidden="1">"c1134"</definedName>
    <definedName name="IQ_SALE_INTAN_CF_INS" hidden="1">"c1135"</definedName>
    <definedName name="IQ_SALE_INTAN_CF_REIT" hidden="1">"c1627"</definedName>
    <definedName name="IQ_SALE_INTAN_CF_UTI" hidden="1">"c1136"</definedName>
    <definedName name="IQ_SALE_PPE_CF" hidden="1">"c1137"</definedName>
    <definedName name="IQ_SALE_PPE_CF_BNK" hidden="1">"c1138"</definedName>
    <definedName name="IQ_SALE_PPE_CF_BR" hidden="1">"c1139"</definedName>
    <definedName name="IQ_SALE_PPE_CF_FIN" hidden="1">"c1140"</definedName>
    <definedName name="IQ_SALE_PPE_CF_INS" hidden="1">"c1141"</definedName>
    <definedName name="IQ_SALE_PPE_CF_UTI" hidden="1">"c1142"</definedName>
    <definedName name="IQ_SALE_RE_ASSETS" hidden="1">"c1629"</definedName>
    <definedName name="IQ_SALE_REAL_ESTATE_CF" hidden="1">"c1143"</definedName>
    <definedName name="IQ_SALE_REAL_ESTATE_CF_BNK" hidden="1">"c1144"</definedName>
    <definedName name="IQ_SALE_REAL_ESTATE_CF_BR" hidden="1">"c1145"</definedName>
    <definedName name="IQ_SALE_REAL_ESTATE_CF_FIN" hidden="1">"c1146"</definedName>
    <definedName name="IQ_SALE_REAL_ESTATE_CF_INS" hidden="1">"c1147"</definedName>
    <definedName name="IQ_SALE_REAL_ESTATE_CF_UTI" hidden="1">"c1148"</definedName>
    <definedName name="IQ_SALES_MARKETING" hidden="1">"c2240"</definedName>
    <definedName name="IQ_SAME_STORE" hidden="1">"c1149"</definedName>
    <definedName name="IQ_SAME_STORE_FRANCHISE" hidden="1">"c2900"</definedName>
    <definedName name="IQ_SAME_STORE_OWNED" hidden="1">"c2908"</definedName>
    <definedName name="IQ_SAME_STORE_TOTAL" hidden="1">"c2892"</definedName>
    <definedName name="IQ_SAVING_DEP" hidden="1">"c1150"</definedName>
    <definedName name="IQ_SECUR_RECEIV" hidden="1">"c1151"</definedName>
    <definedName name="IQ_SECURED_1_4_FAMILY_RESIDENTIAL_CHARGE_OFFS_FDIC" hidden="1">"c6590"</definedName>
    <definedName name="IQ_SECURED_1_4_FAMILY_RESIDENTIAL_NET_CHARGE_OFFS_FDIC" hidden="1">"c6628"</definedName>
    <definedName name="IQ_SECURED_1_4_FAMILY_RESIDENTIAL_RECOVERIES_FDIC" hidden="1">"c6609"</definedName>
    <definedName name="IQ_SECURED_DEBT" hidden="1">"c2546"</definedName>
    <definedName name="IQ_SECURED_DEBT_PCT" hidden="1">"c2547"</definedName>
    <definedName name="IQ_SECURED_FARMLAND_CHARGE_OFFS_FDIC" hidden="1">"c6593"</definedName>
    <definedName name="IQ_SECURED_FARMLAND_NET_CHARGE_OFFS_FDIC" hidden="1">"c6631"</definedName>
    <definedName name="IQ_SECURED_FARMLAND_RECOVERIES_FDIC" hidden="1">"c6612"</definedName>
    <definedName name="IQ_SECURED_MULTIFAMILY_RESIDENTIAL_CHARGE_OFFS_FDIC" hidden="1">"c6591"</definedName>
    <definedName name="IQ_SECURED_MULTIFAMILY_RESIDENTIAL_NET_CHARGE_OFFS_FDIC" hidden="1">"c6629"</definedName>
    <definedName name="IQ_SECURED_MULTIFAMILY_RESIDENTIAL_RECOVERIES_FDIC" hidden="1">"c6610"</definedName>
    <definedName name="IQ_SECURED_NONFARM_NONRESIDENTIAL_CHARGE_OFFS_FDIC" hidden="1">"c6592"</definedName>
    <definedName name="IQ_SECURED_NONFARM_NONRESIDENTIAL_NET_CHARGE_OFFS_FDIC" hidden="1">"c6630"</definedName>
    <definedName name="IQ_SECURED_NONFARM_NONRESIDENTIAL_RECOVERIES_FDIC" hidden="1">"c6611"</definedName>
    <definedName name="IQ_SECURITIES_GAINS_FDIC" hidden="1">"c6584"</definedName>
    <definedName name="IQ_SECURITIES_ISSUED_STATES_FDIC" hidden="1">"c6300"</definedName>
    <definedName name="IQ_SECURITIES_LENT_FDIC" hidden="1">"c6532"</definedName>
    <definedName name="IQ_SECURITIES_UNDERWRITING_FDIC" hidden="1">"c6529"</definedName>
    <definedName name="IQ_SECURITY_BORROW" hidden="1">"c1152"</definedName>
    <definedName name="IQ_SECURITY_OWN" hidden="1">"c1153"</definedName>
    <definedName name="IQ_SECURITY_RESELL" hidden="1">"c1154"</definedName>
    <definedName name="IQ_SEPARATE_ACCT_ASSETS" hidden="1">"c1155"</definedName>
    <definedName name="IQ_SEPARATE_ACCT_LIAB" hidden="1">"c1156"</definedName>
    <definedName name="IQ_SERV_CHARGE_DEPOSITS" hidden="1">"c1157"</definedName>
    <definedName name="IQ_SERVICE_CHARGES_FDIC" hidden="1">"c6572"</definedName>
    <definedName name="IQ_SGA" hidden="1">"c1158"</definedName>
    <definedName name="IQ_SGA_BNK" hidden="1">"c1159"</definedName>
    <definedName name="IQ_SGA_INS" hidden="1">"c1160"</definedName>
    <definedName name="IQ_SGA_MARGIN" hidden="1">"c1898"</definedName>
    <definedName name="IQ_SGA_REIT" hidden="1">"c1161"</definedName>
    <definedName name="IQ_SGA_SUPPL" hidden="1">"c1162"</definedName>
    <definedName name="IQ_SGA_UTI" hidden="1">"c1163"</definedName>
    <definedName name="IQ_SHAREOUTSTANDING" hidden="1">"c1347"</definedName>
    <definedName name="IQ_SHARESOUTSTANDING" hidden="1">"c1164"</definedName>
    <definedName name="IQ_SHORT_INTEREST" hidden="1">"c1165"</definedName>
    <definedName name="IQ_SHORT_INTEREST_OVER_FLOAT" hidden="1">"c1577"</definedName>
    <definedName name="IQ_SHORT_INTEREST_PERCENT" hidden="1">"c1576"</definedName>
    <definedName name="IQ_SHORT_TERM_INVEST" hidden="1">"c1197"</definedName>
    <definedName name="IQ_SMALL_INT_BEAR_CD" hidden="1">"c1166"</definedName>
    <definedName name="IQ_SOFTWARE" hidden="1">"c1167"</definedName>
    <definedName name="IQ_SOURCE" hidden="1">"c1168"</definedName>
    <definedName name="IQ_SP_ISSUE_LC_ACTION" hidden="1">"c2644"</definedName>
    <definedName name="IQ_SP_ISSUE_LC_DATE" hidden="1">"c2643"</definedName>
    <definedName name="IQ_SP_ISSUE_LC_LT" hidden="1">"c2645"</definedName>
    <definedName name="IQ_SPECIAL_DIV_CF" hidden="1">"c1169"</definedName>
    <definedName name="IQ_SPECIAL_DIV_CF_BNK" hidden="1">"c1170"</definedName>
    <definedName name="IQ_SPECIAL_DIV_CF_BR" hidden="1">"c1171"</definedName>
    <definedName name="IQ_SPECIAL_DIV_CF_FIN" hidden="1">"c1172"</definedName>
    <definedName name="IQ_SPECIAL_DIV_CF_INS" hidden="1">"c1173"</definedName>
    <definedName name="IQ_SPECIAL_DIV_CF_REIT" hidden="1">"c1174"</definedName>
    <definedName name="IQ_SPECIAL_DIV_CF_UTI" hidden="1">"c1175"</definedName>
    <definedName name="IQ_SPECIAL_DIV_SHARE" hidden="1">"c3007"</definedName>
    <definedName name="IQ_SR_BONDS_NOTES" hidden="1">"c2501"</definedName>
    <definedName name="IQ_SR_BONDS_NOTES_PCT" hidden="1">"c2502"</definedName>
    <definedName name="IQ_SR_DEBT" hidden="1">"c2526"</definedName>
    <definedName name="IQ_SR_DEBT_EBITDA" hidden="1">"c2552"</definedName>
    <definedName name="IQ_SR_DEBT_EBITDA_CAPEX" hidden="1">"c2553"</definedName>
    <definedName name="IQ_SR_DEBT_PCT" hidden="1">"c2527"</definedName>
    <definedName name="IQ_SR_SUB_DEBT" hidden="1">"c2530"</definedName>
    <definedName name="IQ_SR_SUB_DEBT_EBITDA" hidden="1">"c2556"</definedName>
    <definedName name="IQ_SR_SUB_DEBT_EBITDA_CAPEX" hidden="1">"c2557"</definedName>
    <definedName name="IQ_SR_SUB_DEBT_PCT" hidden="1">"c2531"</definedName>
    <definedName name="IQ_ST_DEBT" hidden="1">"c1176"</definedName>
    <definedName name="IQ_ST_DEBT_BNK" hidden="1">"c1177"</definedName>
    <definedName name="IQ_ST_DEBT_BR" hidden="1">"c1178"</definedName>
    <definedName name="IQ_ST_DEBT_FIN" hidden="1">"c1179"</definedName>
    <definedName name="IQ_ST_DEBT_INS" hidden="1">"c1180"</definedName>
    <definedName name="IQ_ST_DEBT_ISSUED" hidden="1">"c1181"</definedName>
    <definedName name="IQ_ST_DEBT_ISSUED_BNK" hidden="1">"c1182"</definedName>
    <definedName name="IQ_ST_DEBT_ISSUED_BR" hidden="1">"c1183"</definedName>
    <definedName name="IQ_ST_DEBT_ISSUED_FIN" hidden="1">"c1184"</definedName>
    <definedName name="IQ_ST_DEBT_ISSUED_INS" hidden="1">"c1185"</definedName>
    <definedName name="IQ_ST_DEBT_ISSUED_REIT" hidden="1">"c1186"</definedName>
    <definedName name="IQ_ST_DEBT_ISSUED_UTI" hidden="1">"c1187"</definedName>
    <definedName name="IQ_ST_DEBT_PCT" hidden="1">"c2539"</definedName>
    <definedName name="IQ_ST_DEBT_REIT" hidden="1">"c1188"</definedName>
    <definedName name="IQ_ST_DEBT_REPAID" hidden="1">"c1189"</definedName>
    <definedName name="IQ_ST_DEBT_REPAID_BNK" hidden="1">"c1190"</definedName>
    <definedName name="IQ_ST_DEBT_REPAID_BR" hidden="1">"c1191"</definedName>
    <definedName name="IQ_ST_DEBT_REPAID_FIN" hidden="1">"c1192"</definedName>
    <definedName name="IQ_ST_DEBT_REPAID_INS" hidden="1">"c1193"</definedName>
    <definedName name="IQ_ST_DEBT_REPAID_REIT" hidden="1">"c1194"</definedName>
    <definedName name="IQ_ST_DEBT_REPAID_UTI" hidden="1">"c1195"</definedName>
    <definedName name="IQ_ST_DEBT_UTI" hidden="1">"c1196"</definedName>
    <definedName name="IQ_ST_INVEST" hidden="1">"c1197"</definedName>
    <definedName name="IQ_ST_INVEST_UTI" hidden="1">"c1198"</definedName>
    <definedName name="IQ_ST_NOTE_RECEIV" hidden="1">"c1199"</definedName>
    <definedName name="IQ_STANDBY_LOC_FHLB_BANK_BEHALF_OFF_BS_FFIEC" hidden="1">"c15412"</definedName>
    <definedName name="IQ_STATE" hidden="1">"c1200"</definedName>
    <definedName name="IQ_STATES_NONTRANSACTION_ACCOUNTS_FDIC" hidden="1">"c6547"</definedName>
    <definedName name="IQ_STATES_TOTAL_DEPOSITS_FDIC" hidden="1">"c6473"</definedName>
    <definedName name="IQ_STATES_TRANSACTION_ACCOUNTS_FDIC" hidden="1">"c6539"</definedName>
    <definedName name="IQ_STATUTORY_SURPLUS" hidden="1">"c1201"</definedName>
    <definedName name="IQ_STOCK_BASED" hidden="1">"c1202"</definedName>
    <definedName name="IQ_STOCK_BASED_AT" hidden="1">"c2999"</definedName>
    <definedName name="IQ_STOCK_BASED_CF" hidden="1">"c1203"</definedName>
    <definedName name="IQ_STOCK_BASED_COGS" hidden="1">"c2990"</definedName>
    <definedName name="IQ_STOCK_BASED_COGS_FIN" hidden="1">"c2998"</definedName>
    <definedName name="IQ_STOCK_BASED_COGS_UTIL" hidden="1">"c2997"</definedName>
    <definedName name="IQ_STOCK_BASED_COMP" hidden="1">"c3512"</definedName>
    <definedName name="IQ_STOCK_BASED_COMP_PRETAX" hidden="1">"c3510"</definedName>
    <definedName name="IQ_STOCK_BASED_COMP_TAX" hidden="1">"c3511"</definedName>
    <definedName name="IQ_STOCK_BASED_GA" hidden="1">"c2993"</definedName>
    <definedName name="IQ_STOCK_BASED_OTHER" hidden="1">"c2995"</definedName>
    <definedName name="IQ_STOCK_BASED_RD" hidden="1">"c2991"</definedName>
    <definedName name="IQ_STOCK_BASED_SGA" hidden="1">"c2994"</definedName>
    <definedName name="IQ_STOCK_BASED_SM" hidden="1">"c2992"</definedName>
    <definedName name="IQ_STOCK_BASED_TOTAL" hidden="1">"c3040"</definedName>
    <definedName name="IQ_STOCK_OPTIONS_COMP" hidden="1">"c3509"</definedName>
    <definedName name="IQ_STOCK_OPTIONS_COMP_PRETAX" hidden="1">"c3507"</definedName>
    <definedName name="IQ_STOCK_OPTIONS_COMP_TAX" hidden="1">"c3508"</definedName>
    <definedName name="IQ_STRIKE_PRICE_ISSUED" hidden="1">"c1645"</definedName>
    <definedName name="IQ_STRIKE_PRICE_OS" hidden="1">"c1646"</definedName>
    <definedName name="IQ_SUB_BONDS_NOTES" hidden="1">"c2503"</definedName>
    <definedName name="IQ_SUB_BONDS_NOTES_PCT" hidden="1">"c2504"</definedName>
    <definedName name="IQ_SUB_DEBT" hidden="1">"c2532"</definedName>
    <definedName name="IQ_SUB_DEBT_EBITDA" hidden="1">"c2558"</definedName>
    <definedName name="IQ_SUB_DEBT_EBITDA_CAPEX" hidden="1">"c2559"</definedName>
    <definedName name="IQ_SUB_DEBT_FDIC" hidden="1">"c6346"</definedName>
    <definedName name="IQ_SUB_DEBT_PCT" hidden="1">"c2533"</definedName>
    <definedName name="IQ_SUB_LEASE_AFTER_FIVE" hidden="1">"c1207"</definedName>
    <definedName name="IQ_SUB_LEASE_INC_CY" hidden="1">"c1208"</definedName>
    <definedName name="IQ_SUB_LEASE_INC_CY1" hidden="1">"c1209"</definedName>
    <definedName name="IQ_SUB_LEASE_INC_CY2" hidden="1">"c1210"</definedName>
    <definedName name="IQ_SUB_LEASE_INC_CY3" hidden="1">"c1211"</definedName>
    <definedName name="IQ_SUB_LEASE_INC_CY4" hidden="1">"c1212"</definedName>
    <definedName name="IQ_SUB_LEASE_NEXT_FIVE" hidden="1">"c1213"</definedName>
    <definedName name="IQ_SURPLUS_FDIC" hidden="1">"c6351"</definedName>
    <definedName name="IQ_SVA" hidden="1">"c1214"</definedName>
    <definedName name="IQ_TARGET_PRICE_LASTCLOSE" hidden="1">"c1855"</definedName>
    <definedName name="IQ_TAX_BENEFIT_CF_1YR" hidden="1">"c3483"</definedName>
    <definedName name="IQ_TAX_BENEFIT_CF_2YR" hidden="1">"c3484"</definedName>
    <definedName name="IQ_TAX_BENEFIT_CF_3YR" hidden="1">"c3485"</definedName>
    <definedName name="IQ_TAX_BENEFIT_CF_4YR" hidden="1">"c3486"</definedName>
    <definedName name="IQ_TAX_BENEFIT_CF_5YR" hidden="1">"c3487"</definedName>
    <definedName name="IQ_TAX_BENEFIT_CF_AFTER_FIVE" hidden="1">"c3488"</definedName>
    <definedName name="IQ_TAX_BENEFIT_CF_MAX_YEAR" hidden="1">"c3491"</definedName>
    <definedName name="IQ_TAX_BENEFIT_CF_NO_EXP" hidden="1">"c3489"</definedName>
    <definedName name="IQ_TAX_BENEFIT_CF_TOTAL" hidden="1">"c3490"</definedName>
    <definedName name="IQ_TAX_BENEFIT_OPTIONS" hidden="1">"c1215"</definedName>
    <definedName name="IQ_TAX_EQUIV_NET_INT_INC" hidden="1">"c1216"</definedName>
    <definedName name="IQ_TBV" hidden="1">"c1906"</definedName>
    <definedName name="IQ_TBV_10YR_ANN_GROWTH" hidden="1">"c1936"</definedName>
    <definedName name="IQ_TBV_1YR_ANN_GROWTH" hidden="1">"c1931"</definedName>
    <definedName name="IQ_TBV_2YR_ANN_GROWTH" hidden="1">"c1932"</definedName>
    <definedName name="IQ_TBV_3YR_ANN_GROWTH" hidden="1">"c1933"</definedName>
    <definedName name="IQ_TBV_5YR_ANN_GROWTH" hidden="1">"c1934"</definedName>
    <definedName name="IQ_TBV_7YR_ANN_GROWTH" hidden="1">"c1935"</definedName>
    <definedName name="IQ_TBV_SHARE" hidden="1">"c1217"</definedName>
    <definedName name="IQ_TEMPLATE" hidden="1">"c1521"</definedName>
    <definedName name="IQ_TENANT" hidden="1">"c1218"</definedName>
    <definedName name="IQ_TERM_LOANS" hidden="1">"c2499"</definedName>
    <definedName name="IQ_TERM_LOANS_PCT" hidden="1">"c2500"</definedName>
    <definedName name="IQ_TEV" hidden="1">"c1219"</definedName>
    <definedName name="IQ_TEV_EBIT" hidden="1">"c1220"</definedName>
    <definedName name="IQ_TEV_EBIT_AVG" hidden="1">"c1221"</definedName>
    <definedName name="IQ_TEV_EBITDA" hidden="1">"c1222"</definedName>
    <definedName name="IQ_TEV_EBITDA_AVG" hidden="1">"c1223"</definedName>
    <definedName name="IQ_TEV_EBITDA_FWD" hidden="1">"c1224"</definedName>
    <definedName name="IQ_TEV_EMPLOYEE_AVG" hidden="1">"c1225"</definedName>
    <definedName name="IQ_TEV_TOTAL_REV" hidden="1">"c1226"</definedName>
    <definedName name="IQ_TEV_TOTAL_REV_AVG" hidden="1">"c1227"</definedName>
    <definedName name="IQ_TEV_TOTAL_REV_FWD" hidden="1">"c1228"</definedName>
    <definedName name="IQ_TEV_UFCF" hidden="1">"c2208"</definedName>
    <definedName name="IQ_THREE_MONTHS_FIXED_AND_FLOATING_FDIC" hidden="1">"c6419"</definedName>
    <definedName name="IQ_THREE_MONTHS_MORTGAGE_PASS_THROUGHS_FDIC" hidden="1">"c6411"</definedName>
    <definedName name="IQ_THREE_YEAR_FIXED_AND_FLOATING_RATE_FDIC" hidden="1">"c6421"</definedName>
    <definedName name="IQ_THREE_YEAR_MORTGAGE_PASS_THROUGHS_FDIC" hidden="1">"c6413"</definedName>
    <definedName name="IQ_THREE_YEARS_LESS_FDIC" hidden="1">"c6417"</definedName>
    <definedName name="IQ_TIER_1_RISK_BASED_CAPITAL_RATIO_FDIC" hidden="1">"c6746"</definedName>
    <definedName name="IQ_TIER_ONE_CAPITAL" hidden="1">"c2667"</definedName>
    <definedName name="IQ_TIER_ONE_FDIC" hidden="1">"c6369"</definedName>
    <definedName name="IQ_TIER_ONE_RATIO" hidden="1">"c1229"</definedName>
    <definedName name="IQ_TIER_TWO_CAPITAL" hidden="1">"c2669"</definedName>
    <definedName name="IQ_TIME_DEP" hidden="1">"c1230"</definedName>
    <definedName name="IQ_TIME_DEPOSITS_LESS_THAN_100K_FDIC" hidden="1">"c6465"</definedName>
    <definedName name="IQ_TIME_DEPOSITS_MORE_THAN_100K_FDIC" hidden="1">"c6470"</definedName>
    <definedName name="IQ_TODAY" hidden="1">0</definedName>
    <definedName name="IQ_TOT_ADJ_INC" hidden="1">"c1616"</definedName>
    <definedName name="IQ_TOTAL_AR_BR" hidden="1">"c1231"</definedName>
    <definedName name="IQ_TOTAL_AR_REIT" hidden="1">"c1232"</definedName>
    <definedName name="IQ_TOTAL_AR_UTI" hidden="1">"c1233"</definedName>
    <definedName name="IQ_TOTAL_ASSETS" hidden="1">"c1234"</definedName>
    <definedName name="IQ_TOTAL_ASSETS_10YR_ANN_GROWTH" hidden="1">"c1235"</definedName>
    <definedName name="IQ_TOTAL_ASSETS_1YR_ANN_GROWTH" hidden="1">"c1236"</definedName>
    <definedName name="IQ_TOTAL_ASSETS_2YR_ANN_GROWTH" hidden="1">"c1237"</definedName>
    <definedName name="IQ_TOTAL_ASSETS_3YR_ANN_GROWTH" hidden="1">"c1238"</definedName>
    <definedName name="IQ_TOTAL_ASSETS_5YR_ANN_GROWTH" hidden="1">"c1239"</definedName>
    <definedName name="IQ_TOTAL_ASSETS_7YR_ANN_GROWTH" hidden="1">"c1240"</definedName>
    <definedName name="IQ_TOTAL_ASSETS_FDIC" hidden="1">"c6339"</definedName>
    <definedName name="IQ_TOTAL_AVG_CE_TOTAL_AVG_ASSETS" hidden="1">"c1241"</definedName>
    <definedName name="IQ_TOTAL_AVG_EQUITY_TOTAL_AVG_ASSETS" hidden="1">"c1242"</definedName>
    <definedName name="IQ_TOTAL_BANK_CAPITAL" hidden="1">"c2668"</definedName>
    <definedName name="IQ_TOTAL_CA" hidden="1">"c1243"</definedName>
    <definedName name="IQ_TOTAL_CAP" hidden="1">"c1507"</definedName>
    <definedName name="IQ_TOTAL_CAPITAL_RATIO" hidden="1">"c1244"</definedName>
    <definedName name="IQ_TOTAL_CASH_DIVID" hidden="1">"c1266"</definedName>
    <definedName name="IQ_TOTAL_CASH_FINAN" hidden="1">"c119"</definedName>
    <definedName name="IQ_TOTAL_CASH_INVEST" hidden="1">"c121"</definedName>
    <definedName name="IQ_TOTAL_CASH_OPER" hidden="1">"c122"</definedName>
    <definedName name="IQ_TOTAL_CHARGE_OFFS_FDIC" hidden="1">"c6603"</definedName>
    <definedName name="IQ_TOTAL_CHURN" hidden="1">"c2122"</definedName>
    <definedName name="IQ_TOTAL_CL" hidden="1">"c1245"</definedName>
    <definedName name="IQ_TOTAL_COMMON" hidden="1">"c1022"</definedName>
    <definedName name="IQ_TOTAL_COMMON_EQUITY" hidden="1">"c1246"</definedName>
    <definedName name="IQ_TOTAL_CURRENT_ASSETS" hidden="1">"c1243"</definedName>
    <definedName name="IQ_TOTAL_CURRENT_LIAB" hidden="1">"c1245"</definedName>
    <definedName name="IQ_TOTAL_DEBT" hidden="1">"c1247"</definedName>
    <definedName name="IQ_TOTAL_DEBT_CAPITAL" hidden="1">"c1248"</definedName>
    <definedName name="IQ_TOTAL_DEBT_DUE" hidden="1">"c2509"</definedName>
    <definedName name="IQ_TOTAL_DEBT_EBITDA" hidden="1">"c1249"</definedName>
    <definedName name="IQ_TOTAL_DEBT_EBITDA_CAPEX" hidden="1">"c2948"</definedName>
    <definedName name="IQ_TOTAL_DEBT_EQUITY" hidden="1">"c1250"</definedName>
    <definedName name="IQ_TOTAL_DEBT_EXCL_FIN" hidden="1">"c2937"</definedName>
    <definedName name="IQ_TOTAL_DEBT_ISSUED" hidden="1">"c1251"</definedName>
    <definedName name="IQ_TOTAL_DEBT_ISSUED_BNK" hidden="1">"c1252"</definedName>
    <definedName name="IQ_TOTAL_DEBT_ISSUED_BR" hidden="1">"c1253"</definedName>
    <definedName name="IQ_TOTAL_DEBT_ISSUED_FIN" hidden="1">"c1254"</definedName>
    <definedName name="IQ_TOTAL_DEBT_ISSUED_REIT" hidden="1">"c1255"</definedName>
    <definedName name="IQ_TOTAL_DEBT_ISSUED_UTI" hidden="1">"c1256"</definedName>
    <definedName name="IQ_TOTAL_DEBT_ISSUES_INS" hidden="1">"c1257"</definedName>
    <definedName name="IQ_TOTAL_DEBT_OVER_EBITDA" hidden="1">"c1249"</definedName>
    <definedName name="IQ_TOTAL_DEBT_OVER_TOTAL_BV" hidden="1">"c1250"</definedName>
    <definedName name="IQ_TOTAL_DEBT_OVER_TOTAL_CAP" hidden="1">"c1248"</definedName>
    <definedName name="IQ_TOTAL_DEBT_REPAID" hidden="1">"c1258"</definedName>
    <definedName name="IQ_TOTAL_DEBT_REPAID_BNK" hidden="1">"c1259"</definedName>
    <definedName name="IQ_TOTAL_DEBT_REPAID_BR" hidden="1">"c1260"</definedName>
    <definedName name="IQ_TOTAL_DEBT_REPAID_FIN" hidden="1">"c1261"</definedName>
    <definedName name="IQ_TOTAL_DEBT_REPAID_INS" hidden="1">"c1262"</definedName>
    <definedName name="IQ_TOTAL_DEBT_REPAID_REIT" hidden="1">"c1263"</definedName>
    <definedName name="IQ_TOTAL_DEBT_REPAID_UTI" hidden="1">"c1264"</definedName>
    <definedName name="IQ_TOTAL_DEBT_SECURITIES_FDIC" hidden="1">"c6410"</definedName>
    <definedName name="IQ_TOTAL_DEPOSITS" hidden="1">"c1265"</definedName>
    <definedName name="IQ_TOTAL_DEPOSITS_FDIC" hidden="1">"c6342"</definedName>
    <definedName name="IQ_TOTAL_DIV_PAID_CF" hidden="1">"c1266"</definedName>
    <definedName name="IQ_TOTAL_EMPLOYEE" hidden="1">"c1522"</definedName>
    <definedName name="IQ_TOTAL_EMPLOYEES" hidden="1">"c1522"</definedName>
    <definedName name="IQ_TOTAL_EMPLOYEES_FDIC" hidden="1">"c6355"</definedName>
    <definedName name="IQ_TOTAL_EQUITY" hidden="1">"c1267"</definedName>
    <definedName name="IQ_TOTAL_EQUITY_10YR_ANN_GROWTH" hidden="1">"c1268"</definedName>
    <definedName name="IQ_TOTAL_EQUITY_1YR_ANN_GROWTH" hidden="1">"c1269"</definedName>
    <definedName name="IQ_TOTAL_EQUITY_2YR_ANN_GROWTH" hidden="1">"c1270"</definedName>
    <definedName name="IQ_TOTAL_EQUITY_3YR_ANN_GROWTH" hidden="1">"c1271"</definedName>
    <definedName name="IQ_TOTAL_EQUITY_5YR_ANN_GROWTH" hidden="1">"c1272"</definedName>
    <definedName name="IQ_TOTAL_EQUITY_7YR_ANN_GROWTH" hidden="1">"c1273"</definedName>
    <definedName name="IQ_TOTAL_EQUITY_ALLOWANCE_TOTAL_LOANS" hidden="1">"c1274"</definedName>
    <definedName name="IQ_TOTAL_INTEREST_EXP" hidden="1">"c591"</definedName>
    <definedName name="IQ_TOTAL_INVENTORY" hidden="1">"c622"</definedName>
    <definedName name="IQ_TOTAL_INVEST" hidden="1">"c1275"</definedName>
    <definedName name="IQ_TOTAL_LIAB" hidden="1">"c1276"</definedName>
    <definedName name="IQ_TOTAL_LIAB_BNK" hidden="1">"c1277"</definedName>
    <definedName name="IQ_TOTAL_LIAB_BR" hidden="1">"c1278"</definedName>
    <definedName name="IQ_TOTAL_LIAB_EQUITY" hidden="1">"c1279"</definedName>
    <definedName name="IQ_TOTAL_LIAB_EQUITY_FDIC" hidden="1">"c6354"</definedName>
    <definedName name="IQ_TOTAL_LIAB_FIN" hidden="1">"c1280"</definedName>
    <definedName name="IQ_TOTAL_LIAB_INS" hidden="1">"c1281"</definedName>
    <definedName name="IQ_TOTAL_LIAB_REIT" hidden="1">"c1282"</definedName>
    <definedName name="IQ_TOTAL_LIAB_SHAREHOLD" hidden="1">"c1279"</definedName>
    <definedName name="IQ_TOTAL_LIAB_TOTAL_ASSETS" hidden="1">"c1283"</definedName>
    <definedName name="IQ_TOTAL_LIABILITIES_FDIC" hidden="1">"c6348"</definedName>
    <definedName name="IQ_TOTAL_LONG_DEBT" hidden="1">"c1617"</definedName>
    <definedName name="IQ_TOTAL_NON_REC" hidden="1">"c1444"</definedName>
    <definedName name="IQ_TOTAL_OPER_EXP_BR" hidden="1">"c1284"</definedName>
    <definedName name="IQ_TOTAL_OPER_EXP_FIN" hidden="1">"c1285"</definedName>
    <definedName name="IQ_TOTAL_OPER_EXP_INS" hidden="1">"c1286"</definedName>
    <definedName name="IQ_TOTAL_OPER_EXP_REIT" hidden="1">"c1287"</definedName>
    <definedName name="IQ_TOTAL_OPER_EXP_UTI" hidden="1">"c1288"</definedName>
    <definedName name="IQ_TOTAL_OPER_EXPEN" hidden="1">"c1445"</definedName>
    <definedName name="IQ_TOTAL_OPTIONS_BEG_OS" hidden="1">"c2693"</definedName>
    <definedName name="IQ_TOTAL_OPTIONS_CANCELLED" hidden="1">"c2696"</definedName>
    <definedName name="IQ_TOTAL_OPTIONS_END_OS" hidden="1">"c2697"</definedName>
    <definedName name="IQ_TOTAL_OPTIONS_EXERCISED" hidden="1">"c2695"</definedName>
    <definedName name="IQ_TOTAL_OPTIONS_GRANTED" hidden="1">"c2694"</definedName>
    <definedName name="IQ_TOTAL_OTHER_OPER" hidden="1">"c1289"</definedName>
    <definedName name="IQ_TOTAL_OUTSTANDING_BS_DATE" hidden="1">"c1022"</definedName>
    <definedName name="IQ_TOTAL_OUTSTANDING_FILING_DATE" hidden="1">"c2107"</definedName>
    <definedName name="IQ_TOTAL_PENSION_ASSETS" hidden="1">"c1290"</definedName>
    <definedName name="IQ_TOTAL_PENSION_ASSETS_DOMESTIC" hidden="1">"c2658"</definedName>
    <definedName name="IQ_TOTAL_PENSION_ASSETS_FOREIGN" hidden="1">"c2666"</definedName>
    <definedName name="IQ_TOTAL_PENSION_EXP" hidden="1">"c1291"</definedName>
    <definedName name="IQ_TOTAL_PENSION_OBLIGATION" hidden="1">"c1292"</definedName>
    <definedName name="IQ_TOTAL_PRINCIPAL" hidden="1">"c2509"</definedName>
    <definedName name="IQ_TOTAL_PRINCIPAL_PCT" hidden="1">"c2510"</definedName>
    <definedName name="IQ_TOTAL_PROVED_RESERVES_NGL" hidden="1">"c2924"</definedName>
    <definedName name="IQ_TOTAL_PROVED_RESERVES_OIL" hidden="1">"c2040"</definedName>
    <definedName name="IQ_TOTAL_RECEIV" hidden="1">"c1293"</definedName>
    <definedName name="IQ_TOTAL_RECOVERIES_FDIC" hidden="1">"c6622"</definedName>
    <definedName name="IQ_TOTAL_REV" hidden="1">"c1294"</definedName>
    <definedName name="IQ_TOTAL_REV_10YR_ANN_GROWTH" hidden="1">"c1295"</definedName>
    <definedName name="IQ_TOTAL_REV_1YR_ANN_GROWTH" hidden="1">"c1296"</definedName>
    <definedName name="IQ_TOTAL_REV_2YR_ANN_GROWTH" hidden="1">"c1297"</definedName>
    <definedName name="IQ_TOTAL_REV_3YR_ANN_GROWTH" hidden="1">"c1298"</definedName>
    <definedName name="IQ_TOTAL_REV_5YR_ANN_GROWTH" hidden="1">"c1299"</definedName>
    <definedName name="IQ_TOTAL_REV_7YR_ANN_GROWTH" hidden="1">"c1300"</definedName>
    <definedName name="IQ_TOTAL_REV_AS_REPORTED" hidden="1">"c1301"</definedName>
    <definedName name="IQ_TOTAL_REV_BNK" hidden="1">"c1302"</definedName>
    <definedName name="IQ_TOTAL_REV_BNK_FDIC" hidden="1">"c6786"</definedName>
    <definedName name="IQ_TOTAL_REV_BR" hidden="1">"c1303"</definedName>
    <definedName name="IQ_TOTAL_REV_EMPLOYEE" hidden="1">"c1304"</definedName>
    <definedName name="IQ_TOTAL_REV_FIN" hidden="1">"c1305"</definedName>
    <definedName name="IQ_TOTAL_REV_INS" hidden="1">"c1306"</definedName>
    <definedName name="IQ_TOTAL_REV_REIT" hidden="1">"c1307"</definedName>
    <definedName name="IQ_TOTAL_REV_SHARE" hidden="1">"c1912"</definedName>
    <definedName name="IQ_TOTAL_REV_UTI" hidden="1">"c1308"</definedName>
    <definedName name="IQ_TOTAL_REVENUE" hidden="1">"c1294"</definedName>
    <definedName name="IQ_TOTAL_RISK_BASED_CAPITAL_RATIO_FDIC" hidden="1">"c6747"</definedName>
    <definedName name="IQ_TOTAL_SECURITIES_FDIC" hidden="1">"c6306"</definedName>
    <definedName name="IQ_TOTAL_SPECIAL" hidden="1">"c1618"</definedName>
    <definedName name="IQ_TOTAL_ST_BORROW" hidden="1">"c1177"</definedName>
    <definedName name="IQ_TOTAL_SUB_DEBT" hidden="1">"c2528"</definedName>
    <definedName name="IQ_TOTAL_SUB_DEBT_EBITDA" hidden="1">"c2554"</definedName>
    <definedName name="IQ_TOTAL_SUB_DEBT_EBITDA_CAPEX" hidden="1">"c2555"</definedName>
    <definedName name="IQ_TOTAL_SUB_DEBT_PCT" hidden="1">"c2529"</definedName>
    <definedName name="IQ_TOTAL_SUBS" hidden="1">"c2119"</definedName>
    <definedName name="IQ_TOTAL_TIME_DEPOSITS_FDIC" hidden="1">"c6497"</definedName>
    <definedName name="IQ_TOTAL_TIME_SAVINGS_DEPOSITS_FDIC" hidden="1">"c6498"</definedName>
    <definedName name="IQ_TOTAL_UNUSED_COMMITMENTS_FDIC" hidden="1">"c6536"</definedName>
    <definedName name="IQ_TOTAL_UNUSUAL" hidden="1">"c1508"</definedName>
    <definedName name="IQ_TOTAL_UNUSUAL_BR" hidden="1">"c5517"</definedName>
    <definedName name="IQ_TOTAL_WARRANTS_BEG_OS" hidden="1">"c2719"</definedName>
    <definedName name="IQ_TOTAL_WARRANTS_CANCELLED" hidden="1">"c2722"</definedName>
    <definedName name="IQ_TOTAL_WARRANTS_END_OS" hidden="1">"c2723"</definedName>
    <definedName name="IQ_TOTAL_WARRANTS_EXERCISED" hidden="1">"c2721"</definedName>
    <definedName name="IQ_TOTAL_WARRANTS_ISSUED" hidden="1">"c2720"</definedName>
    <definedName name="IQ_TR_ACCT_METHOD" hidden="1">"c2363"</definedName>
    <definedName name="IQ_TR_ACQ_52_WK_HI_PCT" hidden="1">"c2348"</definedName>
    <definedName name="IQ_TR_ACQ_52_WK_LOW_PCT" hidden="1">"c2347"</definedName>
    <definedName name="IQ_TR_ACQ_CASH_ST_INVEST" hidden="1">"c2372"</definedName>
    <definedName name="IQ_TR_ACQ_CLOSEPRICE_1D" hidden="1">"c3027"</definedName>
    <definedName name="IQ_TR_ACQ_DILUT_EPS_EXCL" hidden="1">"c3028"</definedName>
    <definedName name="IQ_TR_ACQ_EARNING_CO" hidden="1">"c2379"</definedName>
    <definedName name="IQ_TR_ACQ_EBIT" hidden="1">"c2380"</definedName>
    <definedName name="IQ_TR_ACQ_EBITDA" hidden="1">"c2381"</definedName>
    <definedName name="IQ_TR_ACQ_FILING_CURRENCY" hidden="1">"c3033"</definedName>
    <definedName name="IQ_TR_ACQ_MCAP_1DAY" hidden="1">"c2345"</definedName>
    <definedName name="IQ_TR_ACQ_MIN_INT" hidden="1">"c2374"</definedName>
    <definedName name="IQ_TR_ACQ_NET_DEBT" hidden="1">"c2373"</definedName>
    <definedName name="IQ_TR_ACQ_NI" hidden="1">"c2378"</definedName>
    <definedName name="IQ_TR_ACQ_PRICEDATE_1D" hidden="1">"c2346"</definedName>
    <definedName name="IQ_TR_ACQ_RETURN" hidden="1">"c2349"</definedName>
    <definedName name="IQ_TR_ACQ_STOCKYEARHIGH_1D" hidden="1">"c2343"</definedName>
    <definedName name="IQ_TR_ACQ_STOCKYEARLOW_1D" hidden="1">"c2344"</definedName>
    <definedName name="IQ_TR_ACQ_TOTAL_ASSETS" hidden="1">"c2371"</definedName>
    <definedName name="IQ_TR_ACQ_TOTAL_COMMON_EQ" hidden="1">"c2377"</definedName>
    <definedName name="IQ_TR_ACQ_TOTAL_DEBT" hidden="1">"c2376"</definedName>
    <definedName name="IQ_TR_ACQ_TOTAL_PREF" hidden="1">"c2375"</definedName>
    <definedName name="IQ_TR_ACQ_TOTAL_REV" hidden="1">"c2382"</definedName>
    <definedName name="IQ_TR_ADJ_SIZE" hidden="1">"c3024"</definedName>
    <definedName name="IQ_TR_ANN_DATE" hidden="1">"c2395"</definedName>
    <definedName name="IQ_TR_ANN_DATE_BL" hidden="1">"c2394"</definedName>
    <definedName name="IQ_TR_BID_DATE" hidden="1">"c2357"</definedName>
    <definedName name="IQ_TR_BLUESKY_FEES" hidden="1">"c2277"</definedName>
    <definedName name="IQ_TR_BUY_ACC_ADVISORS" hidden="1">"c3048"</definedName>
    <definedName name="IQ_TR_BUY_ADVISORS" hidden="1">"c2387"</definedName>
    <definedName name="IQ_TR_BUY_FIN_ADVISORS" hidden="1">"c3045"</definedName>
    <definedName name="IQ_TR_BUY_LEG_ADVISORS" hidden="1">"c2387"</definedName>
    <definedName name="IQ_TR_BUYER_ID" hidden="1">"c2404"</definedName>
    <definedName name="IQ_TR_BUYERNAME" hidden="1">"c2401"</definedName>
    <definedName name="IQ_TR_CANCELLED_DATE" hidden="1">"c2284"</definedName>
    <definedName name="IQ_TR_CASH_CONSID_PCT" hidden="1">"c2296"</definedName>
    <definedName name="IQ_TR_CASH_ST_INVEST" hidden="1">"c3025"</definedName>
    <definedName name="IQ_TR_CHANGE_CONTROL" hidden="1">"c2365"</definedName>
    <definedName name="IQ_TR_CLOSED_DATE" hidden="1">"c2283"</definedName>
    <definedName name="IQ_TR_CO_NET_PROCEEDS" hidden="1">"c2268"</definedName>
    <definedName name="IQ_TR_CO_NET_PROCEEDS_PCT" hidden="1">"c2270"</definedName>
    <definedName name="IQ_TR_COMMENTS" hidden="1">"c2383"</definedName>
    <definedName name="IQ_TR_CURRENCY" hidden="1">"c3016"</definedName>
    <definedName name="IQ_TR_DEAL_ATTITUDE" hidden="1">"c2364"</definedName>
    <definedName name="IQ_TR_DEAL_CONDITIONS" hidden="1">"c2367"</definedName>
    <definedName name="IQ_TR_DEAL_RESOLUTION" hidden="1">"c2391"</definedName>
    <definedName name="IQ_TR_DEAL_RESPONSES" hidden="1">"c2366"</definedName>
    <definedName name="IQ_TR_DEBT_CONSID_PCT" hidden="1">"c2299"</definedName>
    <definedName name="IQ_TR_DEF_AGRMT_DATE" hidden="1">"c2285"</definedName>
    <definedName name="IQ_TR_DISCLOSED_FEES_EXP" hidden="1">"c2288"</definedName>
    <definedName name="IQ_TR_EARNOUTS" hidden="1">"c3023"</definedName>
    <definedName name="IQ_TR_EXPIRED_DATE" hidden="1">"c2412"</definedName>
    <definedName name="IQ_TR_GROSS_OFFERING_AMT" hidden="1">"c2262"</definedName>
    <definedName name="IQ_TR_HYBRID_CONSID_PCT" hidden="1">"c2300"</definedName>
    <definedName name="IQ_TR_IMPLIED_EQ" hidden="1">"c3018"</definedName>
    <definedName name="IQ_TR_IMPLIED_EQ_BV" hidden="1">"c3019"</definedName>
    <definedName name="IQ_TR_IMPLIED_EQ_NI_LTM" hidden="1">"c3020"</definedName>
    <definedName name="IQ_TR_IMPLIED_EV" hidden="1">"c2301"</definedName>
    <definedName name="IQ_TR_IMPLIED_EV_BV" hidden="1">"c2306"</definedName>
    <definedName name="IQ_TR_IMPLIED_EV_EBIT" hidden="1">"c2302"</definedName>
    <definedName name="IQ_TR_IMPLIED_EV_EBITDA" hidden="1">"c2303"</definedName>
    <definedName name="IQ_TR_IMPLIED_EV_NI_LTM" hidden="1">"c2307"</definedName>
    <definedName name="IQ_TR_IMPLIED_EV_REV" hidden="1">"c2304"</definedName>
    <definedName name="IQ_TR_INIT_FILED_DATE" hidden="1">"c3495"</definedName>
    <definedName name="IQ_TR_LOI_DATE" hidden="1">"c2282"</definedName>
    <definedName name="IQ_TR_MAJ_MIN_STAKE" hidden="1">"c2389"</definedName>
    <definedName name="IQ_TR_NEGOTIATED_BUYBACK_PRICE" hidden="1">"c2414"</definedName>
    <definedName name="IQ_TR_NET_ASSUM_LIABILITIES" hidden="1">"c2308"</definedName>
    <definedName name="IQ_TR_NET_PROCEEDS" hidden="1">"c2267"</definedName>
    <definedName name="IQ_TR_OFFER_DATE" hidden="1">"c2265"</definedName>
    <definedName name="IQ_TR_OFFER_DATE_MA" hidden="1">"c3035"</definedName>
    <definedName name="IQ_TR_OFFER_PER_SHARE" hidden="1">"c3017"</definedName>
    <definedName name="IQ_TR_OPTIONS_CONSID_PCT" hidden="1">"c2311"</definedName>
    <definedName name="IQ_TR_OTHER_CONSID" hidden="1">"c3022"</definedName>
    <definedName name="IQ_TR_PCT_SOUGHT" hidden="1">"c2309"</definedName>
    <definedName name="IQ_TR_PFEATURES" hidden="1">"c2384"</definedName>
    <definedName name="IQ_TR_PIPE_CONV_PRICE_SHARE" hidden="1">"c2292"</definedName>
    <definedName name="IQ_TR_PIPE_CPN_PCT" hidden="1">"c2291"</definedName>
    <definedName name="IQ_TR_PIPE_NUMBER_SHARES" hidden="1">"c2293"</definedName>
    <definedName name="IQ_TR_PIPE_PPS" hidden="1">"c2290"</definedName>
    <definedName name="IQ_TR_POSTMONEY_VAL" hidden="1">"c2286"</definedName>
    <definedName name="IQ_TR_PREDEAL_SITUATION" hidden="1">"c2390"</definedName>
    <definedName name="IQ_TR_PREF_CONSID_PCT" hidden="1">"c2310"</definedName>
    <definedName name="IQ_TR_PREMONEY_VAL" hidden="1">"c2287"</definedName>
    <definedName name="IQ_TR_PRINTING_FEES" hidden="1">"c2276"</definedName>
    <definedName name="IQ_TR_PT_MONETARY_VALUES" hidden="1">"c2415"</definedName>
    <definedName name="IQ_TR_PT_NUMBER_SHARES" hidden="1">"c2417"</definedName>
    <definedName name="IQ_TR_PT_PCT_SHARES" hidden="1">"c2416"</definedName>
    <definedName name="IQ_TR_RATING_FEES" hidden="1">"c2275"</definedName>
    <definedName name="IQ_TR_REG_EFFECT_DATE" hidden="1">"c2264"</definedName>
    <definedName name="IQ_TR_REG_FILED_DATE" hidden="1">"c2263"</definedName>
    <definedName name="IQ_TR_RENEWAL_BUYBACK" hidden="1">"c2413"</definedName>
    <definedName name="IQ_TR_ROUND_NUMBER" hidden="1">"c2295"</definedName>
    <definedName name="IQ_TR_SEC_FEES" hidden="1">"c2274"</definedName>
    <definedName name="IQ_TR_SECURITY_TYPE_REG" hidden="1">"c2279"</definedName>
    <definedName name="IQ_TR_SELL_ACC_ADVISORS" hidden="1">"c3049"</definedName>
    <definedName name="IQ_TR_SELL_ADVISORS" hidden="1">"c2388"</definedName>
    <definedName name="IQ_TR_SELL_FIN_ADVISORS" hidden="1">"c3046"</definedName>
    <definedName name="IQ_TR_SELL_LEG_ADVISORS" hidden="1">"c2388"</definedName>
    <definedName name="IQ_TR_SELLER_ID" hidden="1">"c2406"</definedName>
    <definedName name="IQ_TR_SELLERNAME" hidden="1">"c2402"</definedName>
    <definedName name="IQ_TR_SFEATURES" hidden="1">"c2385"</definedName>
    <definedName name="IQ_TR_SH_NET_PROCEEDS" hidden="1">"c2269"</definedName>
    <definedName name="IQ_TR_SH_NET_PROCEEDS_PCT" hidden="1">"c2271"</definedName>
    <definedName name="IQ_TR_SPECIAL_COMMITTEE" hidden="1">"c2362"</definedName>
    <definedName name="IQ_TR_STATUS" hidden="1">"c2399"</definedName>
    <definedName name="IQ_TR_STOCK_CONSID_PCT" hidden="1">"c2312"</definedName>
    <definedName name="IQ_TR_SUBDEBT" hidden="1">"c2370"</definedName>
    <definedName name="IQ_TR_SUSPENDED_DATE" hidden="1">"c2407"</definedName>
    <definedName name="IQ_TR_TARGET_52WKHI_PCT" hidden="1">"c2351"</definedName>
    <definedName name="IQ_TR_TARGET_52WKLOW_PCT" hidden="1">"c2350"</definedName>
    <definedName name="IQ_TR_TARGET_ACC_ADVISORS" hidden="1">"c3047"</definedName>
    <definedName name="IQ_TR_TARGET_ADVISORS" hidden="1">"c2386"</definedName>
    <definedName name="IQ_TR_TARGET_CASH_ST_INVEST" hidden="1">"c2327"</definedName>
    <definedName name="IQ_TR_TARGET_CLOSEPRICE_1D" hidden="1">"c2352"</definedName>
    <definedName name="IQ_TR_TARGET_CLOSEPRICE_1M" hidden="1">"c2354"</definedName>
    <definedName name="IQ_TR_TARGET_CLOSEPRICE_1W" hidden="1">"c2353"</definedName>
    <definedName name="IQ_TR_TARGET_DILUT_EPS_EXCL" hidden="1">"c2324"</definedName>
    <definedName name="IQ_TR_TARGET_EARNING_CO" hidden="1">"c2332"</definedName>
    <definedName name="IQ_TR_TARGET_EBIT" hidden="1">"c2333"</definedName>
    <definedName name="IQ_TR_TARGET_EBITDA" hidden="1">"c2334"</definedName>
    <definedName name="IQ_TR_TARGET_FILING_CURRENCY" hidden="1">"c3034"</definedName>
    <definedName name="IQ_TR_TARGET_FIN_ADVISORS" hidden="1">"c3044"</definedName>
    <definedName name="IQ_TR_TARGET_ID" hidden="1">"c2405"</definedName>
    <definedName name="IQ_TR_TARGET_LEG_ADVISORS" hidden="1">"c2386"</definedName>
    <definedName name="IQ_TR_TARGET_MARKETCAP" hidden="1">"c2342"</definedName>
    <definedName name="IQ_TR_TARGET_MIN_INT" hidden="1">"c2328"</definedName>
    <definedName name="IQ_TR_TARGET_NET_DEBT" hidden="1">"c2326"</definedName>
    <definedName name="IQ_TR_TARGET_NI" hidden="1">"c2331"</definedName>
    <definedName name="IQ_TR_TARGET_PRICEDATE_1D" hidden="1">"c2341"</definedName>
    <definedName name="IQ_TR_TARGET_RETURN" hidden="1">"c2355"</definedName>
    <definedName name="IQ_TR_TARGET_SEC_DETAIL" hidden="1">"c3021"</definedName>
    <definedName name="IQ_TR_TARGET_SEC_TI_ID" hidden="1">"c2368"</definedName>
    <definedName name="IQ_TR_TARGET_SEC_TYPE" hidden="1">"c2369"</definedName>
    <definedName name="IQ_TR_TARGET_SPD" hidden="1">"c2313"</definedName>
    <definedName name="IQ_TR_TARGET_SPD_PCT" hidden="1">"c2314"</definedName>
    <definedName name="IQ_TR_TARGET_STOCKPREMIUM_1D" hidden="1">"c2336"</definedName>
    <definedName name="IQ_TR_TARGET_STOCKPREMIUM_1M" hidden="1">"c2337"</definedName>
    <definedName name="IQ_TR_TARGET_STOCKPREMIUM_1W" hidden="1">"c2338"</definedName>
    <definedName name="IQ_TR_TARGET_STOCKYEARHIGH_1D" hidden="1">"c2339"</definedName>
    <definedName name="IQ_TR_TARGET_STOCKYEARLOW_1D" hidden="1">"c2340"</definedName>
    <definedName name="IQ_TR_TARGET_TOTAL_ASSETS" hidden="1">"c2325"</definedName>
    <definedName name="IQ_TR_TARGET_TOTAL_COMMON_EQ" hidden="1">"c2421"</definedName>
    <definedName name="IQ_TR_TARGET_TOTAL_DEBT" hidden="1">"c2330"</definedName>
    <definedName name="IQ_TR_TARGET_TOTAL_PREF" hidden="1">"c2329"</definedName>
    <definedName name="IQ_TR_TARGET_TOTAL_REV" hidden="1">"c2335"</definedName>
    <definedName name="IQ_TR_TARGETNAME" hidden="1">"c2403"</definedName>
    <definedName name="IQ_TR_TERM_FEE" hidden="1">"c2298"</definedName>
    <definedName name="IQ_TR_TERM_FEE_PCT" hidden="1">"c2297"</definedName>
    <definedName name="IQ_TR_TODATE" hidden="1">"c3036"</definedName>
    <definedName name="IQ_TR_TODATE_MONETARY_VALUE" hidden="1">"c2418"</definedName>
    <definedName name="IQ_TR_TODATE_NUMBER_SHARES" hidden="1">"c2420"</definedName>
    <definedName name="IQ_TR_TODATE_PCT_SHARES" hidden="1">"c2419"</definedName>
    <definedName name="IQ_TR_TOTAL_ACCT_FEES" hidden="1">"c2273"</definedName>
    <definedName name="IQ_TR_TOTAL_CASH" hidden="1">"c2315"</definedName>
    <definedName name="IQ_TR_TOTAL_CONSID_SH" hidden="1">"c2316"</definedName>
    <definedName name="IQ_TR_TOTAL_DEBT" hidden="1">"c2317"</definedName>
    <definedName name="IQ_TR_TOTAL_GROSS_TV" hidden="1">"c2318"</definedName>
    <definedName name="IQ_TR_TOTAL_HYBRID" hidden="1">"c2319"</definedName>
    <definedName name="IQ_TR_TOTAL_LEGAL_FEES" hidden="1">"c2272"</definedName>
    <definedName name="IQ_TR_TOTAL_NET_TV" hidden="1">"c2320"</definedName>
    <definedName name="IQ_TR_TOTAL_NEWMONEY" hidden="1">"c2289"</definedName>
    <definedName name="IQ_TR_TOTAL_OPTIONS" hidden="1">"c2322"</definedName>
    <definedName name="IQ_TR_TOTAL_OPTIONS_BUYER" hidden="1">"c3026"</definedName>
    <definedName name="IQ_TR_TOTAL_PREFERRED" hidden="1">"c2321"</definedName>
    <definedName name="IQ_TR_TOTAL_REG_AMT" hidden="1">"c2261"</definedName>
    <definedName name="IQ_TR_TOTAL_STOCK" hidden="1">"c2323"</definedName>
    <definedName name="IQ_TR_TOTAL_TAKEDOWNS" hidden="1">"c2278"</definedName>
    <definedName name="IQ_TR_TOTAL_UW_COMP" hidden="1">"c2280"</definedName>
    <definedName name="IQ_TR_TOTALVALUE" hidden="1">"c2400"</definedName>
    <definedName name="IQ_TR_TRANSACTION_TYPE" hidden="1">"c2398"</definedName>
    <definedName name="IQ_TR_WITHDRAWN_DTE" hidden="1">"c2266"</definedName>
    <definedName name="IQ_TRADE_AR" hidden="1">"c40"</definedName>
    <definedName name="IQ_TRADE_PRINCIPAL" hidden="1">"c1309"</definedName>
    <definedName name="IQ_TRADING_ACCOUNT_GAINS_FEES_FDIC" hidden="1">"c6573"</definedName>
    <definedName name="IQ_TRADING_ASSETS" hidden="1">"c1310"</definedName>
    <definedName name="IQ_TRADING_ASSETS_FDIC" hidden="1">"c6328"</definedName>
    <definedName name="IQ_TRADING_CURRENCY" hidden="1">"c2212"</definedName>
    <definedName name="IQ_TRADING_LIABILITIES_FDIC" hidden="1">"c6344"</definedName>
    <definedName name="IQ_TRANSACTION_ACCOUNTS_FDIC" hidden="1">"c6544"</definedName>
    <definedName name="IQ_TREASURY" hidden="1">"c1311"</definedName>
    <definedName name="IQ_TREASURY_OTHER_EQUITY" hidden="1">"c1312"</definedName>
    <definedName name="IQ_TREASURY_OTHER_EQUITY_BNK" hidden="1">"c1313"</definedName>
    <definedName name="IQ_TREASURY_OTHER_EQUITY_BR" hidden="1">"c1314"</definedName>
    <definedName name="IQ_TREASURY_OTHER_EQUITY_FIN" hidden="1">"c1315"</definedName>
    <definedName name="IQ_TREASURY_OTHER_EQUITY_INS" hidden="1">"c1316"</definedName>
    <definedName name="IQ_TREASURY_OTHER_EQUITY_REIT" hidden="1">"c1317"</definedName>
    <definedName name="IQ_TREASURY_OTHER_EQUITY_UTI" hidden="1">"c1318"</definedName>
    <definedName name="IQ_TREASURY_STOCK" hidden="1">"c1311"</definedName>
    <definedName name="IQ_TREASURY_STOCK_TRANSACTIONS_FDIC" hidden="1">"c6501"</definedName>
    <definedName name="IQ_TRUST_INC" hidden="1">"c1319"</definedName>
    <definedName name="IQ_TRUST_PREF" hidden="1">"c1320"</definedName>
    <definedName name="IQ_TRUST_PREFERRED" hidden="1">"c3029"</definedName>
    <definedName name="IQ_TRUST_PREFERRED_PCT" hidden="1">"c3030"</definedName>
    <definedName name="IQ_TWELVE_MONTHS_FIXED_AND_FLOATING_FDIC" hidden="1">"c6420"</definedName>
    <definedName name="IQ_TWELVE_MONTHS_MORTGAGE_PASS_THROUGHS_FDIC" hidden="1">"c6412"</definedName>
    <definedName name="IQ_UFCF_10YR_ANN_GROWTH" hidden="1">"c1948"</definedName>
    <definedName name="IQ_UFCF_1YR_ANN_GROWTH" hidden="1">"c1943"</definedName>
    <definedName name="IQ_UFCF_2YR_ANN_GROWTH" hidden="1">"c1944"</definedName>
    <definedName name="IQ_UFCF_3YR_ANN_GROWTH" hidden="1">"c1945"</definedName>
    <definedName name="IQ_UFCF_5YR_ANN_GROWTH" hidden="1">"c1946"</definedName>
    <definedName name="IQ_UFCF_7YR_ANN_GROWTH" hidden="1">"c1947"</definedName>
    <definedName name="IQ_UFCF_MARGIN" hidden="1">"c1962"</definedName>
    <definedName name="IQ_UNAMORT_DISC" hidden="1">"c2513"</definedName>
    <definedName name="IQ_UNAMORT_DISC_PCT" hidden="1">"c2514"</definedName>
    <definedName name="IQ_UNAMORT_PREMIUM" hidden="1">"c2511"</definedName>
    <definedName name="IQ_UNAMORT_PREMIUM_PCT" hidden="1">"c2512"</definedName>
    <definedName name="IQ_UNDIVIDED_PROFITS_FDIC" hidden="1">"c6352"</definedName>
    <definedName name="IQ_UNDRAWN_CP" hidden="1">"c2518"</definedName>
    <definedName name="IQ_UNDRAWN_CREDIT" hidden="1">"c3032"</definedName>
    <definedName name="IQ_UNDRAWN_RC" hidden="1">"c2517"</definedName>
    <definedName name="IQ_UNDRAWN_TL" hidden="1">"c2519"</definedName>
    <definedName name="IQ_UNEARN_PREMIUM" hidden="1">"c1321"</definedName>
    <definedName name="IQ_UNEARN_REV_CURRENT" hidden="1">"c1322"</definedName>
    <definedName name="IQ_UNEARN_REV_CURRENT_BNK" hidden="1">"c1323"</definedName>
    <definedName name="IQ_UNEARN_REV_CURRENT_BR" hidden="1">"c1324"</definedName>
    <definedName name="IQ_UNEARN_REV_CURRENT_FIN" hidden="1">"c1325"</definedName>
    <definedName name="IQ_UNEARN_REV_CURRENT_INS" hidden="1">"c1326"</definedName>
    <definedName name="IQ_UNEARN_REV_CURRENT_REIT" hidden="1">"c1327"</definedName>
    <definedName name="IQ_UNEARN_REV_CURRENT_UTI" hidden="1">"c1328"</definedName>
    <definedName name="IQ_UNEARN_REV_LT" hidden="1">"c1329"</definedName>
    <definedName name="IQ_UNEARNED_INCOME_FDIC" hidden="1">"c6324"</definedName>
    <definedName name="IQ_UNEARNED_INCOME_FOREIGN_FDIC" hidden="1">"c6385"</definedName>
    <definedName name="IQ_UNLEVERED_FCF" hidden="1">"c1908"</definedName>
    <definedName name="IQ_UNPAID_CLAIMS" hidden="1">"c1330"</definedName>
    <definedName name="IQ_UNPROFITABLE_INSTITUTIONS_FDIC" hidden="1">"c6722"</definedName>
    <definedName name="IQ_UNREALIZED_GAIN" hidden="1">"c1619"</definedName>
    <definedName name="IQ_UNSECURED_DEBT" hidden="1">"c2548"</definedName>
    <definedName name="IQ_UNSECURED_DEBT_PCT" hidden="1">"c2549"</definedName>
    <definedName name="IQ_UNUSED_LOAN_COMMITMENTS_FDIC" hidden="1">"c6368"</definedName>
    <definedName name="IQ_UNUSUAL_EXP" hidden="1">"c1456"</definedName>
    <definedName name="IQ_US_BRANCHES_FOREIGN_BANK_LOANS_FDIC" hidden="1">"c6435"</definedName>
    <definedName name="IQ_US_BRANCHES_FOREIGN_BANKS_FDIC" hidden="1">"c6390"</definedName>
    <definedName name="IQ_US_GAAP" hidden="1">"c1331"</definedName>
    <definedName name="IQ_US_GAAP_BASIC_EPS_EXCL" hidden="1">"c2984"</definedName>
    <definedName name="IQ_US_GAAP_BASIC_EPS_INCL" hidden="1">"c2982"</definedName>
    <definedName name="IQ_US_GAAP_BASIC_WEIGHT" hidden="1">"c2980"</definedName>
    <definedName name="IQ_US_GAAP_CA" hidden="1">"c2930"</definedName>
    <definedName name="IQ_US_GAAP_CA_ADJ" hidden="1">"c2925"</definedName>
    <definedName name="IQ_US_GAAP_CASH_FINAN" hidden="1">"c2945"</definedName>
    <definedName name="IQ_US_GAAP_CASH_FINAN_ADJ" hidden="1">"c2941"</definedName>
    <definedName name="IQ_US_GAAP_CASH_INVEST" hidden="1">"c2944"</definedName>
    <definedName name="IQ_US_GAAP_CASH_INVEST_ADJ" hidden="1">"c2940"</definedName>
    <definedName name="IQ_US_GAAP_CASH_OPER" hidden="1">"c2943"</definedName>
    <definedName name="IQ_US_GAAP_CASH_OPER_ADJ" hidden="1">"c2939"</definedName>
    <definedName name="IQ_US_GAAP_CL" hidden="1">"c2932"</definedName>
    <definedName name="IQ_US_GAAP_CL_ADJ" hidden="1">"c2927"</definedName>
    <definedName name="IQ_US_GAAP_COST_REV" hidden="1">"c2965"</definedName>
    <definedName name="IQ_US_GAAP_COST_REV_ADJ" hidden="1">"c2951"</definedName>
    <definedName name="IQ_US_GAAP_DILUT_EPS_EXCL" hidden="1">"c2985"</definedName>
    <definedName name="IQ_US_GAAP_DILUT_EPS_INCL" hidden="1">"c2983"</definedName>
    <definedName name="IQ_US_GAAP_DILUT_NI" hidden="1">"c2979"</definedName>
    <definedName name="IQ_US_GAAP_DILUT_WEIGHT" hidden="1">"c2981"</definedName>
    <definedName name="IQ_US_GAAP_DO" hidden="1">"c2973"</definedName>
    <definedName name="IQ_US_GAAP_DO_ADJ" hidden="1">"c2959"</definedName>
    <definedName name="IQ_US_GAAP_EXTRA_ACC_ITEMS" hidden="1">"c2972"</definedName>
    <definedName name="IQ_US_GAAP_EXTRA_ACC_ITEMS_ADJ" hidden="1">"c2958"</definedName>
    <definedName name="IQ_US_GAAP_INC_TAX" hidden="1">"c2975"</definedName>
    <definedName name="IQ_US_GAAP_INC_TAX_ADJ" hidden="1">"c2961"</definedName>
    <definedName name="IQ_US_GAAP_INTEREST_EXP" hidden="1">"c2971"</definedName>
    <definedName name="IQ_US_GAAP_INTEREST_EXP_ADJ" hidden="1">"c2957"</definedName>
    <definedName name="IQ_US_GAAP_LIAB_LT" hidden="1">"c2933"</definedName>
    <definedName name="IQ_US_GAAP_LIAB_LT_ADJ" hidden="1">"c2928"</definedName>
    <definedName name="IQ_US_GAAP_LIAB_TOTAL_LIAB" hidden="1">"c2933"</definedName>
    <definedName name="IQ_US_GAAP_MINORITY_INTEREST_IS" hidden="1">"c2974"</definedName>
    <definedName name="IQ_US_GAAP_MINORITY_INTEREST_IS_ADJ" hidden="1">"c2960"</definedName>
    <definedName name="IQ_US_GAAP_NCA" hidden="1">"c2931"</definedName>
    <definedName name="IQ_US_GAAP_NCA_ADJ" hidden="1">"c2926"</definedName>
    <definedName name="IQ_US_GAAP_NET_CHANGE" hidden="1">"c2946"</definedName>
    <definedName name="IQ_US_GAAP_NET_CHANGE_ADJ" hidden="1">"c2942"</definedName>
    <definedName name="IQ_US_GAAP_NI" hidden="1">"c2976"</definedName>
    <definedName name="IQ_US_GAAP_NI_ADJ" hidden="1">"c2963"</definedName>
    <definedName name="IQ_US_GAAP_NI_AVAIL_EXCL" hidden="1">"c2977"</definedName>
    <definedName name="IQ_US_GAAP_NI_AVAIL_INCL" hidden="1">"c2978"</definedName>
    <definedName name="IQ_US_GAAP_OTHER_ADJ_ADJ" hidden="1">"c2962"</definedName>
    <definedName name="IQ_US_GAAP_OTHER_NON_OPER" hidden="1">"c2969"</definedName>
    <definedName name="IQ_US_GAAP_OTHER_NON_OPER_ADJ" hidden="1">"c2955"</definedName>
    <definedName name="IQ_US_GAAP_OTHER_OPER" hidden="1">"c2968"</definedName>
    <definedName name="IQ_US_GAAP_OTHER_OPER_ADJ" hidden="1">"c2954"</definedName>
    <definedName name="IQ_US_GAAP_RD" hidden="1">"c2967"</definedName>
    <definedName name="IQ_US_GAAP_RD_ADJ" hidden="1">"c2953"</definedName>
    <definedName name="IQ_US_GAAP_SGA" hidden="1">"c2966"</definedName>
    <definedName name="IQ_US_GAAP_SGA_ADJ" hidden="1">"c2952"</definedName>
    <definedName name="IQ_US_GAAP_TOTAL_ASSETS" hidden="1">"c2931"</definedName>
    <definedName name="IQ_US_GAAP_TOTAL_EQUITY" hidden="1">"c2934"</definedName>
    <definedName name="IQ_US_GAAP_TOTAL_EQUITY_ADJ" hidden="1">"c2929"</definedName>
    <definedName name="IQ_US_GAAP_TOTAL_REV" hidden="1">"c2964"</definedName>
    <definedName name="IQ_US_GAAP_TOTAL_REV_ADJ" hidden="1">"c2950"</definedName>
    <definedName name="IQ_US_GAAP_TOTAL_UNUSUAL" hidden="1">"c2970"</definedName>
    <definedName name="IQ_US_GAAP_TOTAL_UNUSUAL_ADJ" hidden="1">"c2956"</definedName>
    <definedName name="IQ_US_GOV_AGENCIES_FDIC" hidden="1">"c6395"</definedName>
    <definedName name="IQ_US_GOV_DEPOSITS_FDIC" hidden="1">"c6483"</definedName>
    <definedName name="IQ_US_GOV_ENTERPRISES_FDIC" hidden="1">"c6396"</definedName>
    <definedName name="IQ_US_GOV_NONCURRENT_LOANS_TOTAL_NONCURRENT_FDIC" hidden="1">"c6779"</definedName>
    <definedName name="IQ_US_GOV_NONTRANSACTION_ACCOUNTS_FDIC" hidden="1">"c6546"</definedName>
    <definedName name="IQ_US_GOV_OBLIGATIONS_FDIC" hidden="1">"c6299"</definedName>
    <definedName name="IQ_US_GOV_SECURITIES_FDIC" hidden="1">"c6297"</definedName>
    <definedName name="IQ_US_GOV_TOTAL_DEPOSITS_FDIC" hidden="1">"c6472"</definedName>
    <definedName name="IQ_US_GOV_TRANSACTION_ACCOUNTS_FDIC" hidden="1">"c6538"</definedName>
    <definedName name="IQ_US_TREASURY_SECURITIES_FDIC" hidden="1">"c6298"</definedName>
    <definedName name="IQ_UTIL_PPE_NET" hidden="1">"c1620"</definedName>
    <definedName name="IQ_UTIL_REV" hidden="1">"c2091"</definedName>
    <definedName name="IQ_UV_PENSION_LIAB" hidden="1">"c1332"</definedName>
    <definedName name="IQ_VALUATION_ALLOWANCES_FDIC" hidden="1">"c6400"</definedName>
    <definedName name="IQ_VALUE_TRADED_LAST_3MTH" hidden="1">"c1530"</definedName>
    <definedName name="IQ_VALUE_TRADED_LAST_6MTH" hidden="1">"c1531"</definedName>
    <definedName name="IQ_VALUE_TRADED_LAST_MTH" hidden="1">"c1529"</definedName>
    <definedName name="IQ_VALUE_TRADED_LAST_WK" hidden="1">"c1528"</definedName>
    <definedName name="IQ_VALUE_TRADED_LAST_YR" hidden="1">"c1532"</definedName>
    <definedName name="IQ_VC_REVENUE_FDIC" hidden="1">"c6667"</definedName>
    <definedName name="IQ_VOL_LAST_3MTH" hidden="1">"c1525"</definedName>
    <definedName name="IQ_VOL_LAST_6MTH" hidden="1">"c1526"</definedName>
    <definedName name="IQ_VOL_LAST_MTH" hidden="1">"c1524"</definedName>
    <definedName name="IQ_VOL_LAST_WK" hidden="1">"c1523"</definedName>
    <definedName name="IQ_VOL_LAST_YR" hidden="1">"c1527"</definedName>
    <definedName name="IQ_VOLATILE_LIABILITIES_FDIC" hidden="1">"c6364"</definedName>
    <definedName name="IQ_VOLUME" hidden="1">"c1333"</definedName>
    <definedName name="IQ_WARRANTS_BEG_OS" hidden="1">"c2698"</definedName>
    <definedName name="IQ_WARRANTS_CANCELLED" hidden="1">"c2701"</definedName>
    <definedName name="IQ_WARRANTS_END_OS" hidden="1">"c2702"</definedName>
    <definedName name="IQ_WARRANTS_EXERCISED" hidden="1">"c2700"</definedName>
    <definedName name="IQ_WARRANTS_ISSUED" hidden="1">"c2699"</definedName>
    <definedName name="IQ_WARRANTS_STRIKE_PRICE_ISSUED" hidden="1">"c2704"</definedName>
    <definedName name="IQ_WARRANTS_STRIKE_PRICE_OS" hidden="1">"c2703"</definedName>
    <definedName name="IQ_WEEK">50000</definedName>
    <definedName name="IQ_WEIGHTED_AVG_PRICE" hidden="1">"c1334"</definedName>
    <definedName name="IQ_WIP_INV" hidden="1">"c1335"</definedName>
    <definedName name="IQ_WORKING_CAP" hidden="1">"c3494"</definedName>
    <definedName name="IQ_WORKMEN_WRITTEN" hidden="1">"c1336"</definedName>
    <definedName name="IQ_WRITTEN_OPTION_CONTRACTS_FDIC" hidden="1">"c6509"</definedName>
    <definedName name="IQ_WRITTEN_OPTION_CONTRACTS_FX_RISK_FDIC" hidden="1">"c6514"</definedName>
    <definedName name="IQ_WRITTEN_OPTION_CONTRACTS_NON_FX_IR_FDIC" hidden="1">"c6519"</definedName>
    <definedName name="IQ_XDIV_DATE" hidden="1">"c2104"</definedName>
    <definedName name="IQ_YEARHIGH" hidden="1">"c1337"</definedName>
    <definedName name="IQ_YEARHIGH_DATE" hidden="1">"c2250"</definedName>
    <definedName name="IQ_YEARLOW" hidden="1">"c1338"</definedName>
    <definedName name="IQ_YEARLOW_DATE" hidden="1">"c2251"</definedName>
    <definedName name="IQ_YTD">3000</definedName>
    <definedName name="IQ_YTDMONTH" hidden="1">130000</definedName>
    <definedName name="IQ_Z_SCORE" hidden="1">"c1339"</definedName>
    <definedName name="IQRA8" hidden="1">"$A$9:$A$260"</definedName>
    <definedName name="IQRAF16" hidden="1">"$AF$17:$AF$268"</definedName>
    <definedName name="IQRAF17" hidden="1">"$AF$18:$AF$269"</definedName>
    <definedName name="IQRB14" hidden="1">"$B$15:$B$518"</definedName>
    <definedName name="IQRB16" hidden="1">"$B$17:$B$520"</definedName>
    <definedName name="IQRB17" hidden="1">"$B$18:$B$80"</definedName>
    <definedName name="IQRB18" hidden="1">"$B$19:$B$522"</definedName>
    <definedName name="IQRB8" hidden="1">"$B$9:$B$260"</definedName>
    <definedName name="IQRBB17" hidden="1">"$BB$18:$BB$1299"</definedName>
    <definedName name="IQRC14" hidden="1">"$C$15:$C$119"</definedName>
    <definedName name="IQRC5" hidden="1">"$C$6:$C$70"</definedName>
    <definedName name="IQRC8" hidden="1">"$C$9:$C$260"</definedName>
    <definedName name="IQRD14" hidden="1">"$D$15:$D$38"</definedName>
    <definedName name="IQRD5" hidden="1">"$D$6:$D$70"</definedName>
    <definedName name="IQRE5" hidden="1">"$E$6:$E$70"</definedName>
    <definedName name="IQRF5" hidden="1">"$F$6:$F$70"</definedName>
    <definedName name="IQRG41" hidden="1">"$G$42:$G$1300"</definedName>
    <definedName name="IQRG5" hidden="1">"$G$6:$G$70"</definedName>
    <definedName name="IQRHistoricMultiplesAR9" hidden="1">#REF!</definedName>
    <definedName name="IQRHistoricMultiplesAW9" hidden="1">#REF!</definedName>
    <definedName name="IQRHistoricMultiplesBB9" hidden="1">#REF!</definedName>
    <definedName name="IQRHistoricMultiplesBG9" hidden="1">#REF!</definedName>
    <definedName name="IQRHistoricMultiplesBL9" hidden="1">#REF!</definedName>
    <definedName name="IQRHistoricMultiplesBQ9" hidden="1">#REF!</definedName>
    <definedName name="IQRHistoricMultiplesBV9" hidden="1">#REF!</definedName>
    <definedName name="IQRHistoricMultiplesCA9" hidden="1">#REF!</definedName>
    <definedName name="IQRHistoricMultiplesCF9" hidden="1">#REF!</definedName>
    <definedName name="IQRHistoricMultiplesCK9" hidden="1">#REF!</definedName>
    <definedName name="IQRIPOAF12" hidden="1">#REF!</definedName>
    <definedName name="IQRIPOAF13" hidden="1">#REF!</definedName>
    <definedName name="IQRIPOAF14" hidden="1">[8]IPO!#REF!</definedName>
    <definedName name="IQRIPOAF15" hidden="1">#REF!</definedName>
    <definedName name="IQRIPOAF16" hidden="1">#REF!</definedName>
    <definedName name="IQRIPOAF17" hidden="1">#REF!</definedName>
    <definedName name="IQRIPOAF18" hidden="1">#REF!</definedName>
    <definedName name="IQRIPOAF19" hidden="1">#REF!</definedName>
    <definedName name="IQRIPOAF20" hidden="1">#REF!</definedName>
    <definedName name="IQRIPOAF21" hidden="1">#REF!</definedName>
    <definedName name="IQRIPOAF22" hidden="1">#REF!</definedName>
    <definedName name="IQRIPOAF23" hidden="1">#REF!</definedName>
    <definedName name="IQRIPOAF24" hidden="1">#REF!</definedName>
    <definedName name="IQRIPOAF25" hidden="1">[8]IPO!#REF!</definedName>
    <definedName name="IQRIPOAF26" hidden="1">#REF!</definedName>
    <definedName name="IQRIPOAF27" hidden="1">#REF!</definedName>
    <definedName name="IQRIPOAF28" hidden="1">#REF!</definedName>
    <definedName name="IQRIPOAF29" hidden="1">[8]IPO!#REF!</definedName>
    <definedName name="IQRK9" hidden="1">"$K$10:$K$1268"</definedName>
    <definedName name="IQRT22" hidden="1">"$T$23:$T$32"</definedName>
    <definedName name="IQRU14" hidden="1">"$U$15:$U$266"</definedName>
    <definedName name="IsColHidden" hidden="1">FALSE</definedName>
    <definedName name="IsLTMColHidden" hidden="1">FALSE</definedName>
    <definedName name="kin" hidden="1">#REF!</definedName>
    <definedName name="Knowcraft">'[9]List Data'!$D$5:$D$14</definedName>
    <definedName name="Ledger_Code" hidden="1">" "</definedName>
    <definedName name="Ledger_Selection" hidden="1">" "</definedName>
    <definedName name="limcount" hidden="1">2</definedName>
    <definedName name="lin" hidden="1">#REF!</definedName>
    <definedName name="ListOffset" hidden="1">1</definedName>
    <definedName name="MCareSeq" localSheetId="61">[4]A1!$P$10</definedName>
    <definedName name="MCareSeq">'A1'!$P$10</definedName>
    <definedName name="medmult" hidden="1">#REF!</definedName>
    <definedName name="Month_ID" hidden="1">" "</definedName>
    <definedName name="Niche_Industry_1">'[9]List Data'!$J$5:$J$30</definedName>
    <definedName name="Niche_Industry_2">'[9]List Data'!$K$5:$K$30</definedName>
    <definedName name="NonAcute" localSheetId="61">[4]A1!$AK$9</definedName>
    <definedName name="NonAcute">'A1'!$AK$9</definedName>
    <definedName name="o" hidden="1">{#N/A,#N/A,FALSE,"New Depr Sch-150% DB";#N/A,#N/A,FALSE,"Cash Flows RLP";#N/A,#N/A,FALSE,"IRR";#N/A,#N/A,FALSE,"Proforma IS";#N/A,#N/A,FALSE,"Assumptions"}</definedName>
    <definedName name="Ownership" hidden="1">OFFSET([7]!Data.Top.Left,1,0)</definedName>
    <definedName name="Partnering" localSheetId="61">[4]A1!$Q$2</definedName>
    <definedName name="Partnering">'A1'!$Q$2</definedName>
    <definedName name="Primary_Industry">'[9]List Data'!$I$5:$I$14</definedName>
    <definedName name="_xlnm.Print_Area" localSheetId="58">'2018 Patient Count'!$A$1:$T$15</definedName>
    <definedName name="_xlnm.Print_Area" localSheetId="7">'A1'!$A$1:$AA$78</definedName>
    <definedName name="_xlnm.Print_Area" localSheetId="8">'A2'!$A$1:$R$72</definedName>
    <definedName name="_xlnm.Print_Area" localSheetId="9">'A3'!$A$1:$T$72</definedName>
    <definedName name="_xlnm.Print_Area" localSheetId="11">'A5'!$A$1:$Q$43</definedName>
    <definedName name="_xlnm.Print_Area" localSheetId="35">ApndxA1!$A$1:$T$46</definedName>
    <definedName name="_xlnm.Print_Area" localSheetId="36">ApndxA2!$A$1:$N$40</definedName>
    <definedName name="_xlnm.Print_Area" localSheetId="37">ApndxA3!$A$1:$N$33</definedName>
    <definedName name="_xlnm.Print_Area" localSheetId="38">ApndxB1!$A$1:$AG$46</definedName>
    <definedName name="_xlnm.Print_Area" localSheetId="39">ApndxB2!$A$1:$AG$49</definedName>
    <definedName name="_xlnm.Print_Area" localSheetId="40">ApndxB3!$A$1:$AG$41</definedName>
    <definedName name="_xlnm.Print_Area" localSheetId="41">ApndxB4!$A$1:$AG$31</definedName>
    <definedName name="_xlnm.Print_Area" localSheetId="42">ApndxB5!$A$1:$T$39</definedName>
    <definedName name="_xlnm.Print_Area" localSheetId="43">ApndxB6!$A$1:$AF$39</definedName>
    <definedName name="_xlnm.Print_Area" localSheetId="13">'B1'!$A$1:$AI$58</definedName>
    <definedName name="_xlnm.Print_Area" localSheetId="14">'B2'!$A$1:$P$48</definedName>
    <definedName name="_xlnm.Print_Area" localSheetId="15">'C1'!$A$1:$AE$39</definedName>
    <definedName name="_xlnm.Print_Area" localSheetId="24">'C10'!$A$1:$O$66</definedName>
    <definedName name="_xlnm.Print_Area" localSheetId="25">'C11'!$A$1:$P$46</definedName>
    <definedName name="_xlnm.Print_Area" localSheetId="26">'C12'!$A$1:$L$28</definedName>
    <definedName name="_xlnm.Print_Area" localSheetId="16">'C2'!$A$1:$AE$39</definedName>
    <definedName name="_xlnm.Print_Area" localSheetId="17">'C3'!$A$1:$AE$39</definedName>
    <definedName name="_xlnm.Print_Area" localSheetId="18">'C4'!$A$1:$AE$39</definedName>
    <definedName name="_xlnm.Print_Area" localSheetId="20">'C5'!$A$1:$AE$31</definedName>
    <definedName name="_xlnm.Print_Area" localSheetId="19">'C6'!$A$1:$O$51</definedName>
    <definedName name="_xlnm.Print_Area" localSheetId="21">'C7'!$A$1:$AE$78</definedName>
    <definedName name="_xlnm.Print_Area" localSheetId="22">'C8'!$A$1:$AE$72</definedName>
    <definedName name="_xlnm.Print_Area" localSheetId="23">'C9'!$A$1:$AE$15</definedName>
    <definedName name="_xlnm.Print_Area" localSheetId="27">'D1'!$A$1:$O$39</definedName>
    <definedName name="_xlnm.Print_Area" localSheetId="28">'D2'!$A$1:$M$40</definedName>
    <definedName name="_xlnm.Print_Area" localSheetId="29">'D3'!$A$1:$S$66</definedName>
    <definedName name="_xlnm.Print_Area" localSheetId="30">'D4'!$A$1:$M$33</definedName>
    <definedName name="_xlnm.Print_Area" localSheetId="31">'D5'!$A$1:$N$37</definedName>
    <definedName name="_xlnm.Print_Area" localSheetId="32">'D6'!$A$1:$N$34</definedName>
    <definedName name="_xlnm.Print_Area" localSheetId="33">'D7'!$A$1:$N$34</definedName>
    <definedName name="_xlnm.Print_Area" localSheetId="34">'D8'!$A$1:$U$31</definedName>
    <definedName name="_xlnm.Print_Area" localSheetId="46">'M1'!$A$1:$M$53</definedName>
    <definedName name="_xlnm.Print_Area" localSheetId="47">'M2'!$A$1:$S$46</definedName>
    <definedName name="_xlnm.Print_Area" localSheetId="48">'M3'!$A$1:$Q$46</definedName>
    <definedName name="_xlnm.Print_Area" localSheetId="49">'M4'!$A$1:$O$42</definedName>
    <definedName name="_xlnm.Print_Area" localSheetId="50">'M5'!$A$1:$M$51</definedName>
    <definedName name="_xlnm.Print_Area" localSheetId="6">MainOutline!$A$1:$L$68</definedName>
    <definedName name="_xlnm.Print_Area" localSheetId="45">OutlineM!$A$1:$L$48</definedName>
    <definedName name="_xlnm.Print_Area" localSheetId="52">OutlineP!$A$1:$L$47</definedName>
    <definedName name="_xlnm.Print_Area" localSheetId="53">'P1'!$A$1:$M$53</definedName>
    <definedName name="_xlnm.Print_Area" localSheetId="54">'P2'!$A$1:$S$46</definedName>
    <definedName name="_xlnm.Print_Area" localSheetId="55">'P3'!$A$1:$Q$48</definedName>
    <definedName name="_xlnm.Print_Area" localSheetId="56">'P4'!$A$1:$N$26</definedName>
    <definedName name="_xlnm.Print_Area" localSheetId="5">Title!$A$1:$G$22</definedName>
    <definedName name="_xlnm.Print_Area" localSheetId="44">Title_Mngmnt!$A$1:$G$22</definedName>
    <definedName name="_xlnm.Print_Area" localSheetId="51">Title_Prtnr!$A$1:$G$24</definedName>
    <definedName name="Print_Area_Reset">OFFSET(Full_Print,0,0,Last_Row)</definedName>
    <definedName name="_xlnm.Print_Titles" localSheetId="35">ApndxA1!$A:$F</definedName>
    <definedName name="_xlnm.Print_Titles" localSheetId="36">ApndxA2!$A:$F</definedName>
    <definedName name="_xlnm.Print_Titles" localSheetId="37">ApndxA3!$A:$F</definedName>
    <definedName name="_xlnm.Print_Titles" localSheetId="38">ApndxB1!$A:$F</definedName>
    <definedName name="_xlnm.Print_Titles" localSheetId="39">ApndxB2!$A:$F</definedName>
    <definedName name="_xlnm.Print_Titles" localSheetId="40">ApndxB3!$A:$F</definedName>
    <definedName name="_xlnm.Print_Titles" localSheetId="41">ApndxB4!$A:$F</definedName>
    <definedName name="_xlnm.Print_Titles" localSheetId="42">ApndxB5!$A:$F</definedName>
    <definedName name="_xlnm.Print_Titles" localSheetId="43">ApndxB6!$A:$F</definedName>
    <definedName name="_xlnm.Print_Titles" localSheetId="13">'B1'!$A:$F</definedName>
    <definedName name="_xlnm.Print_Titles" localSheetId="59">'Historical Actuals'!$K:$S,'Historical Actuals'!$36:$46</definedName>
    <definedName name="_xlnm.Print_Titles" localSheetId="6">MainOutline!$1:$6</definedName>
    <definedName name="_xlnm.Print_Titles" localSheetId="45">OutlineM!$1:$5</definedName>
    <definedName name="_xlnm.Print_Titles" localSheetId="52">OutlineP!$1:$5</definedName>
    <definedName name="_xlnm.Print_Titles" localSheetId="1">TM1data!$36:$48</definedName>
    <definedName name="_xlnm.Print_Titles" localSheetId="0">TM1Live!$36:$48</definedName>
    <definedName name="_xlnm.Print_Titles" localSheetId="2">TM1used!$36:$48</definedName>
    <definedName name="regmult" hidden="1">#REF!</definedName>
    <definedName name="Report_Divisor" hidden="1">1000</definedName>
    <definedName name="Report_Divisor_000" hidden="1">1000000</definedName>
    <definedName name="Report_ID" hidden="1">"AL"</definedName>
    <definedName name="ReportMode" localSheetId="61">[4]MainOutline!$H$2</definedName>
    <definedName name="ReportMode">MainOutline!$H$2</definedName>
    <definedName name="SAPBEXrevision" hidden="1">1</definedName>
    <definedName name="SAPBEXsysID" hidden="1">"WBP"</definedName>
    <definedName name="SAPBEXwbID" hidden="1">"46FXCF2VEJGXTVSCM8SQ5T6I0"</definedName>
    <definedName name="SAPFuncF4Help" hidden="1">Main.SAPF4Help()</definedName>
    <definedName name="sdf" hidden="1">{#N/A,"A",FALSE,"DCF"}</definedName>
    <definedName name="sencount" hidden="1">2</definedName>
    <definedName name="Sheeet1" hidden="1">{#N/A,#N/A,FALSE,"Summary";#N/A,#N/A,FALSE,"Proforma";#N/A,#N/A,FALSE,"Tx"}</definedName>
    <definedName name="sheet" hidden="1">{#N/A,#N/A,FALSE,"Summary";#N/A,#N/A,FALSE,"Proforma";#N/A,#N/A,FALSE,"Tx"}</definedName>
    <definedName name="sheet1" hidden="1">{#N/A,#N/A,FALSE,"Summary";#N/A,#N/A,FALSE,"Proforma";#N/A,#N/A,FALSE,"Tx"}</definedName>
    <definedName name="solver_lin" hidden="1">0</definedName>
    <definedName name="solver_num" hidden="1">0</definedName>
    <definedName name="solver_typ" hidden="1">3</definedName>
    <definedName name="solver_val" hidden="1">0</definedName>
    <definedName name="t" hidden="1">{"bs",#N/A,FALSE,"SCF"}</definedName>
    <definedName name="TM1Live" localSheetId="61">[4]A1!$Q$3</definedName>
    <definedName name="TM1Live">'A1'!$Q$3</definedName>
    <definedName name="TM1REBUILDOPTION">0</definedName>
    <definedName name="Toggle_DB_Location" hidden="1">2</definedName>
    <definedName name="Toggle_Freeze_View" hidden="1">0</definedName>
    <definedName name="totcap" hidden="1">#REF!,#REF!,#REF!,#REF!</definedName>
    <definedName name="US_Analyst">'[9]List Data'!$C$5:$C$14</definedName>
    <definedName name="Valuation_Lead">'[9]List Data'!$B$5:$B$14</definedName>
    <definedName name="Version_Nbr" hidden="1">1</definedName>
    <definedName name="wrn.balance._.sheet." hidden="1">{"bs",#N/A,FALSE,"SCF"}</definedName>
    <definedName name="wrn.Basic._.Report." hidden="1">{#N/A,#N/A,FALSE,"New Depr Sch-150% DB";#N/A,#N/A,FALSE,"Cash Flows RLP";#N/A,#N/A,FALSE,"IRR";#N/A,#N/A,FALSE,"Proforma IS";#N/A,#N/A,FALSE,"Assumptions"}</definedName>
    <definedName name="wrn.clientcopy." hidden="1">{"Multiples_clientcopy",#N/A,FALSE,"Multiples";"Adjustments_clientcopy",#N/A,FALSE,"Adjustments to Multiples";"GrowthAdj_clientcopy",#N/A,FALSE,"Growth Adjustments";"RiskAdj_clientcopy",#N/A,FALSE,"Risk Adjustments ";"MarginAdj_clientcopy",#N/A,FALSE,"Margin Adjustments";"Regression_clientcopy",#N/A,FALSE,"Regression";"Ratios_clientcopy",#N/A,FALSE,"Ratios"}</definedName>
    <definedName name="wrn.Complete._.Report." hidden="1">{#N/A,#N/A,FALSE,"Assumptions";#N/A,#N/A,FALSE,"Proforma IS";#N/A,#N/A,FALSE,"Cash Flows RLP";#N/A,#N/A,FALSE,"IRR";#N/A,#N/A,FALSE,"New Depr Sch-150% DB";#N/A,#N/A,FALSE,"Comments"}</definedName>
    <definedName name="wrn.dcf." hidden="1">{#N/A,"A",FALSE,"DCF"}</definedName>
    <definedName name="wrn.exhibits." hidden="1">{#N/A,#N/A,FALSE,"IS";#N/A,#N/A,FALSE,"BS";#N/A,#N/A,FALSE,"RMA";#N/A,#N/A,FALSE,"INCOME";#N/A,#N/A,FALSE,"DCF";#N/A,#N/A,FALSE,"MARKET"}</definedName>
    <definedName name="wrn.File." hidden="1">{"Summary",#N/A,FALSE,"SUMMARYPP";"BS",#N/A,FALSE,"BS";"IS",#N/A,FALSE,"IS";"RMA",#N/A,FALSE,"RMA";"VL",#N/A,FALSE,"VL";#N/A,#N/A,FALSE,"WACC";"Adj IS",#N/A,FALSE,"ADJ IS";"DCF",#N/A,FALSE,"DCF";"wc",#N/A,FALSE,"WC";"Work",#N/A,FALSE,"WORKFORCE";"Software",#N/A,FALSE,"SOFTWARE";"Custlif",#N/A,FALSE,"CUSTLIF";"Customer Base",#N/A,FALSE,"CUSTOMER BASE";"Distributors",#N/A,FALSE,"DISTRIBUTORS";"TM",#N/A,FALSE,"TM";"Grp Sales",#N/A,FALSE,"GRP SALES";"Pat1",#N/A,FALSE,"PAT(1)";"Pat2",#N/A,FALSE,"PAT(2)";"Pat3",#N/A,FALSE,"PAT(3)";"Pat4",#N/A,FALSE,"PAT(4)";"Pat5",#N/A,FALSE,"PAT(5)";"Pat6",#N/A,FALSE,"PAT(6)";"Pat7",#N/A,FALSE,"PAT(7)";"Pat8",#N/A,FALSE,"PAT(8)";"Pat9",#N/A,FALSE,"PAT(9)";"Pat10",#N/A,FALSE,"PAT(10)";#N/A,#N/A,FALSE,"COMPETE"}</definedName>
    <definedName name="wrn.filecopy." hidden="1">{"Multiples_filecopy",#N/A,FALSE,"Multiples";"Adjustments_filecopy",#N/A,FALSE,"Adjustments to Multiples";"GrowthAdj_filecopy",#N/A,FALSE,"Growth Adjustments";"RiskAdj_filecopy",#N/A,FALSE,"Risk Adjustments ";"MarginAdj_filecopy",#N/A,FALSE,"Margin Adjustments";"Regression_filecopy",#N/A,FALSE,"Regression";"Ratios_filecopy",#N/A,FALSE,"Ratios"}</definedName>
    <definedName name="wrn.FULL_ACQ." hidden="1">{#N/A,#N/A,FALSE,"Summary";#N/A,#N/A,FALSE,"Proforma";#N/A,#N/A,FALSE,"Tx"}</definedName>
    <definedName name="wrn.OUTPUT." hidden="1">{"DCF","UPSIDE CASE",FALSE,"Sheet1";"DCF","BASE CASE",FALSE,"Sheet1";"DCF","DOWNSIDE CASE",FALSE,"Sheet1"}</definedName>
    <definedName name="wrn.PaperPanel." hidden="1">{#N/A,#N/A,FALSE,"Control"}</definedName>
    <definedName name="wrn.PARTNERSHIP." hidden="1">{#N/A,#N/A,FALSE,"Ptnr Cash Flow";#N/A,#N/A,FALSE,"Pship Summary";#N/A,#N/A,FALSE,"Pship Proforma";#N/A,#N/A,FALSE,"Tx"}</definedName>
    <definedName name="wrn.print." hidden="1">{#N/A,#N/A,FALSE,"Japan 2003";#N/A,#N/A,FALSE,"Sheet2"}</definedName>
    <definedName name="wrn.print._.graphs." hidden="1">{"cap_structure",#N/A,FALSE,"Graph-Mkt Cap";"price",#N/A,FALSE,"Graph-Price";"ebit",#N/A,FALSE,"Graph-EBITDA";"ebitda",#N/A,FALSE,"Graph-EBITDA"}</definedName>
    <definedName name="wrn.print._.raw._.data._.entry." hidden="1">{"inputs raw data",#N/A,TRUE,"INPUT"}</definedName>
    <definedName name="wrn.print._.summary._.sheets." hidden="1">{"summary1",#N/A,TRUE,"Comps";"summary2",#N/A,TRUE,"Comps";"summary3",#N/A,TRUE,"Comps"}</definedName>
    <definedName name="wrn.PrintSelected." hidden="1">{"ModelPage1",#N/A,TRUE,"Model";"ModelSum_Debt",#N/A,TRUE,"Model"}</definedName>
    <definedName name="wrn.REPORT." hidden="1">{"BS",#N/A,FALSE,"BS";"IS",#N/A,FALSE,"IS";"RMA",#N/A,FALSE,"RMA";"WF exh",#N/A,FALSE,"WORKFORCE";"Software Exh",#N/A,FALSE,"SOFTWARE";"Cust Base Exh 1",#N/A,FALSE,"CUSTOMER BASE";"Cust Base Exh 2",#N/A,FALSE,"DISTRIBUTORS";"TM",#N/A,FALSE,"TM";"Pat 1 Exh",#N/A,FALSE,"PAT(1)";"Pat 2 Exh",#N/A,FALSE,"PAT(2)";"Pat 3 Exh",#N/A,FALSE,"PAT(3)";"Pat 4 Exh",#N/A,FALSE,"PAT(4)";"Pat 5 Exh",#N/A,FALSE,"PAT(5)";"Pat 6 Exh",#N/A,FALSE,"PAT(6)";"Pat 7 Exh",#N/A,FALSE,"PAT(7)";"Pat 8 Exh",#N/A,FALSE,"PAT(8)";"Pat 9 Exh",#N/A,FALSE,"PAT(9)";"Pat 10 Exh",#N/A,FALSE,"PAT(10)";"Non Compete Exh",#N/A,FALSE,"COMPETE"}</definedName>
    <definedName name="wrn.ROUGH." hidden="1">{#N/A,#N/A,FALSE,"ROA";#N/A,#N/A,FALSE,"ROI";#N/A,#N/A,FALSE,"EBIT";#N/A,#N/A,FALSE,"MULT X"}</definedName>
    <definedName name="wrn.rptexhibits." hidden="1">{#N/A,#N/A,FALSE,"BS";#N/A,#N/A,FALSE,"IS";#N/A,#N/A,FALSE,"RMA ";#N/A,#N/A,FALSE,"ADJ IS";#N/A,#N/A,FALSE,"DCF"}</definedName>
    <definedName name="wrn.Whole._.Model." hidden="1">{#N/A,#N/A,FALSE,"Model";#N/A,#N/A,FALSE,"Gen Pts &amp; Rts 2000";#N/A,#N/A,FALSE,"AcqsAss";#N/A,#N/A,FALSE,"Acqs &amp; De Novos"}</definedName>
    <definedName name="wvu.inputs._.raw._.data." hidden="1">{TRUE,TRUE,-1.25,-15.5,604.5,369,FALSE,FALSE,TRUE,TRUE,0,1,83,1,38,4,5,4,TRUE,TRUE,3,TRUE,1,TRUE,75,"Swvu.inputs._.raw._.data.","ACwvu.inputs._.raw._.data.",#N/A,FALSE,FALSE,0.5,0.5,0.5,0.5,2,"&amp;F","&amp;A&amp;RPage &amp;P",FALSE,FALSE,FALSE,FALSE,1,60,#N/A,#N/A,"=R1C61:R53C89","=C1:C5",#N/A,#N/A,FALSE,FALSE,FALSE,1,600,600,FALSE,FALSE,TRUE,TRUE,TRUE}</definedName>
    <definedName name="wvu.summary1." hidden="1">{TRUE,TRUE,-1.25,-15.5,604.5,369,FALSE,FALSE,TRUE,TRUE,0,1,#N/A,1,#N/A,20.5555555555556,28.9285714285714,1,FALSE,FALSE,3,TRUE,1,FALSE,80,"Swvu.summary1.","ACwvu.summary1.",#N/A,FALSE,FALSE,0.5,0.5,0.5,0.5,2,"&amp;F","&amp;L&amp;D&amp;C&amp;A&amp;RPage &amp;P",TRUE,FALSE,FALSE,FALSE,1,50,#N/A,#N/A,"=R1C1:R55C31",FALSE,#N/A,#N/A,FALSE,FALSE,TRUE,1,600,600,FALSE,FALSE,TRUE,TRUE,TRUE}</definedName>
    <definedName name="wvu.summary2." hidden="1">{TRUE,TRUE,-1.25,-15.5,604.5,369,FALSE,FALSE,TRUE,TRUE,0,1,#N/A,41,#N/A,20.5555555555556,27.0714285714286,1,FALSE,FALSE,3,TRUE,1,FALSE,80,"Swvu.summary2.","ACwvu.summary2.",#N/A,FALSE,FALSE,0.5,0.5,0.5,0.5,2,"&amp;F","&amp;A&amp;RPage &amp;P",TRUE,FALSE,FALSE,FALSE,1,50,#N/A,#N/A,"=R56C1:R103C31",FALSE,#N/A,#N/A,FALSE,FALSE,TRUE,1,600,600,FALSE,FALSE,TRUE,TRUE,TRUE}</definedName>
    <definedName name="wvu.summary3." hidden="1">{TRUE,TRUE,-1.25,-15.5,604.5,369,FALSE,FALSE,TRUE,TRUE,0,1,#N/A,91,#N/A,20.5555555555556,24.8571428571429,1,FALSE,FALSE,3,TRUE,1,FALSE,80,"Swvu.summary3.","ACwvu.summary3.",#N/A,FALSE,FALSE,0.5,0.5,0.5,0.5,2,"&amp;F","&amp;A&amp;RPage &amp;P",TRUE,FALSE,FALSE,FALSE,1,50,#N/A,#N/A,"=R104C1:R153C31",FALSE,#N/A,#N/A,FALSE,FALSE,TRUE,1,600,600,FALSE,FALSE,TRUE,TRUE,TRUE}</definedName>
    <definedName name="XRefColumnsCount" hidden="1">4</definedName>
    <definedName name="XRefCopyRangeCount" hidden="1">2</definedName>
    <definedName name="XRefPasteRangeCount" hidden="1">11</definedName>
    <definedName name="xxxx" hidden="1">#REF!</definedName>
    <definedName name="Year_ID" hidden="1">" "</definedName>
  </definedNames>
  <calcPr calcId="152511" iterate="1" iterateCount="1000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P6" i="40" l="1"/>
  <c r="Q6" i="40"/>
  <c r="R6" i="40"/>
  <c r="R11" i="40" s="1"/>
  <c r="P8" i="40"/>
  <c r="Q8" i="40" s="1"/>
  <c r="P11" i="40"/>
  <c r="Q11" i="40"/>
  <c r="P12" i="40"/>
  <c r="P13" i="40"/>
  <c r="P14" i="40"/>
  <c r="P24" i="40" s="1"/>
  <c r="P15" i="40"/>
  <c r="Q15" i="40"/>
  <c r="P16" i="40"/>
  <c r="P17" i="40"/>
  <c r="P18" i="40"/>
  <c r="P19" i="40"/>
  <c r="Q19" i="40"/>
  <c r="P20" i="40"/>
  <c r="Q20" i="40"/>
  <c r="R20" i="40"/>
  <c r="P21" i="40"/>
  <c r="Q21" i="40"/>
  <c r="R21" i="40"/>
  <c r="P22" i="40"/>
  <c r="Q22" i="40"/>
  <c r="R22" i="40"/>
  <c r="R15" i="40" l="1"/>
  <c r="R13" i="40"/>
  <c r="R12" i="40"/>
  <c r="R24" i="40" s="1"/>
  <c r="R16" i="40"/>
  <c r="R8" i="40"/>
  <c r="R14" i="40"/>
  <c r="R18" i="40"/>
  <c r="R17" i="40"/>
  <c r="Q16" i="40"/>
  <c r="Q17" i="40"/>
  <c r="Q13" i="40"/>
  <c r="Q12" i="40"/>
  <c r="R19" i="40"/>
  <c r="Q18" i="40"/>
  <c r="Q14" i="40"/>
  <c r="Q24" i="40" l="1"/>
  <c r="O6" i="40" l="1"/>
  <c r="O8" i="40"/>
  <c r="N14" i="40"/>
  <c r="O14" i="40"/>
  <c r="N15" i="40"/>
  <c r="O15" i="40"/>
  <c r="N16" i="40"/>
  <c r="O16" i="40"/>
  <c r="N17" i="40"/>
  <c r="O17" i="40"/>
  <c r="N18" i="40"/>
  <c r="O18" i="40"/>
  <c r="N19" i="40"/>
  <c r="O19" i="40"/>
  <c r="N20" i="40"/>
  <c r="O20" i="40"/>
  <c r="N21" i="40"/>
  <c r="O21" i="40"/>
  <c r="N22" i="40"/>
  <c r="O22" i="40"/>
  <c r="N24" i="40"/>
  <c r="N11" i="40"/>
  <c r="O11" i="40"/>
  <c r="O24" i="40" s="1"/>
  <c r="N12" i="40"/>
  <c r="O12" i="40"/>
  <c r="J13" i="40"/>
  <c r="K13" i="40"/>
  <c r="L13" i="40"/>
  <c r="M13" i="40"/>
  <c r="N13" i="40"/>
  <c r="O13" i="40"/>
  <c r="J6" i="40"/>
  <c r="K6" i="40"/>
  <c r="L6" i="40"/>
  <c r="M6" i="40"/>
  <c r="N6" i="40" s="1"/>
  <c r="I6" i="40"/>
  <c r="I8" i="40"/>
  <c r="J8" i="40"/>
  <c r="K8" i="40"/>
  <c r="M19" i="40" s="1"/>
  <c r="L8" i="40"/>
  <c r="M8" i="40" s="1"/>
  <c r="H8" i="40"/>
  <c r="M20" i="40"/>
  <c r="M21" i="40"/>
  <c r="M22" i="40"/>
  <c r="M11" i="40" l="1"/>
  <c r="N8" i="40"/>
  <c r="M18" i="40"/>
  <c r="M16" i="40"/>
  <c r="M14" i="40"/>
  <c r="M12" i="40"/>
  <c r="M17" i="40"/>
  <c r="M15" i="40"/>
  <c r="M24" i="40" l="1"/>
  <c r="I12" i="40" l="1"/>
  <c r="J12" i="40"/>
  <c r="K12" i="40"/>
  <c r="L12" i="40"/>
  <c r="H12" i="40"/>
  <c r="L16" i="40"/>
  <c r="L15" i="40"/>
  <c r="K15" i="40"/>
  <c r="K14" i="40"/>
  <c r="L14" i="40"/>
  <c r="J14" i="40"/>
  <c r="D16" i="40"/>
  <c r="E14" i="40"/>
  <c r="F14" i="40" s="1"/>
  <c r="E15" i="40"/>
  <c r="E16" i="40" s="1"/>
  <c r="F15" i="40"/>
  <c r="D14" i="40"/>
  <c r="D15" i="40"/>
  <c r="D13" i="40"/>
  <c r="D12" i="40"/>
  <c r="F16" i="40" l="1"/>
  <c r="Q54" i="5" l="1"/>
  <c r="E13" i="40" l="1"/>
  <c r="F12" i="40"/>
  <c r="O30" i="5"/>
  <c r="F13" i="40"/>
  <c r="I13" i="40" l="1"/>
  <c r="Y85" i="99"/>
  <c r="Y85" i="101"/>
  <c r="Y84" i="99" l="1"/>
  <c r="Y84" i="101"/>
  <c r="Y78" i="99" l="1"/>
  <c r="Z78" i="99" s="1"/>
  <c r="Y78" i="101"/>
  <c r="Z78" i="101" s="1"/>
  <c r="L32" i="111" l="1"/>
  <c r="M32" i="111"/>
  <c r="N32" i="111"/>
  <c r="O32" i="111"/>
  <c r="P32" i="111"/>
  <c r="Q32" i="111"/>
  <c r="R32" i="111"/>
  <c r="S32" i="111"/>
  <c r="T32" i="111"/>
  <c r="U32" i="111"/>
  <c r="V32" i="111"/>
  <c r="K32" i="111"/>
  <c r="O14" i="5" l="1"/>
  <c r="O24" i="5"/>
  <c r="E49" i="113" l="1"/>
  <c r="Q28" i="5" s="1"/>
  <c r="C49" i="113"/>
  <c r="E48" i="113"/>
  <c r="O28" i="5" s="1"/>
  <c r="C48" i="113"/>
  <c r="C50" i="113" s="1"/>
  <c r="I47" i="113"/>
  <c r="E50" i="113" l="1"/>
  <c r="D18" i="40"/>
  <c r="AG9" i="5" l="1"/>
  <c r="H9" i="91" l="1"/>
  <c r="I9" i="91"/>
  <c r="J9" i="91"/>
  <c r="K9" i="91"/>
  <c r="L9" i="91"/>
  <c r="M9" i="91"/>
  <c r="M37" i="102"/>
  <c r="N37" i="102"/>
  <c r="O37" i="102"/>
  <c r="P37" i="102"/>
  <c r="Q37" i="102"/>
  <c r="R37" i="102"/>
  <c r="S37" i="102"/>
  <c r="M88" i="102"/>
  <c r="N88" i="102"/>
  <c r="O88" i="102"/>
  <c r="P88" i="102"/>
  <c r="Q88" i="102"/>
  <c r="R88" i="102"/>
  <c r="S88" i="102"/>
  <c r="T88" i="102"/>
  <c r="J7" i="111"/>
  <c r="K7" i="111" s="1"/>
  <c r="L7" i="111" s="1"/>
  <c r="M7" i="111" s="1"/>
  <c r="N7" i="111" s="1"/>
  <c r="O7" i="111" s="1"/>
  <c r="P7" i="111" s="1"/>
  <c r="Q7" i="111" s="1"/>
  <c r="R7" i="111" s="1"/>
  <c r="S7" i="111" s="1"/>
  <c r="T7" i="111" s="1"/>
  <c r="D12" i="111"/>
  <c r="I14" i="111"/>
  <c r="J14" i="111"/>
  <c r="K14" i="111"/>
  <c r="L14" i="111"/>
  <c r="L36" i="111" s="1"/>
  <c r="M14" i="111"/>
  <c r="M36" i="111" s="1"/>
  <c r="N14" i="111"/>
  <c r="O14" i="111"/>
  <c r="P14" i="111"/>
  <c r="Q14" i="111"/>
  <c r="Q36" i="111" s="1"/>
  <c r="R14" i="111"/>
  <c r="S14" i="111"/>
  <c r="S36" i="111" s="1"/>
  <c r="T14" i="111"/>
  <c r="T36" i="111" s="1"/>
  <c r="I15" i="111"/>
  <c r="I17" i="111" s="1"/>
  <c r="I16" i="111"/>
  <c r="W30" i="111"/>
  <c r="W31" i="111"/>
  <c r="K36" i="111"/>
  <c r="N36" i="111"/>
  <c r="O36" i="111"/>
  <c r="P36" i="111"/>
  <c r="R36" i="111"/>
  <c r="K21" i="76"/>
  <c r="J22" i="76"/>
  <c r="J23" i="76"/>
  <c r="H11" i="84"/>
  <c r="H12" i="84"/>
  <c r="M19" i="84"/>
  <c r="N19" i="84"/>
  <c r="O19" i="84"/>
  <c r="P19" i="84"/>
  <c r="Q19" i="84"/>
  <c r="C28" i="84"/>
  <c r="C29" i="84"/>
  <c r="C30" i="84"/>
  <c r="C31" i="84"/>
  <c r="L19" i="97"/>
  <c r="E22" i="97"/>
  <c r="F22" i="97"/>
  <c r="G22" i="97"/>
  <c r="H22" i="97"/>
  <c r="I22" i="97"/>
  <c r="L22" i="97"/>
  <c r="L43" i="97"/>
  <c r="B2" i="85"/>
  <c r="I2" i="85"/>
  <c r="D6" i="85"/>
  <c r="D13" i="85"/>
  <c r="D14" i="85"/>
  <c r="D15" i="85"/>
  <c r="D17" i="85"/>
  <c r="B1" i="8"/>
  <c r="D21" i="8"/>
  <c r="B9" i="16"/>
  <c r="E55" i="16" s="1"/>
  <c r="C11" i="82"/>
  <c r="C12" i="82"/>
  <c r="C13" i="82"/>
  <c r="B15" i="82"/>
  <c r="C17" i="82"/>
  <c r="C19" i="82"/>
  <c r="C23" i="82"/>
  <c r="C24" i="82"/>
  <c r="E30" i="82"/>
  <c r="E31" i="82"/>
  <c r="K31" i="82"/>
  <c r="K32" i="82"/>
  <c r="E33" i="82"/>
  <c r="H11" i="15"/>
  <c r="H12" i="15"/>
  <c r="M19" i="15"/>
  <c r="N19" i="15"/>
  <c r="O19" i="15"/>
  <c r="P19" i="15"/>
  <c r="Q19" i="15"/>
  <c r="C28" i="15"/>
  <c r="C29" i="15"/>
  <c r="C30" i="15"/>
  <c r="C31" i="15"/>
  <c r="L19" i="95"/>
  <c r="E22" i="95"/>
  <c r="F22" i="95"/>
  <c r="G22" i="95"/>
  <c r="H22" i="95"/>
  <c r="I22" i="95"/>
  <c r="L22" i="95"/>
  <c r="L43" i="95"/>
  <c r="B2" i="83"/>
  <c r="I2" i="83"/>
  <c r="D6" i="83"/>
  <c r="D14" i="83"/>
  <c r="D15" i="83"/>
  <c r="D16" i="83"/>
  <c r="D18" i="83"/>
  <c r="B1" i="7"/>
  <c r="D19" i="7"/>
  <c r="G7" i="57"/>
  <c r="H7" i="57" s="1"/>
  <c r="I7" i="57" s="1"/>
  <c r="J7" i="57" s="1"/>
  <c r="K7" i="57" s="1"/>
  <c r="L7" i="57" s="1"/>
  <c r="M7" i="57" s="1"/>
  <c r="N7" i="57" s="1"/>
  <c r="C13" i="57"/>
  <c r="AE14" i="57"/>
  <c r="F51" i="57"/>
  <c r="AE51" i="57" s="1"/>
  <c r="AF32" i="57"/>
  <c r="AE41" i="57"/>
  <c r="B5" i="53"/>
  <c r="G7" i="53"/>
  <c r="G6" i="53" s="1"/>
  <c r="G8" i="53"/>
  <c r="H8" i="53" s="1"/>
  <c r="I8" i="53" s="1"/>
  <c r="J8" i="53" s="1"/>
  <c r="S30" i="53"/>
  <c r="S31" i="53"/>
  <c r="V32" i="53"/>
  <c r="S41" i="53"/>
  <c r="R4" i="13"/>
  <c r="H7" i="13"/>
  <c r="I7" i="13" s="1"/>
  <c r="J7" i="13" s="1"/>
  <c r="K7" i="13" s="1"/>
  <c r="L7" i="13" s="1"/>
  <c r="M7" i="13" s="1"/>
  <c r="N7" i="13" s="1"/>
  <c r="O7" i="13" s="1"/>
  <c r="P7" i="13" s="1"/>
  <c r="Q7" i="13" s="1"/>
  <c r="R7" i="13" s="1"/>
  <c r="H18" i="13"/>
  <c r="H20" i="13" s="1"/>
  <c r="I18" i="13"/>
  <c r="I20" i="13" s="1"/>
  <c r="J18" i="13"/>
  <c r="J20" i="13" s="1"/>
  <c r="K18" i="13"/>
  <c r="K20" i="13" s="1"/>
  <c r="L18" i="13"/>
  <c r="M18" i="13"/>
  <c r="M20" i="13" s="1"/>
  <c r="N18" i="13"/>
  <c r="O18" i="13"/>
  <c r="O20" i="13" s="1"/>
  <c r="P18" i="13"/>
  <c r="P20" i="13" s="1"/>
  <c r="Q18" i="13"/>
  <c r="Q20" i="13" s="1"/>
  <c r="R18" i="13"/>
  <c r="R20" i="13" s="1"/>
  <c r="Y18" i="13"/>
  <c r="Y20" i="13" s="1"/>
  <c r="Z18" i="13"/>
  <c r="AA18" i="13"/>
  <c r="AA20" i="13" s="1"/>
  <c r="T19" i="13"/>
  <c r="U19" i="13"/>
  <c r="V19" i="13"/>
  <c r="W19" i="13"/>
  <c r="Z20" i="13"/>
  <c r="C23" i="13"/>
  <c r="C24" i="13"/>
  <c r="C25" i="13"/>
  <c r="R4" i="12"/>
  <c r="AG4" i="12" s="1"/>
  <c r="H7" i="12"/>
  <c r="I7" i="12" s="1"/>
  <c r="J7" i="12" s="1"/>
  <c r="K7" i="12" s="1"/>
  <c r="L7" i="12" s="1"/>
  <c r="M7" i="12" s="1"/>
  <c r="N7" i="12" s="1"/>
  <c r="O7" i="12" s="1"/>
  <c r="P7" i="12" s="1"/>
  <c r="Q7" i="12" s="1"/>
  <c r="R7" i="12" s="1"/>
  <c r="AO13" i="12"/>
  <c r="C22" i="12"/>
  <c r="C23" i="12"/>
  <c r="C24" i="12"/>
  <c r="C37" i="12"/>
  <c r="D38" i="12"/>
  <c r="D39" i="12"/>
  <c r="C40" i="12"/>
  <c r="AG4" i="62"/>
  <c r="H7" i="62"/>
  <c r="I7" i="62" s="1"/>
  <c r="J7" i="62" s="1"/>
  <c r="K7" i="62" s="1"/>
  <c r="L7" i="62" s="1"/>
  <c r="M7" i="62" s="1"/>
  <c r="N7" i="62" s="1"/>
  <c r="O7" i="62" s="1"/>
  <c r="P7" i="62" s="1"/>
  <c r="Q7" i="62" s="1"/>
  <c r="R7" i="62" s="1"/>
  <c r="C16" i="62"/>
  <c r="C11" i="62" s="1"/>
  <c r="AB11" i="62"/>
  <c r="C17" i="62"/>
  <c r="C12" i="62" s="1"/>
  <c r="C18" i="62"/>
  <c r="C13" i="62" s="1"/>
  <c r="C26" i="62"/>
  <c r="C27" i="62"/>
  <c r="C28" i="62"/>
  <c r="S52" i="62"/>
  <c r="AB52" i="62"/>
  <c r="C56" i="62"/>
  <c r="C57" i="62"/>
  <c r="AG4" i="11"/>
  <c r="H7" i="11"/>
  <c r="C13" i="11"/>
  <c r="C14" i="11"/>
  <c r="C15" i="11"/>
  <c r="AB19" i="11"/>
  <c r="C23" i="11"/>
  <c r="S23" i="11"/>
  <c r="C24" i="11"/>
  <c r="S24" i="11"/>
  <c r="AB24" i="11"/>
  <c r="C25" i="11"/>
  <c r="S25" i="11"/>
  <c r="S32" i="11"/>
  <c r="AJ33" i="11"/>
  <c r="AI33" i="11" s="1"/>
  <c r="S34" i="11"/>
  <c r="AI38" i="11"/>
  <c r="AI39" i="11" s="1"/>
  <c r="AH39" i="11"/>
  <c r="S46" i="11"/>
  <c r="AB49" i="11"/>
  <c r="C53" i="11"/>
  <c r="C54" i="11"/>
  <c r="N4" i="66"/>
  <c r="I5" i="66"/>
  <c r="I28" i="66" s="1"/>
  <c r="G15" i="66"/>
  <c r="J19" i="66"/>
  <c r="K19" i="66"/>
  <c r="L19" i="66"/>
  <c r="M19" i="66"/>
  <c r="N19" i="66"/>
  <c r="P19" i="66"/>
  <c r="G20" i="66"/>
  <c r="N4" i="65"/>
  <c r="H5" i="65"/>
  <c r="U5" i="65" s="1"/>
  <c r="I5" i="65"/>
  <c r="I37" i="65" s="1"/>
  <c r="U10" i="65"/>
  <c r="V10" i="65"/>
  <c r="U11" i="65"/>
  <c r="V11" i="65"/>
  <c r="R13" i="65"/>
  <c r="U13" i="65"/>
  <c r="V13" i="65"/>
  <c r="C37" i="65"/>
  <c r="D38" i="65"/>
  <c r="D39" i="65"/>
  <c r="C40" i="65"/>
  <c r="C13" i="63"/>
  <c r="C14" i="63"/>
  <c r="C15" i="63"/>
  <c r="C23" i="63"/>
  <c r="C24" i="63"/>
  <c r="C25" i="63"/>
  <c r="C53" i="63"/>
  <c r="C54" i="63"/>
  <c r="H11" i="86"/>
  <c r="I11" i="86"/>
  <c r="C17" i="86"/>
  <c r="C18" i="86" s="1"/>
  <c r="C19" i="86" s="1"/>
  <c r="C20" i="86" s="1"/>
  <c r="C21" i="86" s="1"/>
  <c r="C22" i="86" s="1"/>
  <c r="C23" i="86" s="1"/>
  <c r="C24" i="86" s="1"/>
  <c r="C25" i="86" s="1"/>
  <c r="C26" i="86" s="1"/>
  <c r="C27" i="86" s="1"/>
  <c r="C28" i="86" s="1"/>
  <c r="C29" i="86" s="1"/>
  <c r="C30" i="86" s="1"/>
  <c r="I3" i="61"/>
  <c r="B5" i="61"/>
  <c r="I19" i="61"/>
  <c r="J19" i="61"/>
  <c r="K19" i="61"/>
  <c r="L19" i="61"/>
  <c r="M19" i="61"/>
  <c r="N19" i="61"/>
  <c r="F22" i="61"/>
  <c r="B5" i="92"/>
  <c r="G6" i="92"/>
  <c r="H6" i="92"/>
  <c r="G7" i="92"/>
  <c r="H7" i="92"/>
  <c r="I19" i="92"/>
  <c r="J19" i="92"/>
  <c r="K19" i="92"/>
  <c r="L19" i="92"/>
  <c r="M19" i="92"/>
  <c r="N19" i="92"/>
  <c r="F22" i="92"/>
  <c r="Z10" i="5" s="1"/>
  <c r="I10" i="82" s="1"/>
  <c r="C13" i="19"/>
  <c r="C14" i="19"/>
  <c r="C15" i="19"/>
  <c r="C19" i="19"/>
  <c r="H20" i="19"/>
  <c r="N20" i="19"/>
  <c r="G25" i="19"/>
  <c r="H25" i="19"/>
  <c r="B5" i="67"/>
  <c r="I11" i="67"/>
  <c r="J11" i="67"/>
  <c r="K11" i="67"/>
  <c r="I12" i="67"/>
  <c r="J12" i="67"/>
  <c r="K12" i="67"/>
  <c r="L12" i="67"/>
  <c r="F14" i="67"/>
  <c r="K14" i="67"/>
  <c r="H25" i="67"/>
  <c r="I25" i="67"/>
  <c r="J30" i="19" s="1"/>
  <c r="J25" i="67"/>
  <c r="K30" i="19" s="1"/>
  <c r="K25" i="67"/>
  <c r="L30" i="19" s="1"/>
  <c r="L25" i="67"/>
  <c r="M30" i="19" s="1"/>
  <c r="M25" i="67"/>
  <c r="N30" i="19" s="1"/>
  <c r="I26" i="67"/>
  <c r="J26" i="67"/>
  <c r="K26" i="67"/>
  <c r="L26" i="67"/>
  <c r="M26" i="67"/>
  <c r="G38" i="67"/>
  <c r="F7" i="59"/>
  <c r="G7" i="59"/>
  <c r="H7" i="59"/>
  <c r="O7" i="59"/>
  <c r="P7" i="59"/>
  <c r="Q7" i="59"/>
  <c r="C9" i="59"/>
  <c r="L9" i="59"/>
  <c r="C14" i="59"/>
  <c r="L14" i="59"/>
  <c r="D15" i="59"/>
  <c r="D20" i="59" s="1"/>
  <c r="D25" i="59" s="1"/>
  <c r="D30" i="59" s="1"/>
  <c r="M15" i="59"/>
  <c r="M20" i="59" s="1"/>
  <c r="M25" i="59" s="1"/>
  <c r="M30" i="59" s="1"/>
  <c r="D16" i="59"/>
  <c r="D21" i="59" s="1"/>
  <c r="D26" i="59" s="1"/>
  <c r="D31" i="59" s="1"/>
  <c r="M16" i="59"/>
  <c r="C19" i="59"/>
  <c r="L19" i="59"/>
  <c r="M21" i="59"/>
  <c r="M26" i="59" s="1"/>
  <c r="M31" i="59" s="1"/>
  <c r="C24" i="59"/>
  <c r="L24" i="59"/>
  <c r="F27" i="59"/>
  <c r="G27" i="59"/>
  <c r="H27" i="59"/>
  <c r="I27" i="59"/>
  <c r="J27" i="59"/>
  <c r="O27" i="59"/>
  <c r="P27" i="59"/>
  <c r="Q27" i="59"/>
  <c r="R27" i="59"/>
  <c r="S27" i="59"/>
  <c r="F36" i="59"/>
  <c r="G36" i="59"/>
  <c r="H36" i="59"/>
  <c r="O36" i="59"/>
  <c r="P36" i="59"/>
  <c r="Q36" i="59"/>
  <c r="S45" i="59" s="1"/>
  <c r="C38" i="59"/>
  <c r="L38" i="59"/>
  <c r="C43" i="59"/>
  <c r="L43" i="59"/>
  <c r="D44" i="59"/>
  <c r="D49" i="59" s="1"/>
  <c r="D54" i="59" s="1"/>
  <c r="D59" i="59" s="1"/>
  <c r="D64" i="59" s="1"/>
  <c r="M44" i="59"/>
  <c r="M49" i="59" s="1"/>
  <c r="M54" i="59" s="1"/>
  <c r="M59" i="59" s="1"/>
  <c r="D45" i="59"/>
  <c r="D50" i="59" s="1"/>
  <c r="D55" i="59" s="1"/>
  <c r="M45" i="59"/>
  <c r="M50" i="59" s="1"/>
  <c r="M55" i="59" s="1"/>
  <c r="M60" i="59" s="1"/>
  <c r="C48" i="59"/>
  <c r="L48" i="59"/>
  <c r="C53" i="59"/>
  <c r="L53" i="59"/>
  <c r="F56" i="59"/>
  <c r="G56" i="59"/>
  <c r="H56" i="59"/>
  <c r="I56" i="59"/>
  <c r="J56" i="59"/>
  <c r="O56" i="59"/>
  <c r="P56" i="59"/>
  <c r="Q56" i="59"/>
  <c r="R56" i="59"/>
  <c r="S56" i="59"/>
  <c r="D60" i="59"/>
  <c r="D65" i="59" s="1"/>
  <c r="O65" i="59"/>
  <c r="P65" i="59"/>
  <c r="Q65" i="59"/>
  <c r="R65" i="59"/>
  <c r="S65" i="59"/>
  <c r="B4" i="87"/>
  <c r="D12" i="87"/>
  <c r="E13" i="87"/>
  <c r="F27" i="87"/>
  <c r="B5" i="79"/>
  <c r="C28" i="79"/>
  <c r="C29" i="79"/>
  <c r="O12" i="79" s="1"/>
  <c r="D15" i="79"/>
  <c r="D16" i="79"/>
  <c r="D17" i="79"/>
  <c r="O18" i="79"/>
  <c r="O20" i="79"/>
  <c r="J35" i="79"/>
  <c r="K35" i="79"/>
  <c r="L35" i="79"/>
  <c r="G10" i="74"/>
  <c r="L10" i="74"/>
  <c r="D17" i="74"/>
  <c r="C24" i="74"/>
  <c r="D24" i="74"/>
  <c r="C6" i="58"/>
  <c r="F6" i="58"/>
  <c r="D11" i="58" s="1"/>
  <c r="C7" i="58"/>
  <c r="F7" i="58"/>
  <c r="J11" i="58" s="1"/>
  <c r="L7" i="58"/>
  <c r="J10" i="58"/>
  <c r="K10" i="58"/>
  <c r="P10" i="58" s="1"/>
  <c r="O10" i="58"/>
  <c r="S12" i="58"/>
  <c r="S13" i="58" s="1"/>
  <c r="S14" i="58" s="1"/>
  <c r="S15" i="58" s="1"/>
  <c r="S16" i="58" s="1"/>
  <c r="S17" i="58" s="1"/>
  <c r="S18" i="58" s="1"/>
  <c r="S19" i="58" s="1"/>
  <c r="S20" i="58" s="1"/>
  <c r="S21" i="58" s="1"/>
  <c r="S22" i="58" s="1"/>
  <c r="S23" i="58" s="1"/>
  <c r="S24" i="58" s="1"/>
  <c r="S25" i="58" s="1"/>
  <c r="S26" i="58" s="1"/>
  <c r="S27" i="58" s="1"/>
  <c r="S28" i="58" s="1"/>
  <c r="S29" i="58" s="1"/>
  <c r="S30" i="58" s="1"/>
  <c r="S31" i="58" s="1"/>
  <c r="S32" i="58" s="1"/>
  <c r="S33" i="58" s="1"/>
  <c r="S34" i="58" s="1"/>
  <c r="S35" i="58" s="1"/>
  <c r="S36" i="58" s="1"/>
  <c r="S37" i="58" s="1"/>
  <c r="S38" i="58" s="1"/>
  <c r="S39" i="58" s="1"/>
  <c r="S40" i="58" s="1"/>
  <c r="S41" i="58" s="1"/>
  <c r="S42" i="58" s="1"/>
  <c r="S43" i="58" s="1"/>
  <c r="S44" i="58" s="1"/>
  <c r="S45" i="58" s="1"/>
  <c r="S46" i="58" s="1"/>
  <c r="C12" i="58"/>
  <c r="C13" i="58" s="1"/>
  <c r="C14" i="58" s="1"/>
  <c r="C15" i="58" s="1"/>
  <c r="C16" i="58" s="1"/>
  <c r="C17" i="58" s="1"/>
  <c r="C18" i="58" s="1"/>
  <c r="C19" i="58" s="1"/>
  <c r="C20" i="58" s="1"/>
  <c r="C21" i="58" s="1"/>
  <c r="C22" i="58" s="1"/>
  <c r="I12" i="58"/>
  <c r="I13" i="58" s="1"/>
  <c r="I14" i="58" s="1"/>
  <c r="I15" i="58" s="1"/>
  <c r="I16" i="58" s="1"/>
  <c r="I17" i="58" s="1"/>
  <c r="I18" i="58" s="1"/>
  <c r="I19" i="58" s="1"/>
  <c r="I20" i="58" s="1"/>
  <c r="I21" i="58" s="1"/>
  <c r="I22" i="58" s="1"/>
  <c r="I23" i="58" s="1"/>
  <c r="I24" i="58" s="1"/>
  <c r="I25" i="58" s="1"/>
  <c r="I26" i="58" s="1"/>
  <c r="I27" i="58" s="1"/>
  <c r="I28" i="58" s="1"/>
  <c r="I29" i="58" s="1"/>
  <c r="I30" i="58" s="1"/>
  <c r="I31" i="58" s="1"/>
  <c r="I32" i="58" s="1"/>
  <c r="I33" i="58" s="1"/>
  <c r="I34" i="58" s="1"/>
  <c r="N12" i="58"/>
  <c r="N13" i="58" s="1"/>
  <c r="N14" i="58" s="1"/>
  <c r="N15" i="58" s="1"/>
  <c r="N16" i="58" s="1"/>
  <c r="N17" i="58" s="1"/>
  <c r="N18" i="58" s="1"/>
  <c r="N19" i="58" s="1"/>
  <c r="N20" i="58" s="1"/>
  <c r="N21" i="58" s="1"/>
  <c r="N22" i="58" s="1"/>
  <c r="N23" i="58" s="1"/>
  <c r="N24" i="58" s="1"/>
  <c r="N25" i="58" s="1"/>
  <c r="N26" i="58" s="1"/>
  <c r="N27" i="58" s="1"/>
  <c r="N28" i="58" s="1"/>
  <c r="C11" i="40"/>
  <c r="E11" i="40"/>
  <c r="C17" i="40"/>
  <c r="X17" i="40"/>
  <c r="C18" i="40"/>
  <c r="D56" i="40"/>
  <c r="G18" i="13" s="1"/>
  <c r="C19" i="40"/>
  <c r="D19" i="40"/>
  <c r="D63" i="40" s="1"/>
  <c r="X18" i="13" s="1"/>
  <c r="E19" i="40"/>
  <c r="C20" i="40"/>
  <c r="D20" i="40"/>
  <c r="J30" i="40" s="1"/>
  <c r="AE18" i="13" s="1"/>
  <c r="C21" i="40"/>
  <c r="D21" i="40"/>
  <c r="K30" i="40" s="1"/>
  <c r="AF18" i="13" s="1"/>
  <c r="C22" i="40"/>
  <c r="D22" i="40"/>
  <c r="L30" i="40" s="1"/>
  <c r="AG18" i="13" s="1"/>
  <c r="M20" i="79" s="1"/>
  <c r="D34" i="40"/>
  <c r="G35" i="40"/>
  <c r="G36" i="40" s="1"/>
  <c r="G40" i="40" s="1"/>
  <c r="D35" i="40"/>
  <c r="D36" i="40"/>
  <c r="H42" i="40"/>
  <c r="I42" i="40" s="1"/>
  <c r="J42" i="40" s="1"/>
  <c r="K42" i="40" s="1"/>
  <c r="L42" i="40" s="1"/>
  <c r="D46" i="40"/>
  <c r="O46" i="40"/>
  <c r="D53" i="40"/>
  <c r="B54" i="40"/>
  <c r="B62" i="40" s="1"/>
  <c r="D55" i="40"/>
  <c r="C56" i="40"/>
  <c r="C63" i="40" s="1"/>
  <c r="C57" i="40"/>
  <c r="C64" i="40" s="1"/>
  <c r="B58" i="40"/>
  <c r="B65" i="40" s="1"/>
  <c r="AE4" i="38"/>
  <c r="J7" i="38"/>
  <c r="K7" i="38" s="1"/>
  <c r="L7" i="38" s="1"/>
  <c r="M7" i="38" s="1"/>
  <c r="N7" i="38" s="1"/>
  <c r="O7" i="38" s="1"/>
  <c r="P7" i="38" s="1"/>
  <c r="Q7" i="38" s="1"/>
  <c r="R7" i="38" s="1"/>
  <c r="S7" i="38" s="1"/>
  <c r="T7" i="38" s="1"/>
  <c r="AG9" i="38"/>
  <c r="AG10" i="38" s="1"/>
  <c r="AG11" i="38" s="1"/>
  <c r="AG12" i="38" s="1"/>
  <c r="AG13" i="38" s="1"/>
  <c r="B11" i="38"/>
  <c r="B12" i="38"/>
  <c r="B13" i="38"/>
  <c r="AK2" i="46"/>
  <c r="AL2" i="46"/>
  <c r="J7" i="46"/>
  <c r="K7" i="46" s="1"/>
  <c r="L7" i="46" s="1"/>
  <c r="M7" i="46" s="1"/>
  <c r="N7" i="46" s="1"/>
  <c r="O7" i="46" s="1"/>
  <c r="P7" i="46" s="1"/>
  <c r="Q7" i="46" s="1"/>
  <c r="R7" i="46" s="1"/>
  <c r="S7" i="46" s="1"/>
  <c r="T7" i="46" s="1"/>
  <c r="AJ8" i="46"/>
  <c r="AK8" i="46"/>
  <c r="AL8" i="46"/>
  <c r="C9" i="46"/>
  <c r="D32" i="46" s="1"/>
  <c r="AO9" i="46"/>
  <c r="AP9" i="46"/>
  <c r="AQ9" i="46"/>
  <c r="AR9" i="46"/>
  <c r="AO11" i="46"/>
  <c r="AP11" i="46"/>
  <c r="AQ11" i="46"/>
  <c r="AR11" i="46"/>
  <c r="C14" i="46"/>
  <c r="D41" i="46" s="1"/>
  <c r="D15" i="46"/>
  <c r="D16" i="46"/>
  <c r="E23" i="46"/>
  <c r="E27" i="46" s="1"/>
  <c r="E84" i="46" s="1"/>
  <c r="G23" i="46"/>
  <c r="D25" i="46"/>
  <c r="D82" i="46" s="1"/>
  <c r="E33" i="46"/>
  <c r="E26" i="46" s="1"/>
  <c r="E83" i="46" s="1"/>
  <c r="G26" i="46"/>
  <c r="G27" i="46"/>
  <c r="E35" i="46"/>
  <c r="E28" i="46" s="1"/>
  <c r="E85" i="46" s="1"/>
  <c r="G28" i="46"/>
  <c r="G33" i="46"/>
  <c r="H33" i="46"/>
  <c r="E34" i="46"/>
  <c r="G34" i="46"/>
  <c r="H34" i="46"/>
  <c r="G35" i="46"/>
  <c r="H35" i="46"/>
  <c r="E36" i="46"/>
  <c r="E44" i="46" s="1"/>
  <c r="G36" i="46"/>
  <c r="H36" i="46"/>
  <c r="E37" i="46"/>
  <c r="E45" i="46" s="1"/>
  <c r="G37" i="46"/>
  <c r="H37" i="46"/>
  <c r="E38" i="46"/>
  <c r="E46" i="46" s="1"/>
  <c r="G38" i="46"/>
  <c r="H38" i="46"/>
  <c r="E42" i="46"/>
  <c r="G42" i="46"/>
  <c r="U42" i="46" s="1"/>
  <c r="H42" i="46"/>
  <c r="G43" i="46"/>
  <c r="U43" i="46" s="1"/>
  <c r="H43" i="46"/>
  <c r="G44" i="46"/>
  <c r="U44" i="46" s="1"/>
  <c r="H44" i="46"/>
  <c r="G45" i="46"/>
  <c r="U45" i="46" s="1"/>
  <c r="H45" i="46"/>
  <c r="G46" i="46"/>
  <c r="U46" i="46" s="1"/>
  <c r="H46" i="46"/>
  <c r="U48" i="46"/>
  <c r="D50" i="46"/>
  <c r="D62" i="46" s="1"/>
  <c r="E50" i="46"/>
  <c r="E51" i="46"/>
  <c r="E63" i="46" s="1"/>
  <c r="G51" i="46"/>
  <c r="H51" i="46"/>
  <c r="E52" i="46"/>
  <c r="E64" i="46" s="1"/>
  <c r="E53" i="46"/>
  <c r="E54" i="46"/>
  <c r="E66" i="46" s="1"/>
  <c r="E55" i="46"/>
  <c r="E56" i="46"/>
  <c r="E94" i="46" s="1"/>
  <c r="D54" i="51" s="1"/>
  <c r="E57" i="46"/>
  <c r="E95" i="46" s="1"/>
  <c r="D55" i="51" s="1"/>
  <c r="E58" i="46"/>
  <c r="E96" i="46" s="1"/>
  <c r="D56" i="51" s="1"/>
  <c r="AH58" i="46"/>
  <c r="C62" i="46"/>
  <c r="B62" i="46" s="1"/>
  <c r="E62" i="46"/>
  <c r="I6" i="58" s="1"/>
  <c r="AG62" i="46"/>
  <c r="C63" i="46"/>
  <c r="B63" i="46" s="1"/>
  <c r="AG63" i="46"/>
  <c r="C64" i="46"/>
  <c r="B64" i="46" s="1"/>
  <c r="AG64" i="46"/>
  <c r="C65" i="46"/>
  <c r="B65" i="46" s="1"/>
  <c r="AG65" i="46"/>
  <c r="C66" i="46"/>
  <c r="B66" i="46" s="1"/>
  <c r="AG66" i="46"/>
  <c r="C67" i="46"/>
  <c r="B67" i="46" s="1"/>
  <c r="E67" i="46"/>
  <c r="AG67" i="46"/>
  <c r="C68" i="46"/>
  <c r="B68" i="46" s="1"/>
  <c r="AG68" i="46"/>
  <c r="C69" i="46"/>
  <c r="B69" i="46" s="1"/>
  <c r="AG69" i="46"/>
  <c r="C70" i="46"/>
  <c r="B70" i="46" s="1"/>
  <c r="AG70" i="46"/>
  <c r="E80" i="46"/>
  <c r="G80" i="46"/>
  <c r="G84" i="46" s="1"/>
  <c r="G83" i="46"/>
  <c r="G85" i="46"/>
  <c r="D88" i="46"/>
  <c r="E88" i="46"/>
  <c r="E90" i="46"/>
  <c r="D50" i="51" s="1"/>
  <c r="E93" i="46"/>
  <c r="D53" i="51" s="1"/>
  <c r="AE4" i="37"/>
  <c r="J7" i="37"/>
  <c r="K7" i="37" s="1"/>
  <c r="L7" i="37" s="1"/>
  <c r="M7" i="37" s="1"/>
  <c r="N7" i="37" s="1"/>
  <c r="O7" i="37" s="1"/>
  <c r="P7" i="37" s="1"/>
  <c r="Q7" i="37" s="1"/>
  <c r="R7" i="37" s="1"/>
  <c r="S7" i="37" s="1"/>
  <c r="T7" i="37" s="1"/>
  <c r="B9" i="37"/>
  <c r="G11" i="37"/>
  <c r="AG13" i="37"/>
  <c r="C14" i="37"/>
  <c r="C15" i="37" s="1"/>
  <c r="C16" i="37" s="1"/>
  <c r="C17" i="37" s="1"/>
  <c r="C18" i="37" s="1"/>
  <c r="C19" i="37" s="1"/>
  <c r="C20" i="37" s="1"/>
  <c r="AG16" i="37"/>
  <c r="AG17" i="37" s="1"/>
  <c r="B22" i="37"/>
  <c r="G24" i="37"/>
  <c r="C27" i="37"/>
  <c r="C28" i="37" s="1"/>
  <c r="C29" i="37" s="1"/>
  <c r="C30" i="37" s="1"/>
  <c r="C31" i="37" s="1"/>
  <c r="C32" i="37" s="1"/>
  <c r="C33" i="37" s="1"/>
  <c r="B35" i="37"/>
  <c r="G37" i="37"/>
  <c r="C40" i="37"/>
  <c r="C41" i="37" s="1"/>
  <c r="C42" i="37" s="1"/>
  <c r="C43" i="37" s="1"/>
  <c r="C44" i="37" s="1"/>
  <c r="C45" i="37" s="1"/>
  <c r="C46" i="37" s="1"/>
  <c r="B48" i="37"/>
  <c r="G50" i="37"/>
  <c r="C53" i="37"/>
  <c r="C54" i="37" s="1"/>
  <c r="C55" i="37" s="1"/>
  <c r="C56" i="37" s="1"/>
  <c r="C57" i="37" s="1"/>
  <c r="C58" i="37" s="1"/>
  <c r="C59" i="37" s="1"/>
  <c r="U62" i="37"/>
  <c r="C66" i="37"/>
  <c r="C67" i="37" s="1"/>
  <c r="C68" i="37" s="1"/>
  <c r="C69" i="37" s="1"/>
  <c r="C70" i="37" s="1"/>
  <c r="C71" i="37" s="1"/>
  <c r="C72" i="37" s="1"/>
  <c r="D75" i="37"/>
  <c r="D76" i="37"/>
  <c r="D77" i="37"/>
  <c r="C10" i="29"/>
  <c r="AJ2" i="29" s="1"/>
  <c r="C14" i="29"/>
  <c r="J7" i="29"/>
  <c r="K7" i="29" s="1"/>
  <c r="L7" i="29" s="1"/>
  <c r="M7" i="29" s="1"/>
  <c r="N7" i="29" s="1"/>
  <c r="O7" i="29" s="1"/>
  <c r="P7" i="29" s="1"/>
  <c r="Q7" i="29" s="1"/>
  <c r="R7" i="29" s="1"/>
  <c r="S7" i="29" s="1"/>
  <c r="T7" i="29" s="1"/>
  <c r="AP9" i="29"/>
  <c r="AQ9" i="29"/>
  <c r="AR9" i="29"/>
  <c r="AO10" i="29"/>
  <c r="AP10" i="29"/>
  <c r="AQ10" i="29"/>
  <c r="AR10" i="29"/>
  <c r="C11" i="29"/>
  <c r="D43" i="32" s="1"/>
  <c r="D51" i="32" s="1"/>
  <c r="D59" i="32" s="1"/>
  <c r="D67" i="32" s="1"/>
  <c r="AO11" i="29"/>
  <c r="AP11" i="29"/>
  <c r="AQ11" i="29"/>
  <c r="AR11" i="29"/>
  <c r="C12" i="29"/>
  <c r="D36" i="51" s="1"/>
  <c r="AO12" i="29"/>
  <c r="AP12" i="29"/>
  <c r="AQ12" i="29"/>
  <c r="AR12" i="29"/>
  <c r="C13" i="29"/>
  <c r="D37" i="51" s="1"/>
  <c r="AO13" i="29"/>
  <c r="AP13" i="29"/>
  <c r="AQ13" i="29"/>
  <c r="AR13" i="29"/>
  <c r="AO14" i="29"/>
  <c r="AP14" i="29"/>
  <c r="AQ14" i="29"/>
  <c r="AR14" i="29"/>
  <c r="AG20" i="29"/>
  <c r="AG21" i="29" s="1"/>
  <c r="AG22" i="29" s="1"/>
  <c r="AG23" i="29" s="1"/>
  <c r="AG24" i="29" s="1"/>
  <c r="C21" i="29"/>
  <c r="C22" i="29"/>
  <c r="C23" i="29"/>
  <c r="F26" i="34"/>
  <c r="F41" i="34" s="1"/>
  <c r="G26" i="34"/>
  <c r="G41" i="34" s="1"/>
  <c r="H26" i="34"/>
  <c r="I26" i="34"/>
  <c r="I41" i="34" s="1"/>
  <c r="L26" i="34"/>
  <c r="L41" i="34" s="1"/>
  <c r="M26" i="34"/>
  <c r="M41" i="34" s="1"/>
  <c r="E7" i="34"/>
  <c r="G7" i="34"/>
  <c r="B38" i="34" s="1"/>
  <c r="E8" i="34"/>
  <c r="E24" i="34" s="1"/>
  <c r="Q24" i="34" s="1"/>
  <c r="F8" i="34"/>
  <c r="K24" i="34" s="1"/>
  <c r="G8" i="34"/>
  <c r="E39" i="34" s="1"/>
  <c r="H8" i="34"/>
  <c r="N8" i="34" s="1"/>
  <c r="K39" i="34" s="1"/>
  <c r="W39" i="34" s="1"/>
  <c r="L8" i="34"/>
  <c r="D9" i="34"/>
  <c r="C27" i="34" s="1"/>
  <c r="D10" i="34"/>
  <c r="C28" i="34" s="1"/>
  <c r="D11" i="34"/>
  <c r="C29" i="34" s="1"/>
  <c r="D12" i="34"/>
  <c r="D15" i="34"/>
  <c r="C31" i="34" s="1"/>
  <c r="D16" i="34"/>
  <c r="C32" i="34" s="1"/>
  <c r="C47" i="34" s="1"/>
  <c r="D17" i="34"/>
  <c r="C33" i="34" s="1"/>
  <c r="D18" i="34"/>
  <c r="C34" i="34" s="1"/>
  <c r="D20" i="34"/>
  <c r="C35" i="34" s="1"/>
  <c r="W24" i="34"/>
  <c r="K25" i="34"/>
  <c r="L25" i="34"/>
  <c r="M25" i="34"/>
  <c r="N25" i="34"/>
  <c r="O25" i="34"/>
  <c r="C30" i="34"/>
  <c r="C45" i="34" s="1"/>
  <c r="K40" i="34"/>
  <c r="L40" i="34"/>
  <c r="M40" i="34"/>
  <c r="N40" i="34"/>
  <c r="O40" i="34"/>
  <c r="C41" i="34"/>
  <c r="D10" i="78"/>
  <c r="AK2" i="78" s="1"/>
  <c r="D11" i="78"/>
  <c r="AL2" i="78" s="1"/>
  <c r="J7" i="78"/>
  <c r="K7" i="78" s="1"/>
  <c r="L7" i="78" s="1"/>
  <c r="M7" i="78" s="1"/>
  <c r="N7" i="78" s="1"/>
  <c r="O7" i="78" s="1"/>
  <c r="P7" i="78" s="1"/>
  <c r="Q7" i="78" s="1"/>
  <c r="R7" i="78" s="1"/>
  <c r="S7" i="78" s="1"/>
  <c r="T7" i="78" s="1"/>
  <c r="AJ9" i="78"/>
  <c r="AJ30" i="78" s="1"/>
  <c r="AK9" i="78"/>
  <c r="AK30" i="78" s="1"/>
  <c r="AL9" i="78"/>
  <c r="AL30" i="78" s="1"/>
  <c r="AO10" i="78"/>
  <c r="AP10" i="78"/>
  <c r="AQ10" i="78"/>
  <c r="AR10" i="78"/>
  <c r="AH13" i="78"/>
  <c r="AI13" i="78"/>
  <c r="AJ13" i="78"/>
  <c r="AK13" i="78"/>
  <c r="AI30" i="78"/>
  <c r="AG31" i="78"/>
  <c r="AG32" i="78"/>
  <c r="AG33" i="78"/>
  <c r="AG34" i="78"/>
  <c r="AG35" i="78"/>
  <c r="AG36" i="78"/>
  <c r="AG37" i="78"/>
  <c r="D10" i="28"/>
  <c r="E12" i="111" s="1"/>
  <c r="D11" i="28"/>
  <c r="E13" i="111" s="1"/>
  <c r="J7" i="28"/>
  <c r="K7" i="28" s="1"/>
  <c r="L7" i="28" s="1"/>
  <c r="M7" i="28" s="1"/>
  <c r="N7" i="28" s="1"/>
  <c r="O7" i="28" s="1"/>
  <c r="P7" i="28" s="1"/>
  <c r="Q7" i="28" s="1"/>
  <c r="R7" i="28" s="1"/>
  <c r="S7" i="28" s="1"/>
  <c r="T7" i="28" s="1"/>
  <c r="AJ9" i="28"/>
  <c r="AJ30" i="28" s="1"/>
  <c r="AK9" i="28"/>
  <c r="AK30" i="28" s="1"/>
  <c r="AL9" i="28"/>
  <c r="AO10" i="28"/>
  <c r="AP10" i="28"/>
  <c r="AQ10" i="28"/>
  <c r="AR10" i="28"/>
  <c r="AH13" i="28"/>
  <c r="AI13" i="28"/>
  <c r="AJ13" i="28"/>
  <c r="AK13" i="28"/>
  <c r="AI30" i="28"/>
  <c r="AL30" i="28"/>
  <c r="AG31" i="28"/>
  <c r="AG32" i="28"/>
  <c r="AG33" i="28"/>
  <c r="AG34" i="28"/>
  <c r="AG35" i="28"/>
  <c r="AG36" i="28"/>
  <c r="AG37" i="28"/>
  <c r="D10" i="77"/>
  <c r="AK2" i="77" s="1"/>
  <c r="D11" i="77"/>
  <c r="AL2" i="77" s="1"/>
  <c r="J7" i="77"/>
  <c r="K7" i="77" s="1"/>
  <c r="L7" i="77" s="1"/>
  <c r="M7" i="77" s="1"/>
  <c r="N7" i="77" s="1"/>
  <c r="O7" i="77" s="1"/>
  <c r="P7" i="77" s="1"/>
  <c r="Q7" i="77" s="1"/>
  <c r="R7" i="77" s="1"/>
  <c r="S7" i="77" s="1"/>
  <c r="T7" i="77" s="1"/>
  <c r="AJ9" i="77"/>
  <c r="AK9" i="77"/>
  <c r="AL9" i="77"/>
  <c r="AO10" i="77"/>
  <c r="AP10" i="77"/>
  <c r="AQ10" i="77"/>
  <c r="AR10" i="77"/>
  <c r="AO11" i="77"/>
  <c r="AP11" i="77"/>
  <c r="AQ11" i="77"/>
  <c r="AR11" i="77"/>
  <c r="AH13" i="77"/>
  <c r="AI13" i="77"/>
  <c r="AJ13" i="77"/>
  <c r="AK13" i="77"/>
  <c r="AI30" i="77"/>
  <c r="AJ30" i="77"/>
  <c r="AK30" i="77"/>
  <c r="AL30" i="77"/>
  <c r="AG31" i="77"/>
  <c r="AG32" i="77"/>
  <c r="AG33" i="77"/>
  <c r="AG34" i="77"/>
  <c r="AG35" i="77"/>
  <c r="AG36" i="77"/>
  <c r="AG37" i="77"/>
  <c r="D10" i="26"/>
  <c r="D11" i="26"/>
  <c r="AL2" i="26" s="1"/>
  <c r="J7" i="26"/>
  <c r="K7" i="26" s="1"/>
  <c r="L7" i="26" s="1"/>
  <c r="M7" i="26" s="1"/>
  <c r="N7" i="26" s="1"/>
  <c r="O7" i="26" s="1"/>
  <c r="P7" i="26" s="1"/>
  <c r="Q7" i="26" s="1"/>
  <c r="R7" i="26" s="1"/>
  <c r="S7" i="26" s="1"/>
  <c r="T7" i="26" s="1"/>
  <c r="AJ9" i="26"/>
  <c r="AJ30" i="26" s="1"/>
  <c r="AK9" i="26"/>
  <c r="AL9" i="26"/>
  <c r="AO10" i="26"/>
  <c r="AP10" i="26"/>
  <c r="AQ10" i="26"/>
  <c r="AR10" i="26"/>
  <c r="AO11" i="26"/>
  <c r="AP11" i="26"/>
  <c r="AQ11" i="26"/>
  <c r="AR11" i="26"/>
  <c r="AH13" i="26"/>
  <c r="AI13" i="26"/>
  <c r="AJ13" i="26"/>
  <c r="AK13" i="26"/>
  <c r="D18" i="26"/>
  <c r="D18" i="78" s="1"/>
  <c r="D30" i="78" s="1"/>
  <c r="E19" i="26"/>
  <c r="E19" i="28" s="1"/>
  <c r="E31" i="28" s="1"/>
  <c r="E20" i="26"/>
  <c r="E20" i="28" s="1"/>
  <c r="E32" i="28" s="1"/>
  <c r="E21" i="26"/>
  <c r="D22" i="26"/>
  <c r="D22" i="28" s="1"/>
  <c r="D34" i="28" s="1"/>
  <c r="D23" i="26"/>
  <c r="D23" i="28" s="1"/>
  <c r="D35" i="28" s="1"/>
  <c r="D24" i="26"/>
  <c r="D24" i="28" s="1"/>
  <c r="D36" i="28" s="1"/>
  <c r="D25" i="26"/>
  <c r="AI30" i="26"/>
  <c r="AK30" i="26"/>
  <c r="AL30" i="26"/>
  <c r="AG31" i="26"/>
  <c r="E32" i="26"/>
  <c r="AG32" i="26"/>
  <c r="AG33" i="26"/>
  <c r="D34" i="26"/>
  <c r="AG34" i="26"/>
  <c r="AG35" i="26"/>
  <c r="AG36" i="26"/>
  <c r="AG37" i="26"/>
  <c r="U44" i="26"/>
  <c r="U44" i="51" s="1"/>
  <c r="Z44" i="26"/>
  <c r="AD44" i="51" s="1"/>
  <c r="E8" i="35"/>
  <c r="F8" i="35"/>
  <c r="G8" i="35"/>
  <c r="H8" i="35"/>
  <c r="I8" i="35"/>
  <c r="K24" i="35"/>
  <c r="K8" i="35" s="1"/>
  <c r="L24" i="35"/>
  <c r="L8" i="35" s="1"/>
  <c r="M24" i="35"/>
  <c r="M8" i="35" s="1"/>
  <c r="N24" i="35"/>
  <c r="N8" i="35" s="1"/>
  <c r="O24" i="35"/>
  <c r="O8" i="35" s="1"/>
  <c r="J10" i="35"/>
  <c r="J16" i="35" s="1"/>
  <c r="J11" i="35"/>
  <c r="J17" i="35" s="1"/>
  <c r="J12" i="35"/>
  <c r="J13" i="35"/>
  <c r="J19" i="35" s="1"/>
  <c r="J18" i="35"/>
  <c r="B22" i="35"/>
  <c r="E23" i="35"/>
  <c r="K23" i="35"/>
  <c r="B36" i="35"/>
  <c r="K37" i="35"/>
  <c r="K38" i="35"/>
  <c r="L38" i="35"/>
  <c r="M38" i="35"/>
  <c r="N38" i="35"/>
  <c r="O38" i="35"/>
  <c r="J7" i="51"/>
  <c r="K7" i="51" s="1"/>
  <c r="L7" i="51" s="1"/>
  <c r="M7" i="51" s="1"/>
  <c r="N7" i="51" s="1"/>
  <c r="O7" i="51" s="1"/>
  <c r="P7" i="51" s="1"/>
  <c r="Q7" i="51" s="1"/>
  <c r="R7" i="51" s="1"/>
  <c r="S7" i="51" s="1"/>
  <c r="T7" i="51" s="1"/>
  <c r="C10" i="51"/>
  <c r="C23" i="51" s="1"/>
  <c r="D12" i="51"/>
  <c r="U13" i="51"/>
  <c r="C15" i="51"/>
  <c r="C28" i="51" s="1"/>
  <c r="D17" i="51"/>
  <c r="D30" i="51" s="1"/>
  <c r="D25" i="51"/>
  <c r="C33" i="51"/>
  <c r="D34" i="51"/>
  <c r="D35" i="51"/>
  <c r="AD41" i="51"/>
  <c r="D44" i="51"/>
  <c r="D45" i="51"/>
  <c r="U45" i="51"/>
  <c r="AD45" i="51"/>
  <c r="D48" i="51"/>
  <c r="U48" i="51"/>
  <c r="AD48" i="51"/>
  <c r="C49" i="51"/>
  <c r="C50" i="51" s="1"/>
  <c r="C51" i="51" s="1"/>
  <c r="C52" i="51" s="1"/>
  <c r="C53" i="51" s="1"/>
  <c r="C54" i="51" s="1"/>
  <c r="C55" i="51" s="1"/>
  <c r="C56" i="51" s="1"/>
  <c r="U49" i="51"/>
  <c r="AD49" i="51"/>
  <c r="U50" i="51"/>
  <c r="AD50" i="51"/>
  <c r="U51" i="51"/>
  <c r="AD51" i="51"/>
  <c r="U52" i="51"/>
  <c r="AD52" i="51"/>
  <c r="U53" i="51"/>
  <c r="AD53" i="51"/>
  <c r="U54" i="51"/>
  <c r="AD54" i="51"/>
  <c r="U55" i="51"/>
  <c r="AD55" i="51"/>
  <c r="U56" i="51"/>
  <c r="AD56" i="51"/>
  <c r="J12" i="100"/>
  <c r="J21" i="100"/>
  <c r="M12" i="100"/>
  <c r="T12" i="100"/>
  <c r="B13" i="100"/>
  <c r="E15" i="100"/>
  <c r="J13" i="100" s="1"/>
  <c r="K13" i="100" s="1"/>
  <c r="M13" i="100"/>
  <c r="T13" i="100"/>
  <c r="B14" i="100"/>
  <c r="E16" i="100"/>
  <c r="J14" i="100" s="1"/>
  <c r="K14" i="100" s="1"/>
  <c r="M14" i="100"/>
  <c r="T14" i="100"/>
  <c r="B15" i="100"/>
  <c r="B16" i="100" s="1"/>
  <c r="B17" i="100" s="1"/>
  <c r="B18" i="100" s="1"/>
  <c r="B19" i="100" s="1"/>
  <c r="B20" i="100" s="1"/>
  <c r="B21" i="100" s="1"/>
  <c r="M15" i="100"/>
  <c r="T15" i="100"/>
  <c r="J16" i="100"/>
  <c r="K16" i="100" s="1"/>
  <c r="M16" i="100"/>
  <c r="T16" i="100"/>
  <c r="M17" i="100"/>
  <c r="E25" i="100"/>
  <c r="M18" i="100"/>
  <c r="T20" i="100"/>
  <c r="T21" i="100"/>
  <c r="T24" i="100"/>
  <c r="B26" i="100"/>
  <c r="B27" i="100" s="1"/>
  <c r="B28" i="100" s="1"/>
  <c r="B29" i="100" s="1"/>
  <c r="B30" i="100" s="1"/>
  <c r="B31" i="100" s="1"/>
  <c r="B32" i="100" s="1"/>
  <c r="B33" i="100" s="1"/>
  <c r="B34" i="100" s="1"/>
  <c r="P26" i="100"/>
  <c r="L27" i="79" s="1"/>
  <c r="T26" i="100"/>
  <c r="B39" i="100"/>
  <c r="B40" i="100" s="1"/>
  <c r="F10" i="94"/>
  <c r="F9" i="16" s="1"/>
  <c r="K55" i="16" s="1"/>
  <c r="L55" i="16" s="1"/>
  <c r="L56" i="16" s="1"/>
  <c r="L57" i="16" s="1"/>
  <c r="L58" i="16" s="1"/>
  <c r="L59" i="16" s="1"/>
  <c r="L60" i="16" s="1"/>
  <c r="L61" i="16" s="1"/>
  <c r="G10" i="94"/>
  <c r="E9" i="16" s="1"/>
  <c r="G55" i="16" s="1"/>
  <c r="H55" i="16" s="1"/>
  <c r="H56" i="16" s="1"/>
  <c r="H57" i="16" s="1"/>
  <c r="H58" i="16" s="1"/>
  <c r="H59" i="16" s="1"/>
  <c r="H60" i="16" s="1"/>
  <c r="H61" i="16" s="1"/>
  <c r="D11" i="94"/>
  <c r="B10" i="16" s="1"/>
  <c r="E56" i="16" s="1"/>
  <c r="F11" i="94"/>
  <c r="F10" i="16" s="1"/>
  <c r="K56" i="16" s="1"/>
  <c r="G11" i="94"/>
  <c r="E10" i="16" s="1"/>
  <c r="G56" i="16" s="1"/>
  <c r="D12" i="94"/>
  <c r="B11" i="16" s="1"/>
  <c r="E57" i="16" s="1"/>
  <c r="F12" i="94"/>
  <c r="F11" i="16" s="1"/>
  <c r="K57" i="16" s="1"/>
  <c r="G12" i="94"/>
  <c r="E11" i="16" s="1"/>
  <c r="G57" i="16" s="1"/>
  <c r="D13" i="94"/>
  <c r="B12" i="16" s="1"/>
  <c r="E58" i="16" s="1"/>
  <c r="F13" i="94"/>
  <c r="F12" i="16" s="1"/>
  <c r="K58" i="16" s="1"/>
  <c r="G13" i="94"/>
  <c r="E12" i="16" s="1"/>
  <c r="G58" i="16" s="1"/>
  <c r="F58" i="16" s="1"/>
  <c r="D14" i="94"/>
  <c r="B13" i="16" s="1"/>
  <c r="E59" i="16" s="1"/>
  <c r="F14" i="94"/>
  <c r="F13" i="16" s="1"/>
  <c r="K59" i="16" s="1"/>
  <c r="J59" i="16" s="1"/>
  <c r="G14" i="94"/>
  <c r="E13" i="16" s="1"/>
  <c r="G59" i="16" s="1"/>
  <c r="F59" i="16" s="1"/>
  <c r="E15" i="94"/>
  <c r="D15" i="94" s="1"/>
  <c r="B14" i="16" s="1"/>
  <c r="E60" i="16" s="1"/>
  <c r="F15" i="94"/>
  <c r="F14" i="16" s="1"/>
  <c r="K60" i="16" s="1"/>
  <c r="G15" i="94"/>
  <c r="E14" i="16" s="1"/>
  <c r="G60" i="16" s="1"/>
  <c r="E16" i="94"/>
  <c r="D16" i="94" s="1"/>
  <c r="B15" i="16" s="1"/>
  <c r="E61" i="16" s="1"/>
  <c r="F16" i="94"/>
  <c r="F15" i="16" s="1"/>
  <c r="K61" i="16" s="1"/>
  <c r="G16" i="94"/>
  <c r="E15" i="16" s="1"/>
  <c r="G61" i="16" s="1"/>
  <c r="J7" i="32"/>
  <c r="K7" i="32" s="1"/>
  <c r="L7" i="32" s="1"/>
  <c r="M7" i="32" s="1"/>
  <c r="N7" i="32" s="1"/>
  <c r="O7" i="32" s="1"/>
  <c r="P7" i="32" s="1"/>
  <c r="Q7" i="32" s="1"/>
  <c r="R7" i="32" s="1"/>
  <c r="S7" i="32" s="1"/>
  <c r="T7" i="32" s="1"/>
  <c r="D12" i="32"/>
  <c r="D19" i="32" s="1"/>
  <c r="D26" i="32" s="1"/>
  <c r="D33" i="32" s="1"/>
  <c r="V12" i="32"/>
  <c r="U12" i="32" s="1"/>
  <c r="E13" i="32"/>
  <c r="E20" i="32" s="1"/>
  <c r="E27" i="32" s="1"/>
  <c r="E34" i="32" s="1"/>
  <c r="V13" i="32"/>
  <c r="U13" i="32"/>
  <c r="D14" i="32"/>
  <c r="D21" i="32" s="1"/>
  <c r="D28" i="32" s="1"/>
  <c r="D35" i="32" s="1"/>
  <c r="E15" i="32"/>
  <c r="E22" i="32" s="1"/>
  <c r="E29" i="32" s="1"/>
  <c r="E36" i="32" s="1"/>
  <c r="E32" i="32"/>
  <c r="F32" i="32" s="1"/>
  <c r="D42" i="32"/>
  <c r="D50" i="32" s="1"/>
  <c r="D58" i="32" s="1"/>
  <c r="D66" i="32" s="1"/>
  <c r="I43" i="32"/>
  <c r="J43" i="32"/>
  <c r="J51" i="32" s="1"/>
  <c r="K43" i="32"/>
  <c r="K51" i="32" s="1"/>
  <c r="L43" i="32"/>
  <c r="L59" i="32" s="1"/>
  <c r="M43" i="32"/>
  <c r="N43" i="32"/>
  <c r="N44" i="32" s="1"/>
  <c r="O43" i="32"/>
  <c r="O51" i="32" s="1"/>
  <c r="P43" i="32"/>
  <c r="P51" i="32" s="1"/>
  <c r="Q43" i="32"/>
  <c r="R43" i="32"/>
  <c r="S43" i="32"/>
  <c r="S51" i="32" s="1"/>
  <c r="T43" i="32"/>
  <c r="D44" i="32"/>
  <c r="D52" i="32" s="1"/>
  <c r="D60" i="32" s="1"/>
  <c r="D68" i="32" s="1"/>
  <c r="J44" i="32"/>
  <c r="J52" i="32" s="1"/>
  <c r="K44" i="32"/>
  <c r="K52" i="32" s="1"/>
  <c r="L44" i="32"/>
  <c r="L60" i="32" s="1"/>
  <c r="O44" i="32"/>
  <c r="O52" i="32" s="1"/>
  <c r="R44" i="32"/>
  <c r="R52" i="32" s="1"/>
  <c r="S44" i="32"/>
  <c r="S52" i="32" s="1"/>
  <c r="T44" i="32"/>
  <c r="T60" i="32" s="1"/>
  <c r="D45" i="32"/>
  <c r="D53" i="32" s="1"/>
  <c r="D61" i="32" s="1"/>
  <c r="D69" i="32" s="1"/>
  <c r="J45" i="32"/>
  <c r="J53" i="32" s="1"/>
  <c r="K45" i="32"/>
  <c r="S45" i="32"/>
  <c r="J46" i="32"/>
  <c r="J54" i="32" s="1"/>
  <c r="I50" i="32"/>
  <c r="J50" i="32"/>
  <c r="K50" i="32"/>
  <c r="L50" i="32"/>
  <c r="M50" i="32"/>
  <c r="N50" i="32"/>
  <c r="O50" i="32"/>
  <c r="P50" i="32"/>
  <c r="Q50" i="32"/>
  <c r="R50" i="32"/>
  <c r="S50" i="32"/>
  <c r="T50" i="32"/>
  <c r="L51" i="32"/>
  <c r="R51" i="32"/>
  <c r="T51" i="32"/>
  <c r="I58" i="32"/>
  <c r="J58" i="32"/>
  <c r="K58" i="32"/>
  <c r="L58" i="32"/>
  <c r="M58" i="32"/>
  <c r="N58" i="32"/>
  <c r="O58" i="32"/>
  <c r="P58" i="32"/>
  <c r="Q58" i="32"/>
  <c r="R58" i="32"/>
  <c r="S58" i="32"/>
  <c r="T58" i="32"/>
  <c r="K59" i="32"/>
  <c r="P59" i="32"/>
  <c r="R59" i="32"/>
  <c r="S59" i="32"/>
  <c r="T59" i="32"/>
  <c r="K60" i="32"/>
  <c r="E65" i="32"/>
  <c r="K66" i="32" s="1"/>
  <c r="Q66" i="32"/>
  <c r="E6" i="25"/>
  <c r="K6" i="25"/>
  <c r="E7" i="25"/>
  <c r="G21" i="25" s="1"/>
  <c r="K7" i="25"/>
  <c r="L60" i="25" s="1"/>
  <c r="M68" i="25" s="1"/>
  <c r="E8" i="25"/>
  <c r="K8" i="25"/>
  <c r="P13" i="25"/>
  <c r="P31" i="25" s="1"/>
  <c r="F32" i="5" s="1"/>
  <c r="AH39" i="5" s="1"/>
  <c r="Q13" i="25"/>
  <c r="Q31" i="25" s="1"/>
  <c r="G32" i="5" s="1"/>
  <c r="AI39" i="5" s="1"/>
  <c r="O18" i="25"/>
  <c r="E15" i="5" s="1"/>
  <c r="R18" i="25"/>
  <c r="O31" i="25"/>
  <c r="E32" i="5" s="1"/>
  <c r="AG39" i="5" s="1"/>
  <c r="R31" i="25"/>
  <c r="H32" i="5" s="1"/>
  <c r="AJ39" i="5" s="1"/>
  <c r="C36" i="25"/>
  <c r="E36" i="25"/>
  <c r="I36" i="25"/>
  <c r="K36" i="25"/>
  <c r="C37" i="25"/>
  <c r="D37" i="25"/>
  <c r="E37" i="25"/>
  <c r="F37" i="25"/>
  <c r="I37" i="25"/>
  <c r="J37" i="25"/>
  <c r="K37" i="25"/>
  <c r="L37" i="25"/>
  <c r="M37" i="25"/>
  <c r="N37" i="25"/>
  <c r="O37" i="25"/>
  <c r="P37" i="25"/>
  <c r="B38" i="25"/>
  <c r="B57" i="25"/>
  <c r="M58" i="25"/>
  <c r="N58" i="25"/>
  <c r="O58" i="25"/>
  <c r="P58" i="25"/>
  <c r="Q58" i="25"/>
  <c r="L59" i="25"/>
  <c r="L61" i="25"/>
  <c r="M69" i="25" s="1"/>
  <c r="B66" i="25"/>
  <c r="O66" i="25"/>
  <c r="P66" i="25"/>
  <c r="Q66" i="25"/>
  <c r="R66" i="25"/>
  <c r="M67" i="25"/>
  <c r="B68" i="25"/>
  <c r="C68" i="25"/>
  <c r="D68" i="25"/>
  <c r="E68" i="25"/>
  <c r="F68" i="25"/>
  <c r="G68" i="25"/>
  <c r="H68" i="25"/>
  <c r="I68" i="25"/>
  <c r="J68" i="25"/>
  <c r="K68" i="25"/>
  <c r="B97" i="5"/>
  <c r="B98" i="5" s="1"/>
  <c r="C96" i="5"/>
  <c r="AH9" i="5"/>
  <c r="AI9" i="5"/>
  <c r="AJ9" i="5"/>
  <c r="AP20" i="5" s="1"/>
  <c r="AM9" i="5"/>
  <c r="AN9" i="5"/>
  <c r="AO9" i="5"/>
  <c r="AP9" i="5"/>
  <c r="AP16" i="5" s="1"/>
  <c r="AR9" i="5"/>
  <c r="Y10" i="5"/>
  <c r="I11" i="82" s="1"/>
  <c r="AM10" i="5"/>
  <c r="AM17" i="5" s="1"/>
  <c r="AN10" i="5"/>
  <c r="AO10" i="5"/>
  <c r="AP10" i="5"/>
  <c r="AR10" i="5"/>
  <c r="AF11" i="5"/>
  <c r="AM11" i="5"/>
  <c r="AN11" i="5"/>
  <c r="AO11" i="5"/>
  <c r="AP11" i="5"/>
  <c r="AP18" i="5" s="1"/>
  <c r="AF12" i="5"/>
  <c r="AM12" i="5"/>
  <c r="AN12" i="5"/>
  <c r="AO12" i="5"/>
  <c r="AP12" i="5"/>
  <c r="AJ54" i="5" s="1"/>
  <c r="AQ12" i="5"/>
  <c r="AF13" i="5"/>
  <c r="AM13" i="5"/>
  <c r="AN13" i="5"/>
  <c r="AO13" i="5"/>
  <c r="AP13" i="5"/>
  <c r="G9" i="38"/>
  <c r="AF14" i="5"/>
  <c r="H15" i="5"/>
  <c r="AF15" i="5"/>
  <c r="AL16" i="5"/>
  <c r="D17" i="5"/>
  <c r="AL17" i="5"/>
  <c r="AR17" i="5"/>
  <c r="D18" i="5"/>
  <c r="AF33" i="5"/>
  <c r="AF18" i="5" s="1"/>
  <c r="AL18" i="5"/>
  <c r="AR18" i="5"/>
  <c r="D19" i="5"/>
  <c r="AF34" i="5"/>
  <c r="AF19" i="5" s="1"/>
  <c r="AL19" i="5"/>
  <c r="AR19" i="5"/>
  <c r="D20" i="5"/>
  <c r="AF35" i="5"/>
  <c r="AF20" i="5" s="1"/>
  <c r="AL20" i="5"/>
  <c r="AR20" i="5"/>
  <c r="D21" i="5"/>
  <c r="X21" i="5"/>
  <c r="AF36" i="5"/>
  <c r="AF21" i="5" s="1"/>
  <c r="X22" i="5"/>
  <c r="AF37" i="5"/>
  <c r="AF22" i="5" s="1"/>
  <c r="AF38" i="5"/>
  <c r="AF23" i="5"/>
  <c r="G33" i="11"/>
  <c r="AF39" i="5"/>
  <c r="AF24" i="5" s="1"/>
  <c r="D17" i="40"/>
  <c r="D11" i="40"/>
  <c r="B84" i="5"/>
  <c r="AS34" i="5" s="1"/>
  <c r="O34" i="5"/>
  <c r="E17" i="40" s="1"/>
  <c r="O49" i="5"/>
  <c r="AR39" i="5" s="1"/>
  <c r="P49" i="5" s="1"/>
  <c r="Q49" i="5" s="1"/>
  <c r="F13" i="67" s="1"/>
  <c r="E43" i="5"/>
  <c r="F43" i="5"/>
  <c r="G43" i="5"/>
  <c r="H43" i="5"/>
  <c r="L45" i="5"/>
  <c r="C7" i="59" s="1"/>
  <c r="C30" i="59" s="1"/>
  <c r="L46" i="5"/>
  <c r="L7" i="59" s="1"/>
  <c r="L30" i="59" s="1"/>
  <c r="H47" i="5"/>
  <c r="L47" i="5"/>
  <c r="C36" i="59" s="1"/>
  <c r="C59" i="59" s="1"/>
  <c r="H48" i="5"/>
  <c r="L48" i="5"/>
  <c r="L36" i="59" s="1"/>
  <c r="L59" i="59" s="1"/>
  <c r="H49" i="5"/>
  <c r="U49" i="5"/>
  <c r="E15" i="82" s="1"/>
  <c r="H50" i="5"/>
  <c r="AG51" i="5"/>
  <c r="G13" i="37" s="1"/>
  <c r="AI13" i="37" s="1"/>
  <c r="AJ13" i="37" s="1"/>
  <c r="AK13" i="37" s="1"/>
  <c r="AL13" i="37" s="1"/>
  <c r="F54" i="5"/>
  <c r="AH51" i="5" s="1"/>
  <c r="G26" i="37" s="1"/>
  <c r="G54" i="5"/>
  <c r="AI51" i="5" s="1"/>
  <c r="G39" i="37" s="1"/>
  <c r="AJ51" i="5"/>
  <c r="G52" i="37" s="1"/>
  <c r="AG54" i="5"/>
  <c r="AR54" i="5"/>
  <c r="O30" i="67" s="1"/>
  <c r="AR55" i="5"/>
  <c r="O31" i="67" s="1"/>
  <c r="M59" i="5"/>
  <c r="M60" i="5" s="1"/>
  <c r="M61" i="5" s="1"/>
  <c r="M62" i="5" s="1"/>
  <c r="U59" i="5"/>
  <c r="AG68" i="5"/>
  <c r="AH68" i="5"/>
  <c r="AI68" i="5"/>
  <c r="AJ68" i="5"/>
  <c r="AK68" i="5"/>
  <c r="P63" i="5"/>
  <c r="AG64" i="5"/>
  <c r="AH64" i="5"/>
  <c r="AI64" i="5"/>
  <c r="AG67" i="5"/>
  <c r="AJ3" i="29" s="1"/>
  <c r="G10" i="29" s="1"/>
  <c r="AH67" i="5"/>
  <c r="AK3" i="29" s="1"/>
  <c r="G11" i="29" s="1"/>
  <c r="H43" i="32" s="1"/>
  <c r="H51" i="32" s="1"/>
  <c r="H59" i="32" s="1"/>
  <c r="H67" i="32" s="1"/>
  <c r="AI67" i="5"/>
  <c r="AL3" i="29" s="1"/>
  <c r="G12" i="29" s="1"/>
  <c r="H44" i="32" s="1"/>
  <c r="H52" i="32" s="1"/>
  <c r="H60" i="32" s="1"/>
  <c r="H68" i="32" s="1"/>
  <c r="AJ67" i="5"/>
  <c r="AM3" i="29" s="1"/>
  <c r="G13" i="29" s="1"/>
  <c r="H45" i="32" s="1"/>
  <c r="H53" i="32" s="1"/>
  <c r="H61" i="32" s="1"/>
  <c r="H69" i="32" s="1"/>
  <c r="AK67" i="5"/>
  <c r="AM67" i="5"/>
  <c r="P68" i="5"/>
  <c r="R68" i="5"/>
  <c r="T68" i="5"/>
  <c r="AR68" i="5"/>
  <c r="AR69" i="5"/>
  <c r="L70" i="5"/>
  <c r="D51" i="46" s="1"/>
  <c r="AR70" i="5"/>
  <c r="AR71" i="5"/>
  <c r="AR72" i="5"/>
  <c r="AR73" i="5"/>
  <c r="AR74" i="5"/>
  <c r="AR75" i="5"/>
  <c r="AR76" i="5"/>
  <c r="H84" i="5"/>
  <c r="M84" i="5"/>
  <c r="T85" i="5"/>
  <c r="F86" i="5"/>
  <c r="F90" i="5" s="1"/>
  <c r="E5" i="35" s="1"/>
  <c r="G86" i="5"/>
  <c r="H86" i="5"/>
  <c r="C18" i="32" s="1"/>
  <c r="M86" i="5"/>
  <c r="C49" i="32" s="1"/>
  <c r="T86" i="5"/>
  <c r="T90" i="5" s="1"/>
  <c r="F87" i="5"/>
  <c r="G87" i="5"/>
  <c r="H87" i="5"/>
  <c r="C25" i="32" s="1"/>
  <c r="M87" i="5"/>
  <c r="C57" i="32" s="1"/>
  <c r="T87" i="5"/>
  <c r="T88" i="5"/>
  <c r="T89" i="5"/>
  <c r="G90" i="5"/>
  <c r="S101" i="5"/>
  <c r="T101" i="5"/>
  <c r="U101" i="5"/>
  <c r="V101" i="5"/>
  <c r="W101" i="5"/>
  <c r="V105" i="5"/>
  <c r="X110" i="5"/>
  <c r="Y110" i="5"/>
  <c r="Z110" i="5"/>
  <c r="R132" i="5"/>
  <c r="R140" i="5"/>
  <c r="R141" i="5"/>
  <c r="B2" i="1"/>
  <c r="P7" i="1"/>
  <c r="B7" i="1" s="1"/>
  <c r="B8" i="1"/>
  <c r="A3" i="5" s="1"/>
  <c r="Z2" i="5" s="1"/>
  <c r="P8" i="1"/>
  <c r="C8" i="1" s="1"/>
  <c r="B3" i="5" s="1"/>
  <c r="D8" i="1"/>
  <c r="I9" i="1"/>
  <c r="B9" i="1" s="1"/>
  <c r="A3" i="25" s="1"/>
  <c r="R2" i="25" s="1"/>
  <c r="Q9" i="1"/>
  <c r="Q10" i="1" s="1"/>
  <c r="Q11" i="1" s="1"/>
  <c r="Q12" i="1" s="1"/>
  <c r="Q13" i="1" s="1"/>
  <c r="D9" i="1"/>
  <c r="D10" i="1"/>
  <c r="D11" i="1"/>
  <c r="D12" i="1"/>
  <c r="D13" i="1"/>
  <c r="P15" i="1"/>
  <c r="P16" i="1" s="1"/>
  <c r="P17" i="1" s="1"/>
  <c r="D16" i="1"/>
  <c r="Q17" i="1"/>
  <c r="D17" i="1"/>
  <c r="P19" i="1"/>
  <c r="B19" i="1" s="1"/>
  <c r="D20" i="1"/>
  <c r="D7" i="83" s="1"/>
  <c r="Q21" i="1"/>
  <c r="Q22" i="1" s="1"/>
  <c r="Q23" i="1" s="1"/>
  <c r="Q24" i="1" s="1"/>
  <c r="D21" i="1"/>
  <c r="D8" i="83" s="1"/>
  <c r="D22" i="1"/>
  <c r="D9" i="83" s="1"/>
  <c r="D23" i="1"/>
  <c r="D10" i="83" s="1"/>
  <c r="D24" i="1"/>
  <c r="D11" i="83" s="1"/>
  <c r="P26" i="1"/>
  <c r="B26" i="1" s="1"/>
  <c r="D27" i="1"/>
  <c r="D7" i="85" s="1"/>
  <c r="Q28" i="1"/>
  <c r="Q29" i="1" s="1"/>
  <c r="Q30" i="1" s="1"/>
  <c r="D28" i="1"/>
  <c r="D8" i="85" s="1"/>
  <c r="D29" i="1"/>
  <c r="D9" i="85" s="1"/>
  <c r="D30" i="1"/>
  <c r="D10" i="85" s="1"/>
  <c r="P32" i="1"/>
  <c r="B32" i="1" s="1"/>
  <c r="D33" i="1"/>
  <c r="Q34" i="1"/>
  <c r="Q35" i="1" s="1"/>
  <c r="D34" i="1"/>
  <c r="D35" i="1"/>
  <c r="P37" i="1"/>
  <c r="P38" i="1" s="1"/>
  <c r="B37" i="1"/>
  <c r="D38" i="1"/>
  <c r="Q39" i="1"/>
  <c r="Q40" i="1" s="1"/>
  <c r="Q41" i="1" s="1"/>
  <c r="Q42" i="1" s="1"/>
  <c r="Q43" i="1" s="1"/>
  <c r="D39" i="1"/>
  <c r="D40" i="1"/>
  <c r="D41" i="1"/>
  <c r="D42" i="1"/>
  <c r="D43" i="1"/>
  <c r="P45" i="1"/>
  <c r="B45" i="1" s="1"/>
  <c r="D46" i="1"/>
  <c r="Q47" i="1"/>
  <c r="Q48" i="1" s="1"/>
  <c r="Q49" i="1" s="1"/>
  <c r="Q50" i="1" s="1"/>
  <c r="Q51" i="1" s="1"/>
  <c r="Q52" i="1" s="1"/>
  <c r="Q53" i="1" s="1"/>
  <c r="Q54" i="1" s="1"/>
  <c r="Q55" i="1" s="1"/>
  <c r="Q56" i="1" s="1"/>
  <c r="Q57" i="1" s="1"/>
  <c r="D47" i="1"/>
  <c r="D48" i="1"/>
  <c r="D49" i="1"/>
  <c r="D50" i="1"/>
  <c r="D51" i="1"/>
  <c r="D52" i="1"/>
  <c r="D53" i="1"/>
  <c r="D54" i="1"/>
  <c r="D55" i="1"/>
  <c r="D56" i="1"/>
  <c r="D57" i="1"/>
  <c r="P59" i="1"/>
  <c r="D60" i="1"/>
  <c r="Q61" i="1"/>
  <c r="Q62" i="1" s="1"/>
  <c r="Q63" i="1" s="1"/>
  <c r="Q64" i="1" s="1"/>
  <c r="Q65" i="1" s="1"/>
  <c r="Q66" i="1" s="1"/>
  <c r="Q67" i="1" s="1"/>
  <c r="D61" i="1"/>
  <c r="D62" i="1"/>
  <c r="D63" i="1"/>
  <c r="D64" i="1"/>
  <c r="D65" i="1"/>
  <c r="D66" i="1"/>
  <c r="D67" i="1"/>
  <c r="B69" i="1"/>
  <c r="P70" i="1"/>
  <c r="P71" i="1" s="1"/>
  <c r="Q71" i="1"/>
  <c r="D12" i="4"/>
  <c r="D19" i="4"/>
  <c r="F5" i="70"/>
  <c r="E6" i="70"/>
  <c r="F6" i="70" s="1"/>
  <c r="B12" i="70"/>
  <c r="B13" i="70"/>
  <c r="B14" i="70"/>
  <c r="B15" i="70"/>
  <c r="B16" i="70"/>
  <c r="V38" i="90"/>
  <c r="V39" i="90"/>
  <c r="W48" i="90"/>
  <c r="AB48" i="90"/>
  <c r="AG48" i="90"/>
  <c r="W52" i="90"/>
  <c r="C14" i="25" s="1"/>
  <c r="O14" i="25" s="1"/>
  <c r="E11" i="5" s="1"/>
  <c r="X52" i="90"/>
  <c r="D14" i="25" s="1"/>
  <c r="Y52" i="90"/>
  <c r="E14" i="25" s="1"/>
  <c r="Z52" i="90"/>
  <c r="F14" i="25" s="1"/>
  <c r="R14" i="25" s="1"/>
  <c r="H11" i="5" s="1"/>
  <c r="AB52" i="90"/>
  <c r="G14" i="25" s="1"/>
  <c r="AC52" i="90"/>
  <c r="H14" i="25" s="1"/>
  <c r="AD52" i="90"/>
  <c r="I14" i="25" s="1"/>
  <c r="AE52" i="90"/>
  <c r="J14" i="25" s="1"/>
  <c r="AG52" i="90"/>
  <c r="K14" i="25" s="1"/>
  <c r="AH52" i="90"/>
  <c r="L14" i="25" s="1"/>
  <c r="AI52" i="90"/>
  <c r="M14" i="25" s="1"/>
  <c r="AJ52" i="90"/>
  <c r="N14" i="25" s="1"/>
  <c r="W53" i="90"/>
  <c r="C15" i="25" s="1"/>
  <c r="O15" i="25" s="1"/>
  <c r="E12" i="5" s="1"/>
  <c r="X53" i="90"/>
  <c r="D15" i="25" s="1"/>
  <c r="Y53" i="90"/>
  <c r="E15" i="25" s="1"/>
  <c r="Z53" i="90"/>
  <c r="F15" i="25" s="1"/>
  <c r="R15" i="25" s="1"/>
  <c r="H12" i="5" s="1"/>
  <c r="AB53" i="90"/>
  <c r="G15" i="25" s="1"/>
  <c r="AC53" i="90"/>
  <c r="H15" i="25" s="1"/>
  <c r="AD53" i="90"/>
  <c r="I15" i="25" s="1"/>
  <c r="AE53" i="90"/>
  <c r="J15" i="25" s="1"/>
  <c r="AG53" i="90"/>
  <c r="K15" i="25" s="1"/>
  <c r="AH53" i="90"/>
  <c r="L15" i="25" s="1"/>
  <c r="AI53" i="90"/>
  <c r="M15" i="25" s="1"/>
  <c r="AJ53" i="90"/>
  <c r="N15" i="25" s="1"/>
  <c r="W54" i="90"/>
  <c r="C16" i="25" s="1"/>
  <c r="O16" i="25" s="1"/>
  <c r="E13" i="5" s="1"/>
  <c r="X54" i="90"/>
  <c r="D16" i="25" s="1"/>
  <c r="Y54" i="90"/>
  <c r="E16" i="25" s="1"/>
  <c r="Z54" i="90"/>
  <c r="F16" i="25" s="1"/>
  <c r="R16" i="25" s="1"/>
  <c r="H13" i="5" s="1"/>
  <c r="AB54" i="90"/>
  <c r="G16" i="25" s="1"/>
  <c r="AC54" i="90"/>
  <c r="H16" i="25" s="1"/>
  <c r="AD54" i="90"/>
  <c r="I16" i="25" s="1"/>
  <c r="AE54" i="90"/>
  <c r="J16" i="25" s="1"/>
  <c r="AG54" i="90"/>
  <c r="K16" i="25" s="1"/>
  <c r="AH54" i="90"/>
  <c r="L16" i="25" s="1"/>
  <c r="AI54" i="90"/>
  <c r="M16" i="25" s="1"/>
  <c r="AJ54" i="90"/>
  <c r="N16" i="25" s="1"/>
  <c r="W55" i="90"/>
  <c r="C17" i="25" s="1"/>
  <c r="O17" i="25" s="1"/>
  <c r="E14" i="5" s="1"/>
  <c r="X55" i="90"/>
  <c r="D17" i="25" s="1"/>
  <c r="Y55" i="90"/>
  <c r="E17" i="25" s="1"/>
  <c r="Z55" i="90"/>
  <c r="F17" i="25" s="1"/>
  <c r="R17" i="25" s="1"/>
  <c r="H14" i="5" s="1"/>
  <c r="AB55" i="90"/>
  <c r="G17" i="25" s="1"/>
  <c r="AC55" i="90"/>
  <c r="H17" i="25" s="1"/>
  <c r="AD55" i="90"/>
  <c r="I17" i="25" s="1"/>
  <c r="AE55" i="90"/>
  <c r="J17" i="25" s="1"/>
  <c r="AG55" i="90"/>
  <c r="K17" i="25" s="1"/>
  <c r="AH55" i="90"/>
  <c r="L17" i="25" s="1"/>
  <c r="AI55" i="90"/>
  <c r="M17" i="25" s="1"/>
  <c r="AJ55" i="90"/>
  <c r="N17" i="25" s="1"/>
  <c r="W56" i="90"/>
  <c r="X56" i="90"/>
  <c r="Y56" i="90"/>
  <c r="Z56" i="90"/>
  <c r="AB56" i="90"/>
  <c r="AC56" i="90"/>
  <c r="AD56" i="90"/>
  <c r="AE56" i="90"/>
  <c r="AG56" i="90"/>
  <c r="AH56" i="90"/>
  <c r="AI56" i="90"/>
  <c r="AJ56" i="90"/>
  <c r="W61" i="90"/>
  <c r="C25" i="25" s="1"/>
  <c r="X61" i="90"/>
  <c r="D25" i="25" s="1"/>
  <c r="Y61" i="90"/>
  <c r="E25" i="25" s="1"/>
  <c r="Z61" i="90"/>
  <c r="F25" i="25" s="1"/>
  <c r="AB61" i="90"/>
  <c r="G25" i="25" s="1"/>
  <c r="AC61" i="90"/>
  <c r="H25" i="25" s="1"/>
  <c r="AD61" i="90"/>
  <c r="I25" i="25" s="1"/>
  <c r="AE61" i="90"/>
  <c r="J25" i="25" s="1"/>
  <c r="AG61" i="90"/>
  <c r="K25" i="25" s="1"/>
  <c r="AH61" i="90"/>
  <c r="L25" i="25" s="1"/>
  <c r="AI61" i="90"/>
  <c r="M25" i="25" s="1"/>
  <c r="AJ61" i="90"/>
  <c r="N25" i="25" s="1"/>
  <c r="W62" i="90"/>
  <c r="C26" i="25" s="1"/>
  <c r="O26" i="25" s="1"/>
  <c r="E27" i="5" s="1"/>
  <c r="AG34" i="5" s="1"/>
  <c r="X62" i="90"/>
  <c r="D26" i="25" s="1"/>
  <c r="Y62" i="90"/>
  <c r="E26" i="25" s="1"/>
  <c r="Z62" i="90"/>
  <c r="F26" i="25" s="1"/>
  <c r="R26" i="25" s="1"/>
  <c r="H27" i="5" s="1"/>
  <c r="AJ34" i="5" s="1"/>
  <c r="AB62" i="90"/>
  <c r="G26" i="25" s="1"/>
  <c r="AC62" i="90"/>
  <c r="H26" i="25" s="1"/>
  <c r="AD62" i="90"/>
  <c r="I26" i="25" s="1"/>
  <c r="AE62" i="90"/>
  <c r="J26" i="25" s="1"/>
  <c r="AG62" i="90"/>
  <c r="K26" i="25" s="1"/>
  <c r="AH62" i="90"/>
  <c r="L26" i="25" s="1"/>
  <c r="AI62" i="90"/>
  <c r="M26" i="25" s="1"/>
  <c r="AJ62" i="90"/>
  <c r="N26" i="25" s="1"/>
  <c r="W63" i="90"/>
  <c r="C27" i="25" s="1"/>
  <c r="O27" i="25" s="1"/>
  <c r="E28" i="5" s="1"/>
  <c r="AG35" i="5" s="1"/>
  <c r="X63" i="90"/>
  <c r="D27" i="25" s="1"/>
  <c r="Y63" i="90"/>
  <c r="E27" i="25" s="1"/>
  <c r="Z63" i="90"/>
  <c r="F27" i="25" s="1"/>
  <c r="R27" i="25" s="1"/>
  <c r="H28" i="5" s="1"/>
  <c r="AJ35" i="5" s="1"/>
  <c r="AB63" i="90"/>
  <c r="G27" i="25" s="1"/>
  <c r="AC63" i="90"/>
  <c r="H27" i="25" s="1"/>
  <c r="AD63" i="90"/>
  <c r="I27" i="25" s="1"/>
  <c r="AE63" i="90"/>
  <c r="J27" i="25" s="1"/>
  <c r="AG63" i="90"/>
  <c r="K27" i="25" s="1"/>
  <c r="AH63" i="90"/>
  <c r="L27" i="25" s="1"/>
  <c r="AI63" i="90"/>
  <c r="M27" i="25" s="1"/>
  <c r="AJ63" i="90"/>
  <c r="N27" i="25" s="1"/>
  <c r="W64" i="90"/>
  <c r="C28" i="25" s="1"/>
  <c r="O28" i="25" s="1"/>
  <c r="E29" i="5" s="1"/>
  <c r="AG36" i="5" s="1"/>
  <c r="X64" i="90"/>
  <c r="D28" i="25" s="1"/>
  <c r="Y64" i="90"/>
  <c r="E28" i="25" s="1"/>
  <c r="Z64" i="90"/>
  <c r="F28" i="25" s="1"/>
  <c r="R28" i="25" s="1"/>
  <c r="H29" i="5" s="1"/>
  <c r="AJ36" i="5" s="1"/>
  <c r="AB64" i="90"/>
  <c r="G28" i="25" s="1"/>
  <c r="AC64" i="90"/>
  <c r="H28" i="25" s="1"/>
  <c r="AD64" i="90"/>
  <c r="I28" i="25" s="1"/>
  <c r="AE64" i="90"/>
  <c r="J28" i="25" s="1"/>
  <c r="AG64" i="90"/>
  <c r="K28" i="25" s="1"/>
  <c r="AH64" i="90"/>
  <c r="L28" i="25" s="1"/>
  <c r="AI64" i="90"/>
  <c r="M28" i="25" s="1"/>
  <c r="AJ64" i="90"/>
  <c r="N28" i="25" s="1"/>
  <c r="W65" i="90"/>
  <c r="C29" i="25" s="1"/>
  <c r="O29" i="25" s="1"/>
  <c r="E30" i="5" s="1"/>
  <c r="AG37" i="5" s="1"/>
  <c r="X65" i="90"/>
  <c r="D29" i="25" s="1"/>
  <c r="Y65" i="90"/>
  <c r="E29" i="25" s="1"/>
  <c r="Z65" i="90"/>
  <c r="F29" i="25" s="1"/>
  <c r="R29" i="25" s="1"/>
  <c r="H30" i="5" s="1"/>
  <c r="AJ37" i="5" s="1"/>
  <c r="AB65" i="90"/>
  <c r="G29" i="25" s="1"/>
  <c r="AC65" i="90"/>
  <c r="H29" i="25" s="1"/>
  <c r="AD65" i="90"/>
  <c r="I29" i="25" s="1"/>
  <c r="AE65" i="90"/>
  <c r="J29" i="25" s="1"/>
  <c r="AG65" i="90"/>
  <c r="K29" i="25" s="1"/>
  <c r="AH65" i="90"/>
  <c r="L29" i="25" s="1"/>
  <c r="AI65" i="90"/>
  <c r="M29" i="25" s="1"/>
  <c r="AJ65" i="90"/>
  <c r="N29" i="25" s="1"/>
  <c r="W66" i="90"/>
  <c r="C30" i="25" s="1"/>
  <c r="O30" i="25" s="1"/>
  <c r="E31" i="5" s="1"/>
  <c r="AG38" i="5" s="1"/>
  <c r="X66" i="90"/>
  <c r="D30" i="25" s="1"/>
  <c r="Y66" i="90"/>
  <c r="E30" i="25" s="1"/>
  <c r="Z66" i="90"/>
  <c r="F30" i="25" s="1"/>
  <c r="R30" i="25" s="1"/>
  <c r="H31" i="5" s="1"/>
  <c r="AJ38" i="5" s="1"/>
  <c r="AB66" i="90"/>
  <c r="G30" i="25" s="1"/>
  <c r="AC66" i="90"/>
  <c r="H30" i="25" s="1"/>
  <c r="AD66" i="90"/>
  <c r="I30" i="25" s="1"/>
  <c r="AE66" i="90"/>
  <c r="J30" i="25" s="1"/>
  <c r="AG66" i="90"/>
  <c r="K30" i="25" s="1"/>
  <c r="AH66" i="90"/>
  <c r="L30" i="25" s="1"/>
  <c r="AI66" i="90"/>
  <c r="M30" i="25" s="1"/>
  <c r="AJ66" i="90"/>
  <c r="N30" i="25" s="1"/>
  <c r="W67" i="90"/>
  <c r="X67" i="90"/>
  <c r="Y67" i="90"/>
  <c r="Z67" i="90"/>
  <c r="AB67" i="90"/>
  <c r="AC67" i="90"/>
  <c r="AD67" i="90"/>
  <c r="AE67" i="90"/>
  <c r="AG67" i="90"/>
  <c r="AH67" i="90"/>
  <c r="AI67" i="90"/>
  <c r="AJ67" i="90"/>
  <c r="W72" i="90"/>
  <c r="C38" i="25" s="1"/>
  <c r="C42" i="25" s="1"/>
  <c r="E44" i="5" s="1"/>
  <c r="X72" i="90"/>
  <c r="D38" i="25" s="1"/>
  <c r="D42" i="25" s="1"/>
  <c r="F44" i="5" s="1"/>
  <c r="AH43" i="5" s="1"/>
  <c r="Y72" i="90"/>
  <c r="E38" i="25" s="1"/>
  <c r="Z72" i="90"/>
  <c r="F38" i="25" s="1"/>
  <c r="F42" i="25" s="1"/>
  <c r="H44" i="5" s="1"/>
  <c r="AB72" i="90"/>
  <c r="C39" i="25" s="1"/>
  <c r="AC72" i="90"/>
  <c r="D39" i="25" s="1"/>
  <c r="AD72" i="90"/>
  <c r="E39" i="25" s="1"/>
  <c r="AE72" i="90"/>
  <c r="F39" i="25" s="1"/>
  <c r="AG72" i="90"/>
  <c r="C40" i="25" s="1"/>
  <c r="AH72" i="90"/>
  <c r="D40" i="25" s="1"/>
  <c r="AI72" i="90"/>
  <c r="E40" i="25" s="1"/>
  <c r="AJ72" i="90"/>
  <c r="F40" i="25" s="1"/>
  <c r="W76" i="90"/>
  <c r="I38" i="25" s="1"/>
  <c r="I42" i="25" s="1"/>
  <c r="E22" i="5" s="1"/>
  <c r="X76" i="90"/>
  <c r="J38" i="25" s="1"/>
  <c r="J42" i="25" s="1"/>
  <c r="F22" i="5" s="1"/>
  <c r="Y76" i="90"/>
  <c r="K38" i="25" s="1"/>
  <c r="K42" i="25" s="1"/>
  <c r="G22" i="5" s="1"/>
  <c r="AI22" i="5" s="1"/>
  <c r="G35" i="28" s="1"/>
  <c r="AI35" i="28" s="1"/>
  <c r="AJ35" i="28" s="1"/>
  <c r="AK35" i="28" s="1"/>
  <c r="AL35" i="28" s="1"/>
  <c r="Z76" i="90"/>
  <c r="L38" i="25" s="1"/>
  <c r="L42" i="25" s="1"/>
  <c r="H22" i="5" s="1"/>
  <c r="AB76" i="90"/>
  <c r="I39" i="25" s="1"/>
  <c r="AC76" i="90"/>
  <c r="J39" i="25" s="1"/>
  <c r="AD76" i="90"/>
  <c r="K39" i="25" s="1"/>
  <c r="AE76" i="90"/>
  <c r="L39" i="25" s="1"/>
  <c r="AG76" i="90"/>
  <c r="I40" i="25" s="1"/>
  <c r="AH76" i="90"/>
  <c r="J40" i="25" s="1"/>
  <c r="AI76" i="90"/>
  <c r="K40" i="25" s="1"/>
  <c r="AJ76" i="90"/>
  <c r="L40" i="25" s="1"/>
  <c r="W77" i="90"/>
  <c r="X77" i="90"/>
  <c r="Y77" i="90"/>
  <c r="G38" i="25" s="1"/>
  <c r="Z77" i="90"/>
  <c r="AB77" i="90"/>
  <c r="G39" i="25" s="1"/>
  <c r="AC77" i="90"/>
  <c r="AD77" i="90"/>
  <c r="AE77" i="90"/>
  <c r="AG77" i="90"/>
  <c r="G40" i="25" s="1"/>
  <c r="AH77" i="90"/>
  <c r="AI77" i="90"/>
  <c r="AJ77" i="90"/>
  <c r="W78" i="90"/>
  <c r="X78" i="90"/>
  <c r="Y78" i="90"/>
  <c r="H38" i="25" s="1"/>
  <c r="Z78" i="90"/>
  <c r="AB78" i="90"/>
  <c r="H39" i="25" s="1"/>
  <c r="AC78" i="90"/>
  <c r="AD78" i="90"/>
  <c r="AE78" i="90"/>
  <c r="AG78" i="90"/>
  <c r="H40" i="25" s="1"/>
  <c r="AH78" i="90"/>
  <c r="AI78" i="90"/>
  <c r="AJ78" i="90"/>
  <c r="W79" i="90"/>
  <c r="X79" i="90"/>
  <c r="Y79" i="90"/>
  <c r="Z79" i="90"/>
  <c r="AB79" i="90"/>
  <c r="AC79" i="90"/>
  <c r="AD79" i="90"/>
  <c r="AE79" i="90"/>
  <c r="AG79" i="90"/>
  <c r="AH79" i="90"/>
  <c r="AI79" i="90"/>
  <c r="AJ79" i="90"/>
  <c r="W80" i="90"/>
  <c r="X80" i="90"/>
  <c r="Y80" i="90"/>
  <c r="Z80" i="90"/>
  <c r="AB80" i="90"/>
  <c r="AC80" i="90"/>
  <c r="AD80" i="90"/>
  <c r="AE80" i="90"/>
  <c r="AG80" i="90"/>
  <c r="AH80" i="90"/>
  <c r="AI80" i="90"/>
  <c r="AJ80" i="90"/>
  <c r="AL83" i="90"/>
  <c r="AM83" i="90"/>
  <c r="AN83" i="90"/>
  <c r="W84" i="90"/>
  <c r="C50" i="25" s="1"/>
  <c r="O50" i="25" s="1"/>
  <c r="E55" i="5" s="1"/>
  <c r="X84" i="90"/>
  <c r="D50" i="25" s="1"/>
  <c r="P50" i="25" s="1"/>
  <c r="F55" i="5" s="1"/>
  <c r="Y84" i="90"/>
  <c r="E50" i="25" s="1"/>
  <c r="Q50" i="25" s="1"/>
  <c r="G55" i="5" s="1"/>
  <c r="Z84" i="90"/>
  <c r="F50" i="25" s="1"/>
  <c r="R50" i="25" s="1"/>
  <c r="H55" i="5" s="1"/>
  <c r="AB84" i="90"/>
  <c r="G50" i="25" s="1"/>
  <c r="AC84" i="90"/>
  <c r="H50" i="25" s="1"/>
  <c r="AD84" i="90"/>
  <c r="I50" i="25" s="1"/>
  <c r="AE84" i="90"/>
  <c r="J50" i="25" s="1"/>
  <c r="AG84" i="90"/>
  <c r="K50" i="25" s="1"/>
  <c r="AH84" i="90"/>
  <c r="L50" i="25" s="1"/>
  <c r="AI84" i="90"/>
  <c r="M50" i="25" s="1"/>
  <c r="AJ84" i="90"/>
  <c r="N50" i="25" s="1"/>
  <c r="AL84" i="90"/>
  <c r="AM84" i="90"/>
  <c r="AN84" i="90"/>
  <c r="W85" i="90"/>
  <c r="C52" i="25" s="1"/>
  <c r="O52" i="25" s="1"/>
  <c r="E57" i="5" s="1"/>
  <c r="AG55" i="5" s="1"/>
  <c r="G16" i="37" s="1"/>
  <c r="X85" i="90"/>
  <c r="D52" i="25" s="1"/>
  <c r="P52" i="25" s="1"/>
  <c r="F57" i="5" s="1"/>
  <c r="Y85" i="90"/>
  <c r="E52" i="25" s="1"/>
  <c r="Q52" i="25" s="1"/>
  <c r="G57" i="5" s="1"/>
  <c r="Z85" i="90"/>
  <c r="F52" i="25" s="1"/>
  <c r="R52" i="25" s="1"/>
  <c r="H57" i="5" s="1"/>
  <c r="AB85" i="90"/>
  <c r="G52" i="25" s="1"/>
  <c r="AC85" i="90"/>
  <c r="H52" i="25" s="1"/>
  <c r="AD85" i="90"/>
  <c r="I52" i="25" s="1"/>
  <c r="AE85" i="90"/>
  <c r="J52" i="25" s="1"/>
  <c r="AG85" i="90"/>
  <c r="K52" i="25" s="1"/>
  <c r="AH85" i="90"/>
  <c r="L52" i="25" s="1"/>
  <c r="AI85" i="90"/>
  <c r="M52" i="25" s="1"/>
  <c r="AJ85" i="90"/>
  <c r="N52" i="25" s="1"/>
  <c r="AL85" i="90"/>
  <c r="AM85" i="90"/>
  <c r="AN85" i="90"/>
  <c r="W86" i="90"/>
  <c r="C53" i="25" s="1"/>
  <c r="O53" i="25" s="1"/>
  <c r="E58" i="5" s="1"/>
  <c r="X86" i="90"/>
  <c r="D53" i="25" s="1"/>
  <c r="P53" i="25" s="1"/>
  <c r="F58" i="5" s="1"/>
  <c r="AH56" i="5" s="1"/>
  <c r="G30" i="37" s="1"/>
  <c r="Y86" i="90"/>
  <c r="E53" i="25" s="1"/>
  <c r="Q53" i="25" s="1"/>
  <c r="G58" i="5" s="1"/>
  <c r="Z86" i="90"/>
  <c r="F53" i="25" s="1"/>
  <c r="R53" i="25" s="1"/>
  <c r="H58" i="5" s="1"/>
  <c r="AB86" i="90"/>
  <c r="G53" i="25" s="1"/>
  <c r="AC86" i="90"/>
  <c r="H53" i="25" s="1"/>
  <c r="AD86" i="90"/>
  <c r="I53" i="25" s="1"/>
  <c r="AE86" i="90"/>
  <c r="J53" i="25" s="1"/>
  <c r="AG86" i="90"/>
  <c r="K53" i="25" s="1"/>
  <c r="AH86" i="90"/>
  <c r="L53" i="25" s="1"/>
  <c r="AI86" i="90"/>
  <c r="M53" i="25" s="1"/>
  <c r="AJ86" i="90"/>
  <c r="N53" i="25" s="1"/>
  <c r="AL86" i="90"/>
  <c r="AM86" i="90"/>
  <c r="AN86" i="90"/>
  <c r="W87" i="90"/>
  <c r="C54" i="25" s="1"/>
  <c r="O54" i="25" s="1"/>
  <c r="E59" i="5" s="1"/>
  <c r="X87" i="90"/>
  <c r="D54" i="25" s="1"/>
  <c r="P54" i="25" s="1"/>
  <c r="F59" i="5" s="1"/>
  <c r="Y87" i="90"/>
  <c r="E54" i="25" s="1"/>
  <c r="Q54" i="25" s="1"/>
  <c r="G59" i="5" s="1"/>
  <c r="Z87" i="90"/>
  <c r="F54" i="25" s="1"/>
  <c r="R54" i="25" s="1"/>
  <c r="H59" i="5" s="1"/>
  <c r="AB87" i="90"/>
  <c r="G54" i="25" s="1"/>
  <c r="AC87" i="90"/>
  <c r="H54" i="25" s="1"/>
  <c r="AD87" i="90"/>
  <c r="I54" i="25" s="1"/>
  <c r="AE87" i="90"/>
  <c r="J54" i="25" s="1"/>
  <c r="AG87" i="90"/>
  <c r="K54" i="25" s="1"/>
  <c r="AH87" i="90"/>
  <c r="L54" i="25" s="1"/>
  <c r="AI87" i="90"/>
  <c r="M54" i="25" s="1"/>
  <c r="AJ87" i="90"/>
  <c r="N54" i="25" s="1"/>
  <c r="AL87" i="90"/>
  <c r="AM87" i="90"/>
  <c r="AN87" i="90"/>
  <c r="V94" i="90"/>
  <c r="W94" i="90"/>
  <c r="C60" i="25" s="1"/>
  <c r="C64" i="25" s="1"/>
  <c r="X94" i="90"/>
  <c r="D60" i="25" s="1"/>
  <c r="D64" i="25" s="1"/>
  <c r="Y94" i="90"/>
  <c r="E60" i="25" s="1"/>
  <c r="E64" i="25" s="1"/>
  <c r="Z94" i="90"/>
  <c r="F60" i="25" s="1"/>
  <c r="F64" i="25" s="1"/>
  <c r="AA94" i="90"/>
  <c r="G60" i="25" s="1"/>
  <c r="G64" i="25" s="1"/>
  <c r="AB94" i="90"/>
  <c r="H60" i="25" s="1"/>
  <c r="H64" i="25" s="1"/>
  <c r="AC94" i="90"/>
  <c r="I60" i="25" s="1"/>
  <c r="I64" i="25" s="1"/>
  <c r="AD94" i="90"/>
  <c r="J60" i="25" s="1"/>
  <c r="J64" i="25" s="1"/>
  <c r="AE94" i="90"/>
  <c r="K60" i="25" s="1"/>
  <c r="K64" i="25" s="1"/>
  <c r="V95" i="90"/>
  <c r="W95" i="90"/>
  <c r="C61" i="25" s="1"/>
  <c r="X95" i="90"/>
  <c r="D61" i="25" s="1"/>
  <c r="Y95" i="90"/>
  <c r="E61" i="25" s="1"/>
  <c r="Z95" i="90"/>
  <c r="F61" i="25" s="1"/>
  <c r="AA95" i="90"/>
  <c r="G61" i="25" s="1"/>
  <c r="AB95" i="90"/>
  <c r="H61" i="25" s="1"/>
  <c r="AC95" i="90"/>
  <c r="I61" i="25" s="1"/>
  <c r="AD95" i="90"/>
  <c r="J61" i="25" s="1"/>
  <c r="AE95" i="90"/>
  <c r="K61" i="25" s="1"/>
  <c r="V96" i="90"/>
  <c r="W96" i="90"/>
  <c r="X96" i="90"/>
  <c r="Y96" i="90"/>
  <c r="Z96" i="90"/>
  <c r="AA96" i="90"/>
  <c r="AB96" i="90"/>
  <c r="AC96" i="90"/>
  <c r="AD96" i="90"/>
  <c r="AE96" i="90"/>
  <c r="V97" i="90"/>
  <c r="W97" i="90"/>
  <c r="C62" i="25" s="1"/>
  <c r="X97" i="90"/>
  <c r="D62" i="25" s="1"/>
  <c r="Y97" i="90"/>
  <c r="E62" i="25" s="1"/>
  <c r="Z97" i="90"/>
  <c r="F62" i="25" s="1"/>
  <c r="AA97" i="90"/>
  <c r="G62" i="25" s="1"/>
  <c r="AB97" i="90"/>
  <c r="H62" i="25" s="1"/>
  <c r="AC97" i="90"/>
  <c r="I62" i="25" s="1"/>
  <c r="AD97" i="90"/>
  <c r="J62" i="25" s="1"/>
  <c r="AE97" i="90"/>
  <c r="K62" i="25" s="1"/>
  <c r="V98" i="90"/>
  <c r="W98" i="90"/>
  <c r="C66" i="25" s="1"/>
  <c r="C70" i="25" s="1"/>
  <c r="X98" i="90"/>
  <c r="D66" i="25" s="1"/>
  <c r="D70" i="25" s="1"/>
  <c r="Y98" i="90"/>
  <c r="E66" i="25" s="1"/>
  <c r="E70" i="25" s="1"/>
  <c r="Z98" i="90"/>
  <c r="F66" i="25" s="1"/>
  <c r="F70" i="25" s="1"/>
  <c r="AA98" i="90"/>
  <c r="G66" i="25" s="1"/>
  <c r="G70" i="25" s="1"/>
  <c r="AB98" i="90"/>
  <c r="H66" i="25" s="1"/>
  <c r="H70" i="25" s="1"/>
  <c r="AC98" i="90"/>
  <c r="I66" i="25" s="1"/>
  <c r="I70" i="25" s="1"/>
  <c r="AD98" i="90"/>
  <c r="J66" i="25" s="1"/>
  <c r="J70" i="25" s="1"/>
  <c r="AE98" i="90"/>
  <c r="K66" i="25" s="1"/>
  <c r="K70" i="25" s="1"/>
  <c r="V99" i="90"/>
  <c r="W99" i="90"/>
  <c r="C67" i="25" s="1"/>
  <c r="X99" i="90"/>
  <c r="D67" i="25" s="1"/>
  <c r="Y99" i="90"/>
  <c r="E67" i="25" s="1"/>
  <c r="Z99" i="90"/>
  <c r="F67" i="25" s="1"/>
  <c r="AA99" i="90"/>
  <c r="G67" i="25" s="1"/>
  <c r="AB99" i="90"/>
  <c r="H67" i="25" s="1"/>
  <c r="AC99" i="90"/>
  <c r="I67" i="25" s="1"/>
  <c r="AD99" i="90"/>
  <c r="J67" i="25" s="1"/>
  <c r="AE99" i="90"/>
  <c r="K67" i="25" s="1"/>
  <c r="W108" i="90"/>
  <c r="M38" i="25" s="1"/>
  <c r="M42" i="25" s="1"/>
  <c r="O16" i="5" s="1"/>
  <c r="Q16" i="5" s="1"/>
  <c r="AB108" i="90"/>
  <c r="M39" i="25" s="1"/>
  <c r="AG108" i="90"/>
  <c r="M40" i="25" s="1"/>
  <c r="W109" i="90"/>
  <c r="N38" i="25" s="1"/>
  <c r="N42" i="25" s="1"/>
  <c r="O17" i="5" s="1"/>
  <c r="AB109" i="90"/>
  <c r="N39" i="25" s="1"/>
  <c r="AG109" i="90"/>
  <c r="N40" i="25" s="1"/>
  <c r="W110" i="90"/>
  <c r="O38" i="25" s="1"/>
  <c r="O42" i="25" s="1"/>
  <c r="O18" i="5" s="1"/>
  <c r="Q18" i="5" s="1"/>
  <c r="AB110" i="90"/>
  <c r="O39" i="25" s="1"/>
  <c r="AG110" i="90"/>
  <c r="O40" i="25" s="1"/>
  <c r="W111" i="90"/>
  <c r="P38" i="25" s="1"/>
  <c r="P42" i="25" s="1"/>
  <c r="O19" i="5" s="1"/>
  <c r="AB111" i="90"/>
  <c r="P39" i="25" s="1"/>
  <c r="AG111" i="90"/>
  <c r="P40" i="25" s="1"/>
  <c r="V117" i="90"/>
  <c r="W117" i="90"/>
  <c r="M59" i="25" s="1"/>
  <c r="M63" i="25" s="1"/>
  <c r="E71" i="5" s="1"/>
  <c r="AG60" i="5" s="1"/>
  <c r="X117" i="90"/>
  <c r="N59" i="25" s="1"/>
  <c r="N63" i="25" s="1"/>
  <c r="F71" i="5" s="1"/>
  <c r="Y117" i="90"/>
  <c r="O59" i="25" s="1"/>
  <c r="O63" i="25" s="1"/>
  <c r="G71" i="5" s="1"/>
  <c r="AI60" i="5" s="1"/>
  <c r="G22" i="29" s="1"/>
  <c r="Z117" i="90"/>
  <c r="P59" i="25" s="1"/>
  <c r="P63" i="25" s="1"/>
  <c r="H71" i="5" s="1"/>
  <c r="AJ60" i="5" s="1"/>
  <c r="AA117" i="90"/>
  <c r="Q59" i="25" s="1"/>
  <c r="Q63" i="25" s="1"/>
  <c r="I71" i="5" s="1"/>
  <c r="AK60" i="5" s="1"/>
  <c r="AB117" i="90"/>
  <c r="R59" i="25" s="1"/>
  <c r="R63" i="25" s="1"/>
  <c r="D69" i="5" s="1"/>
  <c r="AC117" i="90"/>
  <c r="V118" i="90"/>
  <c r="W118" i="90"/>
  <c r="M60" i="25" s="1"/>
  <c r="X118" i="90"/>
  <c r="N60" i="25" s="1"/>
  <c r="Y118" i="90"/>
  <c r="O60" i="25" s="1"/>
  <c r="Z118" i="90"/>
  <c r="P60" i="25" s="1"/>
  <c r="AA118" i="90"/>
  <c r="Q60" i="25" s="1"/>
  <c r="AB118" i="90"/>
  <c r="R60" i="25" s="1"/>
  <c r="AC118" i="90"/>
  <c r="V119" i="90"/>
  <c r="W119" i="90"/>
  <c r="M61" i="25" s="1"/>
  <c r="X119" i="90"/>
  <c r="N61" i="25" s="1"/>
  <c r="Y119" i="90"/>
  <c r="O61" i="25" s="1"/>
  <c r="Z119" i="90"/>
  <c r="P61" i="25" s="1"/>
  <c r="AA119" i="90"/>
  <c r="Q61" i="25" s="1"/>
  <c r="AB119" i="90"/>
  <c r="R61" i="25" s="1"/>
  <c r="AC119" i="90"/>
  <c r="D30" i="26" l="1"/>
  <c r="E68" i="46"/>
  <c r="S44" i="59"/>
  <c r="S46" i="59" s="1"/>
  <c r="D22" i="46"/>
  <c r="D79" i="46" s="1"/>
  <c r="S67" i="32"/>
  <c r="E20" i="40"/>
  <c r="V58" i="5"/>
  <c r="F20" i="40"/>
  <c r="F19" i="40"/>
  <c r="J19" i="40" s="1"/>
  <c r="J12" i="58"/>
  <c r="H12" i="58" s="1"/>
  <c r="H11" i="58"/>
  <c r="U57" i="51"/>
  <c r="B17" i="70"/>
  <c r="J61" i="32"/>
  <c r="J60" i="32"/>
  <c r="J59" i="32"/>
  <c r="N51" i="32"/>
  <c r="J44" i="59"/>
  <c r="O15" i="59"/>
  <c r="J15" i="59"/>
  <c r="H72" i="25"/>
  <c r="V74" i="5" s="1"/>
  <c r="AS73" i="5" s="1"/>
  <c r="Y74" i="5" s="1"/>
  <c r="G67" i="46" s="1"/>
  <c r="AI67" i="46" s="1"/>
  <c r="AJ67" i="46" s="1"/>
  <c r="AK67" i="46" s="1"/>
  <c r="AL67" i="46" s="1"/>
  <c r="D72" i="25"/>
  <c r="V70" i="5" s="1"/>
  <c r="AS69" i="5" s="1"/>
  <c r="Y70" i="5" s="1"/>
  <c r="G63" i="46" s="1"/>
  <c r="AI63" i="46" s="1"/>
  <c r="AJ63" i="46" s="1"/>
  <c r="AK63" i="46" s="1"/>
  <c r="AL63" i="46" s="1"/>
  <c r="AH57" i="5"/>
  <c r="G32" i="37" s="1"/>
  <c r="AJ55" i="5"/>
  <c r="G55" i="37" s="1"/>
  <c r="AH22" i="5"/>
  <c r="G35" i="77" s="1"/>
  <c r="AI35" i="77" s="1"/>
  <c r="AJ35" i="77" s="1"/>
  <c r="AK35" i="77" s="1"/>
  <c r="AL35" i="77" s="1"/>
  <c r="P30" i="25"/>
  <c r="F31" i="5" s="1"/>
  <c r="AH38" i="5" s="1"/>
  <c r="P29" i="25"/>
  <c r="F30" i="5" s="1"/>
  <c r="AH37" i="5" s="1"/>
  <c r="P28" i="25"/>
  <c r="F29" i="5" s="1"/>
  <c r="AH36" i="5" s="1"/>
  <c r="P27" i="25"/>
  <c r="F28" i="5" s="1"/>
  <c r="AH35" i="5" s="1"/>
  <c r="P26" i="25"/>
  <c r="F27" i="5" s="1"/>
  <c r="AH34" i="5" s="1"/>
  <c r="P17" i="25"/>
  <c r="F14" i="5" s="1"/>
  <c r="AH14" i="5" s="1"/>
  <c r="AL38" i="5" s="1"/>
  <c r="P16" i="25"/>
  <c r="F13" i="5" s="1"/>
  <c r="AH13" i="5" s="1"/>
  <c r="P15" i="25"/>
  <c r="F12" i="5" s="1"/>
  <c r="AH12" i="5" s="1"/>
  <c r="AH19" i="5" s="1"/>
  <c r="G32" i="77" s="1"/>
  <c r="AI32" i="77" s="1"/>
  <c r="AJ32" i="77" s="1"/>
  <c r="AK32" i="77" s="1"/>
  <c r="AL32" i="77" s="1"/>
  <c r="P14" i="25"/>
  <c r="F11" i="5" s="1"/>
  <c r="AH11" i="5" s="1"/>
  <c r="P27" i="1"/>
  <c r="C90" i="5"/>
  <c r="H2" i="97" s="1"/>
  <c r="B61" i="25"/>
  <c r="G45" i="25"/>
  <c r="S60" i="32"/>
  <c r="O59" i="32"/>
  <c r="R45" i="32"/>
  <c r="D36" i="26"/>
  <c r="M8" i="34"/>
  <c r="O26" i="34"/>
  <c r="O41" i="34" s="1"/>
  <c r="E43" i="46"/>
  <c r="S49" i="11"/>
  <c r="R60" i="32"/>
  <c r="N59" i="32"/>
  <c r="C49" i="34"/>
  <c r="C32" i="35"/>
  <c r="C16" i="35" s="1"/>
  <c r="C38" i="1"/>
  <c r="C18" i="85" s="1"/>
  <c r="P39" i="1"/>
  <c r="P40" i="1" s="1"/>
  <c r="O60" i="32"/>
  <c r="G23" i="29"/>
  <c r="AR42" i="5"/>
  <c r="AJ15" i="5"/>
  <c r="AJ24" i="5" s="1"/>
  <c r="G37" i="78" s="1"/>
  <c r="AI37" i="78" s="1"/>
  <c r="AJ37" i="78" s="1"/>
  <c r="AK37" i="78" s="1"/>
  <c r="AL37" i="78" s="1"/>
  <c r="R46" i="32"/>
  <c r="R70" i="32" s="1"/>
  <c r="F56" i="16"/>
  <c r="D16" i="51"/>
  <c r="D29" i="51" s="1"/>
  <c r="N29" i="95" s="1"/>
  <c r="C28" i="35"/>
  <c r="D35" i="26"/>
  <c r="C17" i="28"/>
  <c r="AG55" i="37"/>
  <c r="AG56" i="37" s="1"/>
  <c r="E70" i="46"/>
  <c r="E69" i="46"/>
  <c r="H7" i="53"/>
  <c r="E46" i="40" s="1"/>
  <c r="E49" i="40" s="1"/>
  <c r="W32" i="111"/>
  <c r="AI55" i="37"/>
  <c r="AJ55" i="37" s="1"/>
  <c r="AK55" i="37" s="1"/>
  <c r="AL55" i="37" s="1"/>
  <c r="K8" i="34"/>
  <c r="AJ56" i="5"/>
  <c r="G56" i="37" s="1"/>
  <c r="AG43" i="5"/>
  <c r="AK4" i="38" s="1"/>
  <c r="E31" i="26"/>
  <c r="S26" i="11"/>
  <c r="AJ57" i="5"/>
  <c r="G58" i="37" s="1"/>
  <c r="AI16" i="37"/>
  <c r="AJ16" i="37" s="1"/>
  <c r="AK16" i="37" s="1"/>
  <c r="AL16" i="37" s="1"/>
  <c r="AJ53" i="5"/>
  <c r="G53" i="37" s="1"/>
  <c r="B18" i="70"/>
  <c r="I10" i="1"/>
  <c r="E14" i="32"/>
  <c r="E21" i="32" s="1"/>
  <c r="E28" i="32" s="1"/>
  <c r="E35" i="32" s="1"/>
  <c r="F61" i="16"/>
  <c r="C30" i="35"/>
  <c r="AG68" i="37"/>
  <c r="AG69" i="37" s="1"/>
  <c r="AG42" i="37"/>
  <c r="AG43" i="37" s="1"/>
  <c r="AG29" i="37"/>
  <c r="AG30" i="37" s="1"/>
  <c r="AI30" i="37" s="1"/>
  <c r="AJ30" i="37" s="1"/>
  <c r="AK30" i="37" s="1"/>
  <c r="AL30" i="37" s="1"/>
  <c r="S15" i="59"/>
  <c r="N60" i="32"/>
  <c r="N45" i="32"/>
  <c r="N69" i="32" s="1"/>
  <c r="N13" i="29" s="1"/>
  <c r="N52" i="32"/>
  <c r="C17" i="1"/>
  <c r="B3" i="35" s="1"/>
  <c r="AG15" i="5"/>
  <c r="AG24" i="5" s="1"/>
  <c r="G37" i="26" s="1"/>
  <c r="AI37" i="26" s="1"/>
  <c r="AJ37" i="26" s="1"/>
  <c r="AK37" i="26" s="1"/>
  <c r="AL37" i="26" s="1"/>
  <c r="AO17" i="5"/>
  <c r="AK2" i="28"/>
  <c r="U47" i="46"/>
  <c r="I30" i="40"/>
  <c r="O44" i="59"/>
  <c r="F49" i="59"/>
  <c r="P46" i="1"/>
  <c r="C46" i="1" s="1"/>
  <c r="C26" i="85" s="1"/>
  <c r="P20" i="1"/>
  <c r="C20" i="1" s="1"/>
  <c r="B3" i="14" s="1"/>
  <c r="B15" i="1"/>
  <c r="AI69" i="5"/>
  <c r="AS33" i="5"/>
  <c r="G32" i="53" s="1"/>
  <c r="T32" i="53" s="1"/>
  <c r="AP17" i="5"/>
  <c r="AN17" i="5"/>
  <c r="O45" i="32"/>
  <c r="O61" i="32" s="1"/>
  <c r="P44" i="32"/>
  <c r="H15" i="94"/>
  <c r="F20" i="59"/>
  <c r="G20" i="59" s="1"/>
  <c r="M6" i="57"/>
  <c r="Q17" i="5"/>
  <c r="AS18" i="5" s="1"/>
  <c r="G11" i="38" s="1"/>
  <c r="E42" i="25"/>
  <c r="G44" i="5" s="1"/>
  <c r="AI43" i="5" s="1"/>
  <c r="O69" i="25" a="1"/>
  <c r="P69" i="25" s="1"/>
  <c r="Q19" i="5"/>
  <c r="AS20" i="5" s="1"/>
  <c r="G13" i="38" s="1"/>
  <c r="H42" i="25"/>
  <c r="O9" i="5" s="1"/>
  <c r="Q9" i="5" s="1"/>
  <c r="G42" i="25"/>
  <c r="O8" i="5" s="1"/>
  <c r="AS9" i="5" s="1"/>
  <c r="J61" i="16"/>
  <c r="F57" i="16"/>
  <c r="K53" i="32"/>
  <c r="K46" i="32"/>
  <c r="Q51" i="32"/>
  <c r="Q44" i="32"/>
  <c r="M51" i="32"/>
  <c r="M44" i="32"/>
  <c r="I51" i="32"/>
  <c r="I44" i="32"/>
  <c r="I68" i="32" s="1"/>
  <c r="I12" i="29" s="1"/>
  <c r="T99" i="5"/>
  <c r="AN20" i="5"/>
  <c r="AO19" i="5"/>
  <c r="AI54" i="5"/>
  <c r="L45" i="32"/>
  <c r="L52" i="32"/>
  <c r="I12" i="32"/>
  <c r="I19" i="32" s="1"/>
  <c r="I14" i="32"/>
  <c r="H41" i="34"/>
  <c r="N26" i="34"/>
  <c r="N41" i="34" s="1"/>
  <c r="D12" i="58"/>
  <c r="B12" i="58" s="1"/>
  <c r="E11" i="58"/>
  <c r="O11" i="58" s="1"/>
  <c r="M11" i="58" s="1"/>
  <c r="R11" i="58" s="1"/>
  <c r="B11" i="58"/>
  <c r="AH22" i="29"/>
  <c r="AI22" i="29" s="1"/>
  <c r="AJ22" i="29" s="1"/>
  <c r="AK22" i="29" s="1"/>
  <c r="AI57" i="5"/>
  <c r="G45" i="37" s="1"/>
  <c r="Q30" i="25"/>
  <c r="G31" i="5" s="1"/>
  <c r="AI38" i="5" s="1"/>
  <c r="Q29" i="25"/>
  <c r="G30" i="5" s="1"/>
  <c r="AI37" i="5" s="1"/>
  <c r="Q28" i="25"/>
  <c r="G29" i="5" s="1"/>
  <c r="AI36" i="5" s="1"/>
  <c r="Q27" i="25"/>
  <c r="G28" i="5" s="1"/>
  <c r="AI35" i="5" s="1"/>
  <c r="Q26" i="25"/>
  <c r="G27" i="5" s="1"/>
  <c r="AI34" i="5" s="1"/>
  <c r="B59" i="1"/>
  <c r="B40" i="83" s="1"/>
  <c r="P60" i="1"/>
  <c r="AR40" i="5"/>
  <c r="AR41" i="5"/>
  <c r="AN19" i="5"/>
  <c r="AH54" i="5"/>
  <c r="J62" i="32"/>
  <c r="I13" i="32"/>
  <c r="J13" i="32" s="1"/>
  <c r="I15" i="32"/>
  <c r="I22" i="32" s="1"/>
  <c r="AK2" i="26"/>
  <c r="D11" i="51"/>
  <c r="D24" i="51" s="1"/>
  <c r="N24" i="95" s="1"/>
  <c r="C17" i="26"/>
  <c r="E12" i="32"/>
  <c r="E19" i="32" s="1"/>
  <c r="E26" i="32" s="1"/>
  <c r="E33" i="32" s="1"/>
  <c r="AN3" i="29"/>
  <c r="G14" i="29" s="1"/>
  <c r="H46" i="32" s="1"/>
  <c r="H54" i="32" s="1"/>
  <c r="H62" i="32" s="1"/>
  <c r="H70" i="32" s="1"/>
  <c r="AK69" i="5"/>
  <c r="AN16" i="5"/>
  <c r="AN18" i="5"/>
  <c r="AK9" i="5"/>
  <c r="T2" i="35" s="1"/>
  <c r="U2" i="35" s="1"/>
  <c r="S53" i="32"/>
  <c r="S46" i="32"/>
  <c r="S69" i="32"/>
  <c r="AN2" i="29"/>
  <c r="D38" i="51"/>
  <c r="N40" i="95" s="1"/>
  <c r="D46" i="32"/>
  <c r="D54" i="32" s="1"/>
  <c r="D62" i="32" s="1"/>
  <c r="D70" i="32" s="1"/>
  <c r="C16" i="1"/>
  <c r="B3" i="51" s="1"/>
  <c r="AG69" i="5"/>
  <c r="AH60" i="5"/>
  <c r="G21" i="29" s="1"/>
  <c r="AH21" i="29" s="1"/>
  <c r="AI21" i="29" s="1"/>
  <c r="AJ21" i="29" s="1"/>
  <c r="AK21" i="29" s="1"/>
  <c r="AI53" i="5"/>
  <c r="G40" i="37" s="1"/>
  <c r="P33" i="1"/>
  <c r="C33" i="1" s="1"/>
  <c r="B3" i="63" s="1"/>
  <c r="AL67" i="5"/>
  <c r="K21" i="25"/>
  <c r="B40" i="25"/>
  <c r="C21" i="25"/>
  <c r="C10" i="25"/>
  <c r="S61" i="32"/>
  <c r="K61" i="32"/>
  <c r="Q59" i="32"/>
  <c r="M59" i="32"/>
  <c r="I59" i="32"/>
  <c r="T45" i="32"/>
  <c r="T52" i="32"/>
  <c r="C14" i="35"/>
  <c r="C42" i="97" s="1"/>
  <c r="C44" i="35"/>
  <c r="AD57" i="51"/>
  <c r="E21" i="28"/>
  <c r="E33" i="28" s="1"/>
  <c r="E33" i="26"/>
  <c r="B23" i="34"/>
  <c r="K7" i="34"/>
  <c r="L20" i="13"/>
  <c r="U18" i="13"/>
  <c r="U20" i="13" s="1"/>
  <c r="N6" i="57"/>
  <c r="O7" i="57"/>
  <c r="G20" i="29"/>
  <c r="AH20" i="29" s="1"/>
  <c r="AI20" i="29" s="1"/>
  <c r="AJ20" i="29" s="1"/>
  <c r="AK20" i="29" s="1"/>
  <c r="AI55" i="5"/>
  <c r="G42" i="37" s="1"/>
  <c r="AH53" i="5"/>
  <c r="G27" i="37" s="1"/>
  <c r="AG22" i="5"/>
  <c r="G35" i="26" s="1"/>
  <c r="AI35" i="26" s="1"/>
  <c r="AJ35" i="26" s="1"/>
  <c r="AK35" i="26" s="1"/>
  <c r="AL35" i="26" s="1"/>
  <c r="B67" i="25"/>
  <c r="P18" i="25"/>
  <c r="F15" i="5" s="1"/>
  <c r="AH15" i="5" s="1"/>
  <c r="AH24" i="5" s="1"/>
  <c r="G37" i="77" s="1"/>
  <c r="AI37" i="77" s="1"/>
  <c r="AJ37" i="77" s="1"/>
  <c r="AK37" i="77" s="1"/>
  <c r="AL37" i="77" s="1"/>
  <c r="O67" i="32"/>
  <c r="M66" i="32"/>
  <c r="K20" i="100"/>
  <c r="K22" i="100" s="1"/>
  <c r="E35" i="100"/>
  <c r="C43" i="34"/>
  <c r="C26" i="35"/>
  <c r="J13" i="58"/>
  <c r="H13" i="58" s="1"/>
  <c r="S40" i="59"/>
  <c r="O39" i="59"/>
  <c r="O45" i="59"/>
  <c r="O49" i="59"/>
  <c r="S50" i="59"/>
  <c r="H26" i="67"/>
  <c r="I30" i="19"/>
  <c r="W18" i="13"/>
  <c r="W20" i="13" s="1"/>
  <c r="AM16" i="5"/>
  <c r="D25" i="28"/>
  <c r="D37" i="28" s="1"/>
  <c r="D37" i="26"/>
  <c r="E65" i="46"/>
  <c r="E91" i="46"/>
  <c r="D51" i="51" s="1"/>
  <c r="C27" i="97" s="1"/>
  <c r="I7" i="11"/>
  <c r="E53" i="40"/>
  <c r="O68" i="25" a="1"/>
  <c r="O68" i="25" s="1"/>
  <c r="AG14" i="5"/>
  <c r="AK38" i="5" s="1"/>
  <c r="AG13" i="5"/>
  <c r="AG20" i="5" s="1"/>
  <c r="G33" i="26" s="1"/>
  <c r="AI33" i="26" s="1"/>
  <c r="AJ33" i="26" s="1"/>
  <c r="AK33" i="26" s="1"/>
  <c r="AL33" i="26" s="1"/>
  <c r="AG12" i="5"/>
  <c r="AK34" i="5" s="1"/>
  <c r="AG11" i="5"/>
  <c r="AG18" i="5" s="1"/>
  <c r="G31" i="26" s="1"/>
  <c r="AI31" i="26" s="1"/>
  <c r="AJ31" i="26" s="1"/>
  <c r="AK31" i="26" s="1"/>
  <c r="AL31" i="26" s="1"/>
  <c r="AH23" i="29"/>
  <c r="AI23" i="29" s="1"/>
  <c r="AJ23" i="29" s="1"/>
  <c r="AK23" i="29" s="1"/>
  <c r="J72" i="25"/>
  <c r="V76" i="5" s="1"/>
  <c r="AS75" i="5" s="1"/>
  <c r="Y76" i="5" s="1"/>
  <c r="G69" i="46" s="1"/>
  <c r="F72" i="25"/>
  <c r="V72" i="5" s="1"/>
  <c r="AS71" i="5" s="1"/>
  <c r="Y72" i="5" s="1"/>
  <c r="H23" i="46" s="1"/>
  <c r="H80" i="46" s="1"/>
  <c r="AI56" i="5"/>
  <c r="G43" i="37" s="1"/>
  <c r="AI43" i="37" s="1"/>
  <c r="AJ43" i="37" s="1"/>
  <c r="AK43" i="37" s="1"/>
  <c r="AL43" i="37" s="1"/>
  <c r="AH55" i="5"/>
  <c r="G29" i="37" s="1"/>
  <c r="AI29" i="37" s="1"/>
  <c r="AJ29" i="37" s="1"/>
  <c r="AK29" i="37" s="1"/>
  <c r="AL29" i="37" s="1"/>
  <c r="O67" i="25" a="1"/>
  <c r="R67" i="25" s="1"/>
  <c r="R71" i="25" s="1"/>
  <c r="I59" i="5" s="1"/>
  <c r="AK57" i="5" s="1"/>
  <c r="G71" i="37" s="1"/>
  <c r="AJ22" i="5"/>
  <c r="G35" i="78" s="1"/>
  <c r="AI35" i="78" s="1"/>
  <c r="AJ35" i="78" s="1"/>
  <c r="AK35" i="78" s="1"/>
  <c r="AL35" i="78" s="1"/>
  <c r="AJ43" i="5"/>
  <c r="AN4" i="29" s="1"/>
  <c r="AJ14" i="5"/>
  <c r="AN38" i="5" s="1"/>
  <c r="AJ12" i="5"/>
  <c r="AJ19" i="5" s="1"/>
  <c r="G32" i="78" s="1"/>
  <c r="AI32" i="78" s="1"/>
  <c r="AJ32" i="78" s="1"/>
  <c r="AK32" i="78" s="1"/>
  <c r="AL32" i="78" s="1"/>
  <c r="AJ11" i="5"/>
  <c r="AJ18" i="5" s="1"/>
  <c r="G31" i="78" s="1"/>
  <c r="AI31" i="78" s="1"/>
  <c r="AJ31" i="78" s="1"/>
  <c r="AK31" i="78" s="1"/>
  <c r="AL31" i="78" s="1"/>
  <c r="AM19" i="5"/>
  <c r="AP19" i="5"/>
  <c r="AO16" i="5"/>
  <c r="K69" i="32"/>
  <c r="K37" i="51" s="1"/>
  <c r="K67" i="32"/>
  <c r="K11" i="29" s="1"/>
  <c r="I66" i="32"/>
  <c r="J60" i="16"/>
  <c r="J56" i="16"/>
  <c r="AG14" i="37"/>
  <c r="AG19" i="37" s="1"/>
  <c r="AG39" i="37"/>
  <c r="AG52" i="37"/>
  <c r="AG65" i="37"/>
  <c r="E89" i="46"/>
  <c r="D49" i="51" s="1"/>
  <c r="C25" i="97" s="1"/>
  <c r="D67" i="40"/>
  <c r="D49" i="40"/>
  <c r="S11" i="59"/>
  <c r="O10" i="59"/>
  <c r="O30" i="59" s="1"/>
  <c r="O16" i="59"/>
  <c r="O20" i="59"/>
  <c r="S21" i="59"/>
  <c r="J57" i="16"/>
  <c r="M7" i="34"/>
  <c r="E92" i="46"/>
  <c r="D52" i="51" s="1"/>
  <c r="C28" i="97" s="1"/>
  <c r="J45" i="59"/>
  <c r="J46" i="59" s="1"/>
  <c r="Q44" i="59"/>
  <c r="F44" i="59"/>
  <c r="H44" i="59"/>
  <c r="S16" i="59"/>
  <c r="S17" i="59" s="1"/>
  <c r="J16" i="59"/>
  <c r="Q15" i="59"/>
  <c r="F15" i="59"/>
  <c r="H15" i="59"/>
  <c r="I31" i="65"/>
  <c r="V5" i="65"/>
  <c r="J58" i="16"/>
  <c r="AL2" i="28"/>
  <c r="Q45" i="59"/>
  <c r="F45" i="59"/>
  <c r="Q16" i="59"/>
  <c r="F16" i="59"/>
  <c r="K12" i="100"/>
  <c r="AG56" i="5"/>
  <c r="G17" i="37" s="1"/>
  <c r="AI17" i="37" s="1"/>
  <c r="AJ17" i="37" s="1"/>
  <c r="AK17" i="37" s="1"/>
  <c r="AL17" i="37" s="1"/>
  <c r="E65" i="5"/>
  <c r="AG57" i="5"/>
  <c r="G19" i="37" s="1"/>
  <c r="E66" i="5"/>
  <c r="AK4" i="37"/>
  <c r="AK4" i="26"/>
  <c r="AI17" i="26" s="1"/>
  <c r="M32" i="25"/>
  <c r="K32" i="25"/>
  <c r="I32" i="25"/>
  <c r="G32" i="25"/>
  <c r="Q25" i="25"/>
  <c r="E32" i="25"/>
  <c r="O25" i="25"/>
  <c r="C32" i="25"/>
  <c r="C27" i="83"/>
  <c r="B3" i="26"/>
  <c r="C13" i="85"/>
  <c r="C14" i="83"/>
  <c r="B6" i="85"/>
  <c r="B6" i="83"/>
  <c r="F30" i="82"/>
  <c r="K13" i="67"/>
  <c r="F31" i="82" s="1"/>
  <c r="AS17" i="5"/>
  <c r="G10" i="38" s="1"/>
  <c r="B99" i="5"/>
  <c r="C98" i="5"/>
  <c r="AG53" i="5"/>
  <c r="G14" i="37" s="1"/>
  <c r="E62" i="5"/>
  <c r="AL4" i="38"/>
  <c r="AL4" i="46"/>
  <c r="AL4" i="37"/>
  <c r="AL4" i="77"/>
  <c r="AI17" i="77" s="1"/>
  <c r="AL4" i="26"/>
  <c r="AH18" i="5"/>
  <c r="G31" i="77" s="1"/>
  <c r="AI31" i="77" s="1"/>
  <c r="AJ31" i="77" s="1"/>
  <c r="AK31" i="77" s="1"/>
  <c r="AL31" i="77" s="1"/>
  <c r="B25" i="85"/>
  <c r="B26" i="83"/>
  <c r="B12" i="85"/>
  <c r="B13" i="83"/>
  <c r="AS19" i="5"/>
  <c r="G12" i="38" s="1"/>
  <c r="AJ13" i="5"/>
  <c r="C72" i="25"/>
  <c r="V69" i="5" s="1"/>
  <c r="AS68" i="5" s="1"/>
  <c r="Y69" i="5" s="1"/>
  <c r="G62" i="46" s="1"/>
  <c r="D47" i="85"/>
  <c r="D48" i="83"/>
  <c r="D47" i="83"/>
  <c r="D46" i="85"/>
  <c r="D45" i="85"/>
  <c r="D46" i="83"/>
  <c r="D44" i="85"/>
  <c r="D45" i="83"/>
  <c r="D43" i="85"/>
  <c r="D44" i="83"/>
  <c r="D43" i="83"/>
  <c r="D42" i="85"/>
  <c r="D41" i="85"/>
  <c r="D42" i="83"/>
  <c r="D40" i="85"/>
  <c r="D41" i="83"/>
  <c r="D23" i="85"/>
  <c r="D24" i="83"/>
  <c r="D22" i="85"/>
  <c r="D23" i="83"/>
  <c r="D21" i="85"/>
  <c r="D22" i="83"/>
  <c r="D21" i="83"/>
  <c r="D20" i="85"/>
  <c r="D19" i="85"/>
  <c r="D20" i="83"/>
  <c r="D18" i="85"/>
  <c r="D19" i="83"/>
  <c r="P9" i="1"/>
  <c r="S90" i="5"/>
  <c r="H21" i="76" s="1"/>
  <c r="L71" i="5"/>
  <c r="AJ69" i="5"/>
  <c r="AH69" i="5"/>
  <c r="U38" i="51"/>
  <c r="U36" i="51"/>
  <c r="H42" i="32"/>
  <c r="P21" i="76"/>
  <c r="E35" i="82"/>
  <c r="G54" i="62"/>
  <c r="F38" i="87"/>
  <c r="F37" i="87" s="1"/>
  <c r="G51" i="11"/>
  <c r="P28" i="79"/>
  <c r="AS55" i="5"/>
  <c r="AS54" i="5"/>
  <c r="O59" i="59"/>
  <c r="L60" i="59"/>
  <c r="F59" i="59"/>
  <c r="H59" i="59"/>
  <c r="J59" i="59"/>
  <c r="C60" i="59"/>
  <c r="G59" i="59"/>
  <c r="I59" i="59"/>
  <c r="L31" i="59"/>
  <c r="E34" i="82"/>
  <c r="L28" i="79"/>
  <c r="J17" i="40"/>
  <c r="L17" i="40"/>
  <c r="K17" i="40"/>
  <c r="A5" i="76"/>
  <c r="B5" i="57"/>
  <c r="J3" i="57"/>
  <c r="A5" i="53"/>
  <c r="A5" i="13"/>
  <c r="A5" i="86"/>
  <c r="A5" i="19"/>
  <c r="A5" i="87"/>
  <c r="A5" i="79"/>
  <c r="J3" i="53"/>
  <c r="A5" i="12"/>
  <c r="A5" i="66"/>
  <c r="A5" i="65"/>
  <c r="A5" i="67"/>
  <c r="F24" i="67" s="1"/>
  <c r="F25" i="67" s="1"/>
  <c r="A5" i="63"/>
  <c r="A5" i="61"/>
  <c r="F2" i="100"/>
  <c r="B5" i="100"/>
  <c r="U13" i="100" s="1"/>
  <c r="D48" i="40"/>
  <c r="F17" i="40"/>
  <c r="I17" i="40" s="1"/>
  <c r="E18" i="100"/>
  <c r="H33" i="11"/>
  <c r="AO20" i="5"/>
  <c r="AM20" i="5"/>
  <c r="AO18" i="5"/>
  <c r="AM18" i="5"/>
  <c r="H5" i="34"/>
  <c r="H18" i="34" s="1"/>
  <c r="AL3" i="78"/>
  <c r="G11" i="78" s="1"/>
  <c r="AL3" i="28"/>
  <c r="G11" i="28" s="1"/>
  <c r="U5" i="35"/>
  <c r="U7" i="35"/>
  <c r="AL3" i="37"/>
  <c r="AL3" i="38"/>
  <c r="AL3" i="46"/>
  <c r="F5" i="34"/>
  <c r="F17" i="34" s="1"/>
  <c r="AL3" i="77"/>
  <c r="G11" i="77" s="1"/>
  <c r="S5" i="35"/>
  <c r="AL3" i="26"/>
  <c r="G11" i="26" s="1"/>
  <c r="S7" i="35"/>
  <c r="C97" i="5"/>
  <c r="K72" i="25"/>
  <c r="V77" i="5" s="1"/>
  <c r="AS76" i="5" s="1"/>
  <c r="Y77" i="5" s="1"/>
  <c r="G70" i="46" s="1"/>
  <c r="AI70" i="46" s="1"/>
  <c r="AJ70" i="46" s="1"/>
  <c r="AK70" i="46" s="1"/>
  <c r="AL70" i="46" s="1"/>
  <c r="I72" i="25"/>
  <c r="V75" i="5" s="1"/>
  <c r="AS74" i="5" s="1"/>
  <c r="Y75" i="5" s="1"/>
  <c r="G68" i="46" s="1"/>
  <c r="AI68" i="46" s="1"/>
  <c r="AJ68" i="46" s="1"/>
  <c r="AK68" i="46" s="1"/>
  <c r="AL68" i="46" s="1"/>
  <c r="G72" i="25"/>
  <c r="V73" i="5" s="1"/>
  <c r="AS72" i="5" s="1"/>
  <c r="Y73" i="5" s="1"/>
  <c r="G66" i="46" s="1"/>
  <c r="AI66" i="46" s="1"/>
  <c r="AJ66" i="46" s="1"/>
  <c r="AK66" i="46" s="1"/>
  <c r="AL66" i="46" s="1"/>
  <c r="E72" i="25"/>
  <c r="V71" i="5" s="1"/>
  <c r="AS70" i="5" s="1"/>
  <c r="Y71" i="5" s="1"/>
  <c r="B62" i="25"/>
  <c r="B60" i="25"/>
  <c r="K45" i="25"/>
  <c r="C45" i="25"/>
  <c r="Q14" i="25"/>
  <c r="G11" i="5" s="1"/>
  <c r="AI11" i="5" s="1"/>
  <c r="Q15" i="25"/>
  <c r="G12" i="5" s="1"/>
  <c r="AI12" i="5" s="1"/>
  <c r="Q16" i="25"/>
  <c r="G13" i="5" s="1"/>
  <c r="AI13" i="5" s="1"/>
  <c r="Q17" i="25"/>
  <c r="G14" i="5" s="1"/>
  <c r="AI14" i="5" s="1"/>
  <c r="Q18" i="25"/>
  <c r="G15" i="5" s="1"/>
  <c r="AI15" i="5" s="1"/>
  <c r="K10" i="25"/>
  <c r="S68" i="32"/>
  <c r="S12" i="29" s="1"/>
  <c r="O68" i="32"/>
  <c r="O12" i="29" s="1"/>
  <c r="K68" i="32"/>
  <c r="Q67" i="32"/>
  <c r="Q35" i="51" s="1"/>
  <c r="M67" i="32"/>
  <c r="M35" i="51" s="1"/>
  <c r="I67" i="32"/>
  <c r="I35" i="51" s="1"/>
  <c r="S66" i="32"/>
  <c r="O66" i="32"/>
  <c r="C44" i="97"/>
  <c r="C44" i="95"/>
  <c r="N32" i="25"/>
  <c r="L32" i="25"/>
  <c r="J32" i="25"/>
  <c r="H32" i="25"/>
  <c r="R25" i="25"/>
  <c r="F32" i="25"/>
  <c r="P25" i="25"/>
  <c r="D32" i="25"/>
  <c r="D12" i="7"/>
  <c r="D12" i="8"/>
  <c r="D37" i="85"/>
  <c r="D38" i="83"/>
  <c r="D36" i="85"/>
  <c r="D37" i="83"/>
  <c r="D36" i="83"/>
  <c r="D35" i="85"/>
  <c r="D34" i="85"/>
  <c r="D35" i="83"/>
  <c r="D33" i="85"/>
  <c r="D34" i="83"/>
  <c r="D32" i="85"/>
  <c r="D33" i="83"/>
  <c r="D32" i="83"/>
  <c r="D31" i="85"/>
  <c r="D30" i="85"/>
  <c r="D31" i="83"/>
  <c r="D29" i="85"/>
  <c r="D30" i="83"/>
  <c r="D28" i="85"/>
  <c r="D29" i="83"/>
  <c r="D28" i="83"/>
  <c r="D27" i="85"/>
  <c r="D26" i="85"/>
  <c r="D27" i="83"/>
  <c r="C19" i="83"/>
  <c r="B3" i="11"/>
  <c r="B17" i="85"/>
  <c r="B18" i="83"/>
  <c r="B2" i="76"/>
  <c r="B2" i="84"/>
  <c r="B2" i="111"/>
  <c r="B2" i="16"/>
  <c r="B2" i="97"/>
  <c r="B2" i="75"/>
  <c r="B2" i="82"/>
  <c r="B2" i="15"/>
  <c r="B2" i="57"/>
  <c r="B2" i="95"/>
  <c r="B2" i="14"/>
  <c r="B2" i="53"/>
  <c r="B2" i="13"/>
  <c r="B2" i="12"/>
  <c r="B2" i="62"/>
  <c r="B2" i="11"/>
  <c r="B2" i="63"/>
  <c r="B2" i="67"/>
  <c r="B2" i="87"/>
  <c r="B2" i="66"/>
  <c r="B2" i="65"/>
  <c r="B2" i="74"/>
  <c r="B2" i="86"/>
  <c r="B2" i="61"/>
  <c r="B2" i="92"/>
  <c r="B2" i="19"/>
  <c r="B2" i="59"/>
  <c r="B2" i="79"/>
  <c r="B2" i="58"/>
  <c r="B2" i="40"/>
  <c r="B2" i="38"/>
  <c r="B2" i="46"/>
  <c r="B2" i="37"/>
  <c r="B2" i="29"/>
  <c r="B2" i="78"/>
  <c r="B2" i="77"/>
  <c r="B2" i="52"/>
  <c r="B2" i="94"/>
  <c r="B2" i="32"/>
  <c r="B2" i="34"/>
  <c r="B2" i="28"/>
  <c r="B2" i="26"/>
  <c r="B2" i="35"/>
  <c r="B2" i="51"/>
  <c r="B2" i="100"/>
  <c r="C18" i="76"/>
  <c r="H20" i="76"/>
  <c r="L21" i="76" s="1"/>
  <c r="Q20" i="76"/>
  <c r="D15" i="8"/>
  <c r="I2" i="76"/>
  <c r="H2" i="84"/>
  <c r="I2" i="82"/>
  <c r="H2" i="15"/>
  <c r="G2" i="16"/>
  <c r="V2" i="13"/>
  <c r="J2" i="57"/>
  <c r="I2" i="13"/>
  <c r="J2" i="66"/>
  <c r="J2" i="65"/>
  <c r="I2" i="92"/>
  <c r="I2" i="19"/>
  <c r="J2" i="53"/>
  <c r="I2" i="12"/>
  <c r="G2" i="58"/>
  <c r="H2" i="40"/>
  <c r="I2" i="38"/>
  <c r="I2" i="46"/>
  <c r="I2" i="28"/>
  <c r="I2" i="26"/>
  <c r="I2" i="29"/>
  <c r="I2" i="78"/>
  <c r="G2" i="94"/>
  <c r="J2" i="32"/>
  <c r="D63" i="46"/>
  <c r="D89" i="46"/>
  <c r="S37" i="51"/>
  <c r="U37" i="51"/>
  <c r="S13" i="29"/>
  <c r="O35" i="51"/>
  <c r="S35" i="51"/>
  <c r="U35" i="51"/>
  <c r="O11" i="29"/>
  <c r="Q11" i="29"/>
  <c r="S11" i="29"/>
  <c r="H10" i="84"/>
  <c r="H10" i="15"/>
  <c r="AR11" i="78"/>
  <c r="AR11" i="28"/>
  <c r="AQ11" i="28"/>
  <c r="AQ11" i="78"/>
  <c r="AP11" i="78"/>
  <c r="AP11" i="28"/>
  <c r="AO11" i="78"/>
  <c r="AO11" i="28"/>
  <c r="C31" i="59"/>
  <c r="F11" i="40"/>
  <c r="I11" i="40" s="1"/>
  <c r="G30" i="40"/>
  <c r="G31" i="40" s="1"/>
  <c r="E19" i="100"/>
  <c r="E38" i="100"/>
  <c r="AI9" i="38"/>
  <c r="I9" i="38"/>
  <c r="V4" i="95"/>
  <c r="F57" i="11"/>
  <c r="F40" i="66"/>
  <c r="F35" i="13"/>
  <c r="G5" i="34"/>
  <c r="G18" i="34" s="1"/>
  <c r="AK3" i="28"/>
  <c r="G10" i="28" s="1"/>
  <c r="T5" i="35"/>
  <c r="T7" i="35"/>
  <c r="AK3" i="78"/>
  <c r="G10" i="78" s="1"/>
  <c r="F34" i="13"/>
  <c r="F39" i="66"/>
  <c r="F41" i="66" s="1"/>
  <c r="I18" i="66" s="1"/>
  <c r="I20" i="66" s="1"/>
  <c r="H44" i="79" s="1"/>
  <c r="F56" i="11"/>
  <c r="AK3" i="38"/>
  <c r="AK3" i="46"/>
  <c r="AK3" i="37"/>
  <c r="E5" i="34"/>
  <c r="E17" i="34" s="1"/>
  <c r="AK3" i="26"/>
  <c r="G10" i="26" s="1"/>
  <c r="R7" i="35"/>
  <c r="AK3" i="77"/>
  <c r="G10" i="77" s="1"/>
  <c r="R5" i="35"/>
  <c r="B2" i="5"/>
  <c r="G10" i="25"/>
  <c r="B39" i="25"/>
  <c r="B2" i="25"/>
  <c r="F65" i="32"/>
  <c r="J66" i="32"/>
  <c r="L66" i="32"/>
  <c r="N66" i="32"/>
  <c r="P66" i="32"/>
  <c r="R66" i="32"/>
  <c r="T66" i="32"/>
  <c r="J67" i="32"/>
  <c r="J35" i="51" s="1"/>
  <c r="L67" i="32"/>
  <c r="L11" i="29" s="1"/>
  <c r="N67" i="32"/>
  <c r="N35" i="51" s="1"/>
  <c r="P67" i="32"/>
  <c r="P11" i="29" s="1"/>
  <c r="R67" i="32"/>
  <c r="R35" i="51" s="1"/>
  <c r="T67" i="32"/>
  <c r="T11" i="29" s="1"/>
  <c r="J68" i="32"/>
  <c r="J12" i="29" s="1"/>
  <c r="L68" i="32"/>
  <c r="L12" i="29" s="1"/>
  <c r="N68" i="32"/>
  <c r="N12" i="29" s="1"/>
  <c r="P68" i="32"/>
  <c r="P12" i="29" s="1"/>
  <c r="R68" i="32"/>
  <c r="R12" i="29" s="1"/>
  <c r="T68" i="32"/>
  <c r="T12" i="29" s="1"/>
  <c r="J69" i="32"/>
  <c r="J13" i="29" s="1"/>
  <c r="J70" i="32"/>
  <c r="J38" i="51" s="1"/>
  <c r="C33" i="35"/>
  <c r="C50" i="34"/>
  <c r="C48" i="34"/>
  <c r="C31" i="35"/>
  <c r="C29" i="35"/>
  <c r="C46" i="34"/>
  <c r="C27" i="35"/>
  <c r="C44" i="34"/>
  <c r="C42" i="34"/>
  <c r="C25" i="35"/>
  <c r="Q39" i="34"/>
  <c r="E37" i="35"/>
  <c r="I33" i="32"/>
  <c r="H16" i="94"/>
  <c r="F60" i="16"/>
  <c r="H14" i="94"/>
  <c r="H13" i="94"/>
  <c r="H12" i="94"/>
  <c r="H11" i="94"/>
  <c r="H10" i="94"/>
  <c r="U30" i="100"/>
  <c r="J20" i="100"/>
  <c r="J22" i="100" s="1"/>
  <c r="C32" i="97"/>
  <c r="C32" i="95"/>
  <c r="C30" i="97"/>
  <c r="C30" i="95"/>
  <c r="C28" i="95"/>
  <c r="C26" i="97"/>
  <c r="C26" i="95"/>
  <c r="C24" i="97"/>
  <c r="C24" i="95"/>
  <c r="N39" i="97"/>
  <c r="N39" i="95"/>
  <c r="N37" i="97"/>
  <c r="N37" i="95"/>
  <c r="M35" i="97"/>
  <c r="M35" i="95"/>
  <c r="M28" i="97"/>
  <c r="M28" i="95"/>
  <c r="M23" i="97"/>
  <c r="M23" i="95"/>
  <c r="N16" i="97"/>
  <c r="N16" i="95"/>
  <c r="N15" i="97"/>
  <c r="N15" i="95"/>
  <c r="M9" i="97"/>
  <c r="M9" i="95"/>
  <c r="C46" i="35"/>
  <c r="D25" i="77"/>
  <c r="D37" i="77" s="1"/>
  <c r="D24" i="77"/>
  <c r="D36" i="77" s="1"/>
  <c r="D23" i="77"/>
  <c r="D35" i="77" s="1"/>
  <c r="D22" i="77"/>
  <c r="D34" i="77" s="1"/>
  <c r="E21" i="77"/>
  <c r="E33" i="77" s="1"/>
  <c r="E20" i="77"/>
  <c r="E32" i="77" s="1"/>
  <c r="E19" i="77"/>
  <c r="E31" i="77" s="1"/>
  <c r="C17" i="77"/>
  <c r="D18" i="28"/>
  <c r="D30" i="28" s="1"/>
  <c r="D25" i="78"/>
  <c r="D37" i="78" s="1"/>
  <c r="D24" i="78"/>
  <c r="D36" i="78" s="1"/>
  <c r="D23" i="78"/>
  <c r="D35" i="78" s="1"/>
  <c r="D22" i="78"/>
  <c r="D34" i="78" s="1"/>
  <c r="E21" i="78"/>
  <c r="E33" i="78" s="1"/>
  <c r="E20" i="78"/>
  <c r="E32" i="78" s="1"/>
  <c r="E19" i="78"/>
  <c r="E31" i="78" s="1"/>
  <c r="C17" i="78"/>
  <c r="C24" i="29"/>
  <c r="C20" i="29"/>
  <c r="Z73" i="46"/>
  <c r="U74" i="46"/>
  <c r="C31" i="97"/>
  <c r="C31" i="95"/>
  <c r="C29" i="97"/>
  <c r="C29" i="95"/>
  <c r="N38" i="97"/>
  <c r="N38" i="95"/>
  <c r="N36" i="97"/>
  <c r="N36" i="95"/>
  <c r="N30" i="97"/>
  <c r="N30" i="95"/>
  <c r="N29" i="97"/>
  <c r="N25" i="97"/>
  <c r="N25" i="95"/>
  <c r="M14" i="97"/>
  <c r="M14" i="95"/>
  <c r="N11" i="97"/>
  <c r="N11" i="95"/>
  <c r="D18" i="77"/>
  <c r="D30" i="77" s="1"/>
  <c r="AD18" i="13"/>
  <c r="X20" i="13"/>
  <c r="AG26" i="37"/>
  <c r="Z74" i="46"/>
  <c r="U73" i="46"/>
  <c r="T18" i="13"/>
  <c r="G20" i="13"/>
  <c r="O49" i="40"/>
  <c r="O67" i="40"/>
  <c r="H34" i="40"/>
  <c r="AF20" i="13"/>
  <c r="L18" i="19"/>
  <c r="M18" i="66"/>
  <c r="L20" i="79"/>
  <c r="F18" i="40"/>
  <c r="H30" i="40"/>
  <c r="G49" i="59"/>
  <c r="F51" i="59"/>
  <c r="F22" i="59"/>
  <c r="L18" i="66"/>
  <c r="AE20" i="13"/>
  <c r="K18" i="19"/>
  <c r="K20" i="79"/>
  <c r="S49" i="53"/>
  <c r="N29" i="58"/>
  <c r="N30" i="58" s="1"/>
  <c r="N31" i="58" s="1"/>
  <c r="N32" i="58" s="1"/>
  <c r="N33" i="58" s="1"/>
  <c r="N34" i="58" s="1"/>
  <c r="N35" i="58" s="1"/>
  <c r="N36" i="58" s="1"/>
  <c r="N37" i="58" s="1"/>
  <c r="N38" i="58" s="1"/>
  <c r="N39" i="58" s="1"/>
  <c r="N40" i="58" s="1"/>
  <c r="N41" i="58" s="1"/>
  <c r="N42" i="58" s="1"/>
  <c r="N43" i="58" s="1"/>
  <c r="N44" i="58" s="1"/>
  <c r="N45" i="58" s="1"/>
  <c r="N46" i="58" s="1"/>
  <c r="AG20" i="13"/>
  <c r="N18" i="66"/>
  <c r="J50" i="59"/>
  <c r="H45" i="59"/>
  <c r="H46" i="59" s="1"/>
  <c r="P44" i="59"/>
  <c r="R44" i="59"/>
  <c r="P45" i="59"/>
  <c r="R45" i="59"/>
  <c r="J21" i="59"/>
  <c r="H16" i="59"/>
  <c r="P15" i="59"/>
  <c r="R15" i="59"/>
  <c r="P16" i="59"/>
  <c r="R16" i="59"/>
  <c r="M18" i="19"/>
  <c r="G44" i="59"/>
  <c r="I44" i="59"/>
  <c r="G45" i="59"/>
  <c r="I45" i="59"/>
  <c r="F39" i="59"/>
  <c r="J40" i="59"/>
  <c r="G15" i="59"/>
  <c r="I15" i="59"/>
  <c r="G16" i="59"/>
  <c r="I16" i="59"/>
  <c r="F10" i="59"/>
  <c r="J11" i="59"/>
  <c r="N66" i="59"/>
  <c r="H22" i="92"/>
  <c r="H22" i="61"/>
  <c r="AF4" i="57"/>
  <c r="T4" i="53"/>
  <c r="AG4" i="13"/>
  <c r="K8" i="53"/>
  <c r="I7" i="53"/>
  <c r="V18" i="13"/>
  <c r="V20" i="13" s="1"/>
  <c r="N20" i="13"/>
  <c r="J15" i="111"/>
  <c r="J16" i="111" s="1"/>
  <c r="K19" i="40" l="1"/>
  <c r="I19" i="40"/>
  <c r="L19" i="40"/>
  <c r="J18" i="40"/>
  <c r="K18" i="40"/>
  <c r="L18" i="40"/>
  <c r="I18" i="40"/>
  <c r="N24" i="97"/>
  <c r="M11" i="29"/>
  <c r="AI14" i="37"/>
  <c r="AJ14" i="37" s="1"/>
  <c r="AK14" i="37" s="1"/>
  <c r="AL14" i="37" s="1"/>
  <c r="AK4" i="46"/>
  <c r="K20" i="40"/>
  <c r="L20" i="40"/>
  <c r="J20" i="40"/>
  <c r="E21" i="40"/>
  <c r="H6" i="53"/>
  <c r="G46" i="53" s="1"/>
  <c r="I46" i="59"/>
  <c r="N40" i="97"/>
  <c r="I11" i="29"/>
  <c r="I21" i="29" s="1"/>
  <c r="AH23" i="5"/>
  <c r="G36" i="77" s="1"/>
  <c r="AI36" i="77" s="1"/>
  <c r="AJ36" i="77" s="1"/>
  <c r="AK36" i="77" s="1"/>
  <c r="AL36" i="77" s="1"/>
  <c r="Q69" i="25"/>
  <c r="AK4" i="77"/>
  <c r="Q46" i="59"/>
  <c r="M46" i="57"/>
  <c r="M51" i="57" s="1"/>
  <c r="R38" i="51"/>
  <c r="E67" i="40"/>
  <c r="R53" i="32"/>
  <c r="R61" i="32"/>
  <c r="O12" i="58"/>
  <c r="H48" i="53" s="1"/>
  <c r="C25" i="95"/>
  <c r="U14" i="100"/>
  <c r="AB11" i="12" s="1"/>
  <c r="R69" i="32"/>
  <c r="R13" i="29" s="1"/>
  <c r="K35" i="51"/>
  <c r="AL34" i="5"/>
  <c r="AJ23" i="5"/>
  <c r="G36" i="78" s="1"/>
  <c r="AI36" i="78" s="1"/>
  <c r="AJ36" i="78" s="1"/>
  <c r="AK36" i="78" s="1"/>
  <c r="AL36" i="78" s="1"/>
  <c r="H17" i="59"/>
  <c r="D13" i="58"/>
  <c r="D14" i="58" s="1"/>
  <c r="C27" i="95"/>
  <c r="J12" i="32"/>
  <c r="J19" i="32" s="1"/>
  <c r="R4" i="35"/>
  <c r="G2" i="52"/>
  <c r="L2" i="51"/>
  <c r="E2" i="34"/>
  <c r="H2" i="87"/>
  <c r="F2" i="67"/>
  <c r="I2" i="79"/>
  <c r="I2" i="61"/>
  <c r="V2" i="11"/>
  <c r="V2" i="62"/>
  <c r="F2" i="14"/>
  <c r="E2" i="75"/>
  <c r="H28" i="46"/>
  <c r="H85" i="46" s="1"/>
  <c r="O46" i="59"/>
  <c r="C27" i="1"/>
  <c r="B3" i="75" s="1"/>
  <c r="P28" i="1"/>
  <c r="K13" i="29"/>
  <c r="K39" i="29" s="1"/>
  <c r="I2" i="77"/>
  <c r="G2" i="35"/>
  <c r="I2" i="37"/>
  <c r="J2" i="63"/>
  <c r="I2" i="11"/>
  <c r="H2" i="59"/>
  <c r="F2" i="86"/>
  <c r="I2" i="62"/>
  <c r="V2" i="12"/>
  <c r="H2" i="95"/>
  <c r="G19" i="46"/>
  <c r="P47" i="1"/>
  <c r="C7" i="83"/>
  <c r="AI19" i="37"/>
  <c r="AJ19" i="37" s="1"/>
  <c r="AK19" i="37" s="1"/>
  <c r="AL19" i="37" s="1"/>
  <c r="J17" i="59"/>
  <c r="O17" i="59"/>
  <c r="AK39" i="5"/>
  <c r="G3" i="35"/>
  <c r="AI56" i="37"/>
  <c r="AJ56" i="37" s="1"/>
  <c r="AK56" i="37" s="1"/>
  <c r="AL56" i="37" s="1"/>
  <c r="AI42" i="37"/>
  <c r="AJ42" i="37" s="1"/>
  <c r="AK42" i="37" s="1"/>
  <c r="AL42" i="37" s="1"/>
  <c r="P14" i="100"/>
  <c r="P21" i="1"/>
  <c r="C7" i="85"/>
  <c r="O46" i="32"/>
  <c r="O70" i="32" s="1"/>
  <c r="O14" i="29" s="1"/>
  <c r="C39" i="1"/>
  <c r="B10" i="1"/>
  <c r="I11" i="1"/>
  <c r="C12" i="35"/>
  <c r="C42" i="35"/>
  <c r="G46" i="59"/>
  <c r="R17" i="59"/>
  <c r="C42" i="95"/>
  <c r="P16" i="100"/>
  <c r="B39" i="85"/>
  <c r="P13" i="100"/>
  <c r="I36" i="51"/>
  <c r="AN39" i="5"/>
  <c r="F17" i="59"/>
  <c r="O53" i="32"/>
  <c r="J14" i="58"/>
  <c r="H14" i="58" s="1"/>
  <c r="O69" i="32"/>
  <c r="R54" i="32"/>
  <c r="R62" i="32"/>
  <c r="R63" i="32" s="1"/>
  <c r="G24" i="29"/>
  <c r="AH24" i="29" s="1"/>
  <c r="AI24" i="29" s="1"/>
  <c r="AJ24" i="29" s="1"/>
  <c r="AK24" i="29" s="1"/>
  <c r="N53" i="32"/>
  <c r="N46" i="32"/>
  <c r="N61" i="32"/>
  <c r="U12" i="100"/>
  <c r="AB9" i="12" s="1"/>
  <c r="P45" i="32"/>
  <c r="P52" i="32"/>
  <c r="P60" i="32"/>
  <c r="I26" i="32"/>
  <c r="I36" i="32"/>
  <c r="I11" i="78" s="1"/>
  <c r="AI62" i="46"/>
  <c r="AJ62" i="46" s="1"/>
  <c r="AK62" i="46" s="1"/>
  <c r="AL62" i="46" s="1"/>
  <c r="AI69" i="46"/>
  <c r="AJ69" i="46" s="1"/>
  <c r="AK69" i="46" s="1"/>
  <c r="AL69" i="46" s="1"/>
  <c r="P12" i="100"/>
  <c r="O69" i="25"/>
  <c r="Q67" i="25"/>
  <c r="Q71" i="25" s="1"/>
  <c r="I58" i="5" s="1"/>
  <c r="AK56" i="5" s="1"/>
  <c r="G69" i="37" s="1"/>
  <c r="AI69" i="37" s="1"/>
  <c r="AJ69" i="37" s="1"/>
  <c r="AK69" i="37" s="1"/>
  <c r="AL69" i="37" s="1"/>
  <c r="AL4" i="78"/>
  <c r="AI17" i="78" s="1"/>
  <c r="AK17" i="78" s="1"/>
  <c r="O67" i="25"/>
  <c r="O71" i="25" s="1"/>
  <c r="I55" i="5" s="1"/>
  <c r="AK53" i="5" s="1"/>
  <c r="G66" i="37" s="1"/>
  <c r="R69" i="25"/>
  <c r="G65" i="46"/>
  <c r="AI65" i="46" s="1"/>
  <c r="AJ65" i="46" s="1"/>
  <c r="AK65" i="46" s="1"/>
  <c r="AL65" i="46" s="1"/>
  <c r="P68" i="25"/>
  <c r="R68" i="25"/>
  <c r="G12" i="53"/>
  <c r="H12" i="53" s="1"/>
  <c r="AN34" i="5"/>
  <c r="P67" i="25"/>
  <c r="P71" i="25" s="1"/>
  <c r="I57" i="5" s="1"/>
  <c r="AK55" i="5" s="1"/>
  <c r="G68" i="37" s="1"/>
  <c r="AI68" i="37" s="1"/>
  <c r="AJ68" i="37" s="1"/>
  <c r="AK68" i="37" s="1"/>
  <c r="AL68" i="37" s="1"/>
  <c r="H27" i="46"/>
  <c r="H84" i="46" s="1"/>
  <c r="AG19" i="5"/>
  <c r="G32" i="26" s="1"/>
  <c r="AI32" i="26" s="1"/>
  <c r="AJ32" i="26" s="1"/>
  <c r="AK32" i="26" s="1"/>
  <c r="AL32" i="26" s="1"/>
  <c r="F58" i="11"/>
  <c r="T4" i="35"/>
  <c r="V4" i="97"/>
  <c r="U20" i="100"/>
  <c r="AB17" i="12" s="1"/>
  <c r="AJ4" i="29"/>
  <c r="AK4" i="28"/>
  <c r="AI17" i="28" s="1"/>
  <c r="AJ17" i="28" s="1"/>
  <c r="AK4" i="78"/>
  <c r="AI13" i="38"/>
  <c r="V13" i="38" s="1"/>
  <c r="I13" i="38"/>
  <c r="J13" i="38" s="1"/>
  <c r="K13" i="38" s="1"/>
  <c r="L13" i="38" s="1"/>
  <c r="M13" i="38" s="1"/>
  <c r="N13" i="38" s="1"/>
  <c r="O13" i="38" s="1"/>
  <c r="P13" i="38" s="1"/>
  <c r="Q13" i="38" s="1"/>
  <c r="R13" i="38" s="1"/>
  <c r="S13" i="38" s="1"/>
  <c r="T13" i="38" s="1"/>
  <c r="I11" i="38"/>
  <c r="J11" i="38" s="1"/>
  <c r="K11" i="38" s="1"/>
  <c r="L11" i="38" s="1"/>
  <c r="M11" i="38" s="1"/>
  <c r="N11" i="38" s="1"/>
  <c r="O11" i="38" s="1"/>
  <c r="P11" i="38" s="1"/>
  <c r="Q11" i="38" s="1"/>
  <c r="R11" i="38" s="1"/>
  <c r="S11" i="38" s="1"/>
  <c r="T11" i="38" s="1"/>
  <c r="AI11" i="38"/>
  <c r="X11" i="38" s="1"/>
  <c r="AS10" i="5"/>
  <c r="AG21" i="5" s="1"/>
  <c r="G34" i="26" s="1"/>
  <c r="AI34" i="26" s="1"/>
  <c r="AJ34" i="26" s="1"/>
  <c r="AK34" i="26" s="1"/>
  <c r="AL34" i="26" s="1"/>
  <c r="Q68" i="25"/>
  <c r="AK35" i="5"/>
  <c r="K11" i="40"/>
  <c r="P20" i="59"/>
  <c r="O22" i="59"/>
  <c r="AG58" i="37"/>
  <c r="AI58" i="37" s="1"/>
  <c r="AJ58" i="37" s="1"/>
  <c r="AK58" i="37" s="1"/>
  <c r="AL58" i="37" s="1"/>
  <c r="AG53" i="37"/>
  <c r="AI53" i="37" s="1"/>
  <c r="AJ53" i="37" s="1"/>
  <c r="AK53" i="37" s="1"/>
  <c r="AL53" i="37" s="1"/>
  <c r="C10" i="35"/>
  <c r="C40" i="35"/>
  <c r="AN67" i="5"/>
  <c r="AM68" i="5"/>
  <c r="G27" i="29" s="1"/>
  <c r="S54" i="32"/>
  <c r="S55" i="32" s="1"/>
  <c r="S62" i="32"/>
  <c r="S63" i="32" s="1"/>
  <c r="L61" i="32"/>
  <c r="L46" i="32"/>
  <c r="L47" i="32" s="1"/>
  <c r="L53" i="32"/>
  <c r="M52" i="32"/>
  <c r="M60" i="32"/>
  <c r="M45" i="32"/>
  <c r="K54" i="32"/>
  <c r="K55" i="32" s="1"/>
  <c r="K62" i="32"/>
  <c r="K63" i="32" s="1"/>
  <c r="G11" i="53"/>
  <c r="H11" i="53" s="1"/>
  <c r="F42" i="66"/>
  <c r="I27" i="32"/>
  <c r="S70" i="32"/>
  <c r="S14" i="29" s="1"/>
  <c r="S40" i="29" s="1"/>
  <c r="D50" i="40"/>
  <c r="G20" i="53" s="1"/>
  <c r="AG40" i="37"/>
  <c r="AI40" i="37" s="1"/>
  <c r="AJ40" i="37" s="1"/>
  <c r="AK40" i="37" s="1"/>
  <c r="AL40" i="37" s="1"/>
  <c r="AG45" i="37"/>
  <c r="AI45" i="37" s="1"/>
  <c r="AJ45" i="37" s="1"/>
  <c r="AK45" i="37" s="1"/>
  <c r="AL45" i="37" s="1"/>
  <c r="J7" i="11"/>
  <c r="F53" i="40"/>
  <c r="P39" i="59"/>
  <c r="O41" i="59"/>
  <c r="P7" i="57"/>
  <c r="O6" i="57"/>
  <c r="T61" i="32"/>
  <c r="T46" i="32"/>
  <c r="T47" i="32" s="1"/>
  <c r="T53" i="32"/>
  <c r="C40" i="1"/>
  <c r="P41" i="1"/>
  <c r="J14" i="32"/>
  <c r="I28" i="32"/>
  <c r="I35" i="32"/>
  <c r="I10" i="28" s="1"/>
  <c r="I17" i="59"/>
  <c r="P17" i="59"/>
  <c r="R46" i="59"/>
  <c r="T11" i="58"/>
  <c r="G48" i="53"/>
  <c r="N10" i="95"/>
  <c r="I34" i="32"/>
  <c r="I11" i="26" s="1"/>
  <c r="F36" i="13"/>
  <c r="F59" i="11"/>
  <c r="I20" i="32"/>
  <c r="AL39" i="5"/>
  <c r="AL4" i="28"/>
  <c r="AG23" i="5"/>
  <c r="G36" i="26" s="1"/>
  <c r="AI36" i="26" s="1"/>
  <c r="AJ36" i="26" s="1"/>
  <c r="AK36" i="26" s="1"/>
  <c r="AL36" i="26" s="1"/>
  <c r="Q17" i="59"/>
  <c r="P10" i="59"/>
  <c r="O12" i="59"/>
  <c r="M68" i="32"/>
  <c r="P61" i="1"/>
  <c r="C60" i="1"/>
  <c r="I52" i="32"/>
  <c r="I60" i="32"/>
  <c r="I45" i="32"/>
  <c r="Q52" i="32"/>
  <c r="Q60" i="32"/>
  <c r="Q45" i="32"/>
  <c r="Q68" i="32"/>
  <c r="G17" i="59"/>
  <c r="P46" i="59"/>
  <c r="E12" i="58"/>
  <c r="N10" i="97"/>
  <c r="I21" i="32"/>
  <c r="U16" i="100"/>
  <c r="G13" i="65" s="1"/>
  <c r="P17" i="100"/>
  <c r="T69" i="32"/>
  <c r="T37" i="51" s="1"/>
  <c r="L69" i="32"/>
  <c r="L37" i="51" s="1"/>
  <c r="G17" i="34"/>
  <c r="F37" i="13"/>
  <c r="K70" i="32"/>
  <c r="K14" i="29" s="1"/>
  <c r="K40" i="29" s="1"/>
  <c r="P34" i="1"/>
  <c r="P35" i="1" s="1"/>
  <c r="C35" i="1" s="1"/>
  <c r="F46" i="59"/>
  <c r="AI65" i="37"/>
  <c r="AJ65" i="37" s="1"/>
  <c r="AK65" i="37" s="1"/>
  <c r="AL65" i="37" s="1"/>
  <c r="AG71" i="37"/>
  <c r="AI71" i="37" s="1"/>
  <c r="AJ71" i="37" s="1"/>
  <c r="AK71" i="37" s="1"/>
  <c r="AL71" i="37" s="1"/>
  <c r="AG66" i="37"/>
  <c r="AI66" i="37" s="1"/>
  <c r="AJ66" i="37" s="1"/>
  <c r="AK66" i="37" s="1"/>
  <c r="AL66" i="37" s="1"/>
  <c r="P49" i="59"/>
  <c r="O51" i="59"/>
  <c r="AI52" i="37"/>
  <c r="AJ52" i="37" s="1"/>
  <c r="AK52" i="37" s="1"/>
  <c r="AL52" i="37" s="1"/>
  <c r="AI39" i="37"/>
  <c r="AJ39" i="37" s="1"/>
  <c r="AK39" i="37" s="1"/>
  <c r="AL39" i="37" s="1"/>
  <c r="J15" i="32"/>
  <c r="I29" i="32"/>
  <c r="AH12" i="29"/>
  <c r="T22" i="29"/>
  <c r="T38" i="29"/>
  <c r="P22" i="29"/>
  <c r="P38" i="29"/>
  <c r="L22" i="29"/>
  <c r="L38" i="29"/>
  <c r="AH11" i="29"/>
  <c r="T21" i="29"/>
  <c r="T37" i="29"/>
  <c r="P21" i="29"/>
  <c r="P37" i="29"/>
  <c r="L21" i="29"/>
  <c r="L37" i="29"/>
  <c r="S22" i="29"/>
  <c r="S38" i="29"/>
  <c r="R23" i="29"/>
  <c r="R39" i="29"/>
  <c r="N23" i="29"/>
  <c r="N39" i="29"/>
  <c r="J23" i="29"/>
  <c r="J39" i="29"/>
  <c r="R22" i="29"/>
  <c r="R38" i="29"/>
  <c r="N22" i="29"/>
  <c r="N38" i="29"/>
  <c r="J22" i="29"/>
  <c r="J38" i="29"/>
  <c r="O22" i="29"/>
  <c r="O38" i="29"/>
  <c r="AH21" i="5"/>
  <c r="M33" i="57"/>
  <c r="M25" i="57"/>
  <c r="I6" i="53"/>
  <c r="H46" i="53" s="1"/>
  <c r="J7" i="53"/>
  <c r="F46" i="40"/>
  <c r="AM18" i="12"/>
  <c r="F12" i="59"/>
  <c r="G10" i="59"/>
  <c r="F41" i="59"/>
  <c r="G39" i="59"/>
  <c r="E13" i="58"/>
  <c r="M12" i="58"/>
  <c r="R12" i="58" s="1"/>
  <c r="H18" i="40"/>
  <c r="M20" i="66"/>
  <c r="K23" i="87"/>
  <c r="AG27" i="37"/>
  <c r="AI27" i="37" s="1"/>
  <c r="AJ27" i="37" s="1"/>
  <c r="AK27" i="37" s="1"/>
  <c r="AL27" i="37" s="1"/>
  <c r="AG32" i="37"/>
  <c r="AI32" i="37" s="1"/>
  <c r="AJ32" i="37" s="1"/>
  <c r="AK32" i="37" s="1"/>
  <c r="AL32" i="37" s="1"/>
  <c r="AD20" i="13"/>
  <c r="J18" i="19"/>
  <c r="K18" i="66"/>
  <c r="J20" i="79"/>
  <c r="C41" i="35"/>
  <c r="C11" i="35"/>
  <c r="C43" i="35"/>
  <c r="C13" i="35"/>
  <c r="C47" i="35"/>
  <c r="C17" i="35"/>
  <c r="F17" i="74"/>
  <c r="G9" i="46"/>
  <c r="H12" i="32"/>
  <c r="J9" i="38"/>
  <c r="E18" i="34"/>
  <c r="K24" i="100"/>
  <c r="U24" i="100" s="1"/>
  <c r="J24" i="100"/>
  <c r="J26" i="100" s="1"/>
  <c r="E41" i="100"/>
  <c r="E43" i="100" s="1"/>
  <c r="G39" i="40"/>
  <c r="G41" i="40" s="1"/>
  <c r="H29" i="40"/>
  <c r="H31" i="40" s="1"/>
  <c r="H18" i="66"/>
  <c r="H20" i="66" s="1"/>
  <c r="G44" i="79" s="1"/>
  <c r="F30" i="59"/>
  <c r="T35" i="51"/>
  <c r="Y35" i="51" s="1"/>
  <c r="P35" i="51"/>
  <c r="X35" i="51" s="1"/>
  <c r="L35" i="51"/>
  <c r="W35" i="51" s="1"/>
  <c r="S37" i="29"/>
  <c r="S21" i="29"/>
  <c r="O37" i="29"/>
  <c r="O21" i="29"/>
  <c r="K37" i="29"/>
  <c r="K21" i="29"/>
  <c r="V35" i="51"/>
  <c r="R11" i="29"/>
  <c r="N11" i="29"/>
  <c r="J11" i="29"/>
  <c r="R37" i="51"/>
  <c r="Y37" i="51" s="1"/>
  <c r="N37" i="51"/>
  <c r="J37" i="51"/>
  <c r="T13" i="29"/>
  <c r="P32" i="25"/>
  <c r="F26" i="5"/>
  <c r="R32" i="25"/>
  <c r="H26" i="5"/>
  <c r="AM38" i="5"/>
  <c r="AI23" i="5"/>
  <c r="G36" i="28" s="1"/>
  <c r="AI36" i="28" s="1"/>
  <c r="AJ36" i="28" s="1"/>
  <c r="AK36" i="28" s="1"/>
  <c r="AL36" i="28" s="1"/>
  <c r="AM34" i="5"/>
  <c r="AI19" i="5"/>
  <c r="G32" i="28" s="1"/>
  <c r="AI32" i="28" s="1"/>
  <c r="AJ32" i="28" s="1"/>
  <c r="AK32" i="28" s="1"/>
  <c r="AL32" i="28" s="1"/>
  <c r="H26" i="46"/>
  <c r="H83" i="46" s="1"/>
  <c r="G64" i="46"/>
  <c r="AI64" i="46" s="1"/>
  <c r="AJ64" i="46" s="1"/>
  <c r="AK64" i="46" s="1"/>
  <c r="AL64" i="46" s="1"/>
  <c r="F24" i="74"/>
  <c r="H13" i="32"/>
  <c r="H20" i="32" s="1"/>
  <c r="H27" i="32" s="1"/>
  <c r="H34" i="32" s="1"/>
  <c r="I33" i="11"/>
  <c r="E22" i="100"/>
  <c r="J15" i="100"/>
  <c r="I10" i="77"/>
  <c r="H23" i="66"/>
  <c r="H26" i="66" s="1"/>
  <c r="I23" i="66"/>
  <c r="I26" i="66" s="1"/>
  <c r="H28" i="66"/>
  <c r="C14" i="86"/>
  <c r="C15" i="86"/>
  <c r="H17" i="40"/>
  <c r="G31" i="82"/>
  <c r="E31" i="67"/>
  <c r="F11" i="61"/>
  <c r="F11" i="76" s="1"/>
  <c r="S36" i="51"/>
  <c r="O36" i="51"/>
  <c r="K36" i="51"/>
  <c r="K12" i="29"/>
  <c r="T36" i="51"/>
  <c r="P36" i="51"/>
  <c r="L36" i="51"/>
  <c r="R14" i="29"/>
  <c r="J14" i="29"/>
  <c r="Q21" i="76"/>
  <c r="Q22" i="76" s="1"/>
  <c r="C9" i="1"/>
  <c r="B3" i="25" s="1"/>
  <c r="P10" i="1"/>
  <c r="AL35" i="5"/>
  <c r="AH20" i="5"/>
  <c r="G33" i="77" s="1"/>
  <c r="AI33" i="77" s="1"/>
  <c r="AJ33" i="77" s="1"/>
  <c r="AK33" i="77" s="1"/>
  <c r="AL33" i="77" s="1"/>
  <c r="H11" i="34"/>
  <c r="H12" i="34"/>
  <c r="H15" i="34"/>
  <c r="H16" i="34"/>
  <c r="H17" i="34"/>
  <c r="AK17" i="77"/>
  <c r="AJ17" i="77"/>
  <c r="I10" i="38"/>
  <c r="AI10" i="38"/>
  <c r="O32" i="25"/>
  <c r="E26" i="5"/>
  <c r="Q32" i="25"/>
  <c r="G26" i="5"/>
  <c r="G11" i="34"/>
  <c r="G12" i="34"/>
  <c r="G15" i="34"/>
  <c r="G16" i="34"/>
  <c r="AJ17" i="26"/>
  <c r="AK17" i="26"/>
  <c r="L8" i="53"/>
  <c r="B13" i="58"/>
  <c r="N20" i="66"/>
  <c r="L23" i="87"/>
  <c r="L20" i="66"/>
  <c r="J23" i="87"/>
  <c r="H20" i="59"/>
  <c r="G22" i="59"/>
  <c r="H49" i="59"/>
  <c r="G51" i="59"/>
  <c r="AC18" i="13"/>
  <c r="T20" i="13"/>
  <c r="C9" i="35"/>
  <c r="C39" i="35"/>
  <c r="C15" i="35"/>
  <c r="C45" i="35"/>
  <c r="K12" i="32"/>
  <c r="J71" i="32"/>
  <c r="H12" i="111"/>
  <c r="G14" i="46"/>
  <c r="I17" i="46" s="1"/>
  <c r="H14" i="32"/>
  <c r="H21" i="32" s="1"/>
  <c r="H28" i="32" s="1"/>
  <c r="H35" i="32" s="1"/>
  <c r="W9" i="38"/>
  <c r="Y9" i="38"/>
  <c r="X9" i="38"/>
  <c r="AJ9" i="38"/>
  <c r="V9" i="38"/>
  <c r="H11" i="40"/>
  <c r="J11" i="40"/>
  <c r="L11" i="40"/>
  <c r="F31" i="59"/>
  <c r="H31" i="59"/>
  <c r="J31" i="59"/>
  <c r="I31" i="59"/>
  <c r="G31" i="59"/>
  <c r="AI26" i="37"/>
  <c r="AJ26" i="37" s="1"/>
  <c r="AK26" i="37" s="1"/>
  <c r="AL26" i="37" s="1"/>
  <c r="Q37" i="29"/>
  <c r="Q21" i="29"/>
  <c r="M37" i="29"/>
  <c r="M21" i="29"/>
  <c r="I37" i="29"/>
  <c r="S39" i="29"/>
  <c r="S23" i="29"/>
  <c r="K23" i="29"/>
  <c r="AB10" i="12"/>
  <c r="G10" i="65"/>
  <c r="J27" i="32"/>
  <c r="J34" i="32"/>
  <c r="K13" i="32"/>
  <c r="J20" i="32"/>
  <c r="AI24" i="5"/>
  <c r="G37" i="28" s="1"/>
  <c r="AI37" i="28" s="1"/>
  <c r="AJ37" i="28" s="1"/>
  <c r="AK37" i="28" s="1"/>
  <c r="AL37" i="28" s="1"/>
  <c r="AM39" i="5"/>
  <c r="AI20" i="5"/>
  <c r="G33" i="28" s="1"/>
  <c r="AI33" i="28" s="1"/>
  <c r="AJ33" i="28" s="1"/>
  <c r="AK33" i="28" s="1"/>
  <c r="AL33" i="28" s="1"/>
  <c r="AM35" i="5"/>
  <c r="AI18" i="5"/>
  <c r="G31" i="28" s="1"/>
  <c r="AI31" i="28" s="1"/>
  <c r="AJ31" i="28" s="1"/>
  <c r="AK31" i="28" s="1"/>
  <c r="AL31" i="28" s="1"/>
  <c r="H13" i="111"/>
  <c r="H15" i="32"/>
  <c r="H22" i="32" s="1"/>
  <c r="H29" i="32" s="1"/>
  <c r="H36" i="32" s="1"/>
  <c r="I10" i="26"/>
  <c r="P18" i="100"/>
  <c r="U21" i="100"/>
  <c r="AB18" i="12" s="1"/>
  <c r="F26" i="67"/>
  <c r="F27" i="67" s="1"/>
  <c r="G20" i="79"/>
  <c r="G18" i="19"/>
  <c r="G20" i="19" s="1"/>
  <c r="G24" i="67"/>
  <c r="G25" i="67" s="1"/>
  <c r="G26" i="67" s="1"/>
  <c r="G27" i="67" s="1"/>
  <c r="G6" i="57"/>
  <c r="H6" i="57"/>
  <c r="I6" i="57"/>
  <c r="J6" i="57"/>
  <c r="K6" i="57"/>
  <c r="L6" i="57"/>
  <c r="I24" i="40"/>
  <c r="G37" i="79"/>
  <c r="F37" i="79" s="1"/>
  <c r="V59" i="5"/>
  <c r="P31" i="59"/>
  <c r="R31" i="59"/>
  <c r="O31" i="59"/>
  <c r="O32" i="59" s="1"/>
  <c r="S31" i="59"/>
  <c r="Q31" i="59"/>
  <c r="F60" i="59"/>
  <c r="F61" i="59" s="1"/>
  <c r="H60" i="59"/>
  <c r="J60" i="59"/>
  <c r="J61" i="59" s="1"/>
  <c r="I60" i="59"/>
  <c r="I61" i="59" s="1"/>
  <c r="G60" i="59"/>
  <c r="G61" i="59" s="1"/>
  <c r="H61" i="59"/>
  <c r="P60" i="59"/>
  <c r="R60" i="59"/>
  <c r="O60" i="59"/>
  <c r="O61" i="59" s="1"/>
  <c r="S60" i="59"/>
  <c r="Q60" i="59"/>
  <c r="E13" i="91"/>
  <c r="G30" i="82"/>
  <c r="E30" i="67"/>
  <c r="F11" i="92"/>
  <c r="F31" i="19"/>
  <c r="K47" i="32"/>
  <c r="S47" i="32"/>
  <c r="H50" i="32"/>
  <c r="H58" i="32" s="1"/>
  <c r="H66" i="32" s="1"/>
  <c r="J55" i="32"/>
  <c r="R55" i="32"/>
  <c r="J47" i="32"/>
  <c r="N47" i="32"/>
  <c r="R47" i="32"/>
  <c r="J63" i="32"/>
  <c r="I22" i="29"/>
  <c r="I38" i="29"/>
  <c r="R36" i="51"/>
  <c r="N36" i="51"/>
  <c r="J36" i="51"/>
  <c r="D33" i="46"/>
  <c r="D26" i="46" s="1"/>
  <c r="D52" i="46"/>
  <c r="L72" i="5"/>
  <c r="C21" i="1"/>
  <c r="P22" i="1"/>
  <c r="C47" i="1"/>
  <c r="P48" i="1"/>
  <c r="AN35" i="5"/>
  <c r="AJ20" i="5"/>
  <c r="G33" i="78" s="1"/>
  <c r="AI33" i="78" s="1"/>
  <c r="AJ33" i="78" s="1"/>
  <c r="AK33" i="78" s="1"/>
  <c r="AL33" i="78" s="1"/>
  <c r="I12" i="38"/>
  <c r="AI12" i="38"/>
  <c r="F18" i="34"/>
  <c r="F11" i="34"/>
  <c r="F12" i="34"/>
  <c r="F15" i="34"/>
  <c r="F16" i="34"/>
  <c r="B100" i="5"/>
  <c r="C99" i="5"/>
  <c r="E11" i="34"/>
  <c r="E12" i="34"/>
  <c r="E15" i="34"/>
  <c r="E16" i="34"/>
  <c r="AJ11" i="38"/>
  <c r="J33" i="32" l="1"/>
  <c r="J26" i="32"/>
  <c r="G11" i="65"/>
  <c r="E22" i="40"/>
  <c r="F21" i="40"/>
  <c r="L21" i="40" s="1"/>
  <c r="G48" i="57"/>
  <c r="G17" i="65"/>
  <c r="T17" i="65"/>
  <c r="O24" i="29"/>
  <c r="W13" i="38"/>
  <c r="AB13" i="38" s="1"/>
  <c r="U31" i="100"/>
  <c r="U32" i="100" s="1"/>
  <c r="G28" i="66" s="1"/>
  <c r="J15" i="58"/>
  <c r="G41" i="53"/>
  <c r="G42" i="53" s="1"/>
  <c r="G24" i="53" s="1"/>
  <c r="T12" i="58"/>
  <c r="O54" i="32"/>
  <c r="O55" i="32" s="1"/>
  <c r="AJ13" i="38"/>
  <c r="K38" i="51"/>
  <c r="R71" i="32"/>
  <c r="C34" i="1"/>
  <c r="C14" i="85" s="1"/>
  <c r="O13" i="58"/>
  <c r="H48" i="57" s="1"/>
  <c r="K24" i="29"/>
  <c r="P29" i="1"/>
  <c r="C28" i="1"/>
  <c r="B3" i="97" s="1"/>
  <c r="D40" i="97"/>
  <c r="D40" i="95"/>
  <c r="O38" i="51"/>
  <c r="AJ17" i="78"/>
  <c r="O40" i="29"/>
  <c r="I12" i="1"/>
  <c r="B11" i="1"/>
  <c r="A3" i="94" s="1"/>
  <c r="K2" i="94" s="1"/>
  <c r="O47" i="32"/>
  <c r="O37" i="51"/>
  <c r="O13" i="29"/>
  <c r="A3" i="111"/>
  <c r="A3" i="32"/>
  <c r="T2" i="32" s="1"/>
  <c r="O62" i="32"/>
  <c r="O63" i="32" s="1"/>
  <c r="O71" i="32"/>
  <c r="C20" i="83"/>
  <c r="C19" i="85"/>
  <c r="B3" i="62"/>
  <c r="P46" i="32"/>
  <c r="P61" i="32"/>
  <c r="P53" i="32"/>
  <c r="P69" i="32"/>
  <c r="I27" i="67"/>
  <c r="I31" i="67" s="1"/>
  <c r="J11" i="61" s="1"/>
  <c r="J11" i="76" s="1"/>
  <c r="K71" i="32"/>
  <c r="N54" i="32"/>
  <c r="N55" i="32" s="1"/>
  <c r="N62" i="32"/>
  <c r="N63" i="32" s="1"/>
  <c r="N70" i="32"/>
  <c r="I11" i="77"/>
  <c r="I12" i="77" s="1"/>
  <c r="I11" i="28"/>
  <c r="I12" i="28" s="1"/>
  <c r="H24" i="40"/>
  <c r="H26" i="40" s="1"/>
  <c r="V11" i="38"/>
  <c r="Y11" i="38"/>
  <c r="AK17" i="28"/>
  <c r="W11" i="38"/>
  <c r="AG11" i="29"/>
  <c r="S24" i="29"/>
  <c r="Y36" i="51"/>
  <c r="X13" i="38"/>
  <c r="Y13" i="38"/>
  <c r="J22" i="32"/>
  <c r="J29" i="32"/>
  <c r="K15" i="32"/>
  <c r="J36" i="32"/>
  <c r="P51" i="59"/>
  <c r="Q49" i="59"/>
  <c r="Q36" i="51"/>
  <c r="Q12" i="29"/>
  <c r="I53" i="32"/>
  <c r="I61" i="32"/>
  <c r="I46" i="32"/>
  <c r="I69" i="32"/>
  <c r="C40" i="85"/>
  <c r="C41" i="83"/>
  <c r="B3" i="79"/>
  <c r="P12" i="59"/>
  <c r="P30" i="59"/>
  <c r="P32" i="59" s="1"/>
  <c r="Q10" i="59"/>
  <c r="B3" i="12"/>
  <c r="C20" i="85"/>
  <c r="C21" i="83"/>
  <c r="AA11" i="29"/>
  <c r="AA37" i="29" s="1"/>
  <c r="AA13" i="38"/>
  <c r="I10" i="78"/>
  <c r="I12" i="78" s="1"/>
  <c r="E47" i="40"/>
  <c r="E50" i="40" s="1"/>
  <c r="H20" i="57" s="1"/>
  <c r="Q53" i="32"/>
  <c r="Q61" i="32"/>
  <c r="Q46" i="32"/>
  <c r="Q69" i="32"/>
  <c r="P62" i="1"/>
  <c r="C61" i="1"/>
  <c r="N46" i="57"/>
  <c r="N51" i="57" s="1"/>
  <c r="P6" i="57"/>
  <c r="O46" i="57" s="1"/>
  <c r="O51" i="57" s="1"/>
  <c r="Q7" i="57"/>
  <c r="K7" i="11"/>
  <c r="G53" i="40"/>
  <c r="M53" i="32"/>
  <c r="M46" i="32"/>
  <c r="M61" i="32"/>
  <c r="M69" i="32"/>
  <c r="L54" i="32"/>
  <c r="L55" i="32" s="1"/>
  <c r="L62" i="32"/>
  <c r="L63" i="32" s="1"/>
  <c r="L70" i="32"/>
  <c r="Q47" i="32"/>
  <c r="I47" i="32"/>
  <c r="J27" i="67"/>
  <c r="K21" i="61" s="1"/>
  <c r="K22" i="61" s="1"/>
  <c r="I23" i="32"/>
  <c r="M36" i="51"/>
  <c r="M12" i="29"/>
  <c r="J28" i="32"/>
  <c r="J35" i="32"/>
  <c r="K14" i="32"/>
  <c r="J21" i="32"/>
  <c r="T54" i="32"/>
  <c r="T55" i="32" s="1"/>
  <c r="T62" i="32"/>
  <c r="T63" i="32" s="1"/>
  <c r="T70" i="32"/>
  <c r="D38" i="97"/>
  <c r="D38" i="95"/>
  <c r="P22" i="59"/>
  <c r="Q20" i="59"/>
  <c r="S38" i="51"/>
  <c r="I12" i="53"/>
  <c r="J24" i="40"/>
  <c r="J26" i="40" s="1"/>
  <c r="AA11" i="38"/>
  <c r="L13" i="29"/>
  <c r="L23" i="29" s="1"/>
  <c r="AE35" i="51"/>
  <c r="O37" i="95" s="1"/>
  <c r="O37" i="97" s="1"/>
  <c r="C41" i="1"/>
  <c r="P42" i="1"/>
  <c r="P41" i="59"/>
  <c r="P59" i="59"/>
  <c r="P61" i="59" s="1"/>
  <c r="Q39" i="59"/>
  <c r="S71" i="32"/>
  <c r="I25" i="40"/>
  <c r="I26" i="40"/>
  <c r="I35" i="40"/>
  <c r="C8" i="85"/>
  <c r="B3" i="95"/>
  <c r="C8" i="83"/>
  <c r="V36" i="51"/>
  <c r="H37" i="79"/>
  <c r="Z19" i="5"/>
  <c r="T65" i="5"/>
  <c r="L46" i="57"/>
  <c r="L51" i="57" s="1"/>
  <c r="H46" i="57"/>
  <c r="H51" i="57" s="1"/>
  <c r="AK11" i="38"/>
  <c r="AC11" i="38"/>
  <c r="B101" i="5"/>
  <c r="C100" i="5"/>
  <c r="V12" i="38"/>
  <c r="X12" i="38"/>
  <c r="AJ12" i="38"/>
  <c r="Y12" i="38"/>
  <c r="W12" i="38"/>
  <c r="C48" i="1"/>
  <c r="P49" i="1"/>
  <c r="C22" i="1"/>
  <c r="P23" i="1"/>
  <c r="D23" i="46"/>
  <c r="D53" i="46"/>
  <c r="L73" i="5"/>
  <c r="G30" i="67"/>
  <c r="I30" i="67"/>
  <c r="F30" i="67"/>
  <c r="J10" i="84"/>
  <c r="J10" i="15"/>
  <c r="Y22" i="5"/>
  <c r="U54" i="5"/>
  <c r="G18" i="65"/>
  <c r="H18" i="65" s="1"/>
  <c r="Y19" i="5"/>
  <c r="U65" i="5"/>
  <c r="K46" i="57"/>
  <c r="K51" i="57" s="1"/>
  <c r="I46" i="57"/>
  <c r="I51" i="57" s="1"/>
  <c r="G46" i="57"/>
  <c r="G51" i="57" s="1"/>
  <c r="G12" i="57"/>
  <c r="G13" i="57"/>
  <c r="AF13" i="57" s="1"/>
  <c r="G11" i="57"/>
  <c r="G36" i="57"/>
  <c r="K27" i="67"/>
  <c r="K31" i="67" s="1"/>
  <c r="L11" i="61" s="1"/>
  <c r="L11" i="76" s="1"/>
  <c r="L27" i="67"/>
  <c r="L31" i="67" s="1"/>
  <c r="M11" i="61" s="1"/>
  <c r="M11" i="76" s="1"/>
  <c r="H27" i="67"/>
  <c r="H31" i="67" s="1"/>
  <c r="I11" i="61" s="1"/>
  <c r="I11" i="76" s="1"/>
  <c r="I12" i="26"/>
  <c r="I10" i="46" s="1"/>
  <c r="I51" i="46" s="1"/>
  <c r="I17" i="26"/>
  <c r="G65" i="59"/>
  <c r="AD23" i="13" s="1"/>
  <c r="J65" i="59"/>
  <c r="AG23" i="13" s="1"/>
  <c r="F65" i="59"/>
  <c r="AC9" i="38"/>
  <c r="AK9" i="38"/>
  <c r="J17" i="46"/>
  <c r="I43" i="46"/>
  <c r="J16" i="32"/>
  <c r="U22" i="100"/>
  <c r="U26" i="100" s="1"/>
  <c r="AB19" i="12"/>
  <c r="I49" i="59"/>
  <c r="H51" i="59"/>
  <c r="I20" i="59"/>
  <c r="H22" i="59"/>
  <c r="J15" i="87"/>
  <c r="K44" i="79"/>
  <c r="L15" i="87"/>
  <c r="M44" i="79"/>
  <c r="B14" i="58"/>
  <c r="D15" i="58"/>
  <c r="AI33" i="5"/>
  <c r="G33" i="5"/>
  <c r="AG33" i="5"/>
  <c r="E33" i="5"/>
  <c r="V10" i="38"/>
  <c r="X10" i="38"/>
  <c r="AJ10" i="38"/>
  <c r="Y10" i="38"/>
  <c r="W10" i="38"/>
  <c r="B3" i="65"/>
  <c r="C10" i="1"/>
  <c r="B3" i="32" s="1"/>
  <c r="P11" i="1"/>
  <c r="Q23" i="76"/>
  <c r="W36" i="51"/>
  <c r="G31" i="67"/>
  <c r="F31" i="67"/>
  <c r="R14" i="86"/>
  <c r="Q14" i="86"/>
  <c r="I17" i="78"/>
  <c r="G20" i="57"/>
  <c r="E45" i="100"/>
  <c r="J33" i="11"/>
  <c r="T33" i="11"/>
  <c r="J11" i="77"/>
  <c r="J17" i="77" s="1"/>
  <c r="J11" i="26"/>
  <c r="H33" i="5"/>
  <c r="AJ33" i="5"/>
  <c r="F33" i="5"/>
  <c r="AH33" i="5"/>
  <c r="AH13" i="29"/>
  <c r="T23" i="29"/>
  <c r="T39" i="29"/>
  <c r="N21" i="29"/>
  <c r="N37" i="29"/>
  <c r="K9" i="38"/>
  <c r="I12" i="46"/>
  <c r="I50" i="46"/>
  <c r="E14" i="58"/>
  <c r="H39" i="59"/>
  <c r="G41" i="59"/>
  <c r="H10" i="59"/>
  <c r="G12" i="59"/>
  <c r="G30" i="59"/>
  <c r="F49" i="40"/>
  <c r="F67" i="40"/>
  <c r="G34" i="77"/>
  <c r="AI34" i="77" s="1"/>
  <c r="AJ34" i="77" s="1"/>
  <c r="AK34" i="77" s="1"/>
  <c r="AL34" i="77" s="1"/>
  <c r="AI21" i="5"/>
  <c r="W12" i="29"/>
  <c r="Y12" i="29"/>
  <c r="AI12" i="29"/>
  <c r="V12" i="29"/>
  <c r="X12" i="29"/>
  <c r="AF36" i="51"/>
  <c r="P38" i="95" s="1"/>
  <c r="P38" i="97" s="1"/>
  <c r="AK13" i="38"/>
  <c r="AC13" i="38"/>
  <c r="J12" i="38"/>
  <c r="K12" i="38" s="1"/>
  <c r="L12" i="38" s="1"/>
  <c r="M12" i="38" s="1"/>
  <c r="N12" i="38" s="1"/>
  <c r="O12" i="38" s="1"/>
  <c r="P12" i="38" s="1"/>
  <c r="Q12" i="38" s="1"/>
  <c r="R12" i="38" s="1"/>
  <c r="S12" i="38" s="1"/>
  <c r="T12" i="38" s="1"/>
  <c r="C27" i="85"/>
  <c r="C28" i="83"/>
  <c r="B3" i="77"/>
  <c r="D64" i="46"/>
  <c r="D90" i="46"/>
  <c r="J10" i="29"/>
  <c r="L10" i="29"/>
  <c r="N10" i="29"/>
  <c r="P10" i="29"/>
  <c r="R10" i="29"/>
  <c r="T10" i="29"/>
  <c r="J34" i="51"/>
  <c r="J39" i="51" s="1"/>
  <c r="L34" i="51"/>
  <c r="N34" i="51"/>
  <c r="P34" i="51"/>
  <c r="R34" i="51"/>
  <c r="T34" i="51"/>
  <c r="I10" i="29"/>
  <c r="K10" i="29"/>
  <c r="M10" i="29"/>
  <c r="O10" i="29"/>
  <c r="Q10" i="29"/>
  <c r="S10" i="29"/>
  <c r="I34" i="51"/>
  <c r="K34" i="51"/>
  <c r="M34" i="51"/>
  <c r="O34" i="51"/>
  <c r="Q34" i="51"/>
  <c r="S34" i="51"/>
  <c r="U34" i="51"/>
  <c r="U39" i="51" s="1"/>
  <c r="J46" i="57"/>
  <c r="J51" i="57" s="1"/>
  <c r="I12" i="91"/>
  <c r="I17" i="28"/>
  <c r="I16" i="51"/>
  <c r="L13" i="32"/>
  <c r="K20" i="32"/>
  <c r="K27" i="32"/>
  <c r="K34" i="32"/>
  <c r="K11" i="26" s="1"/>
  <c r="AI10" i="12"/>
  <c r="I65" i="59"/>
  <c r="AF23" i="13" s="1"/>
  <c r="H65" i="59"/>
  <c r="AE23" i="13" s="1"/>
  <c r="AB9" i="38"/>
  <c r="L12" i="32"/>
  <c r="K19" i="32"/>
  <c r="K26" i="32"/>
  <c r="K33" i="32"/>
  <c r="K10" i="77" s="1"/>
  <c r="C43" i="97"/>
  <c r="C43" i="95"/>
  <c r="C37" i="97"/>
  <c r="C37" i="95"/>
  <c r="AC20" i="13"/>
  <c r="P20" i="66" s="1"/>
  <c r="J18" i="66"/>
  <c r="I20" i="79"/>
  <c r="Q20" i="79" s="1"/>
  <c r="P15" i="87" s="1"/>
  <c r="P18" i="66"/>
  <c r="I18" i="19"/>
  <c r="H15" i="58"/>
  <c r="J16" i="58"/>
  <c r="M8" i="53"/>
  <c r="J10" i="38"/>
  <c r="K10" i="38" s="1"/>
  <c r="L10" i="38" s="1"/>
  <c r="M10" i="38" s="1"/>
  <c r="N10" i="38" s="1"/>
  <c r="O10" i="38" s="1"/>
  <c r="P10" i="38" s="1"/>
  <c r="Q10" i="38" s="1"/>
  <c r="R10" i="38" s="1"/>
  <c r="S10" i="38" s="1"/>
  <c r="T10" i="38" s="1"/>
  <c r="C15" i="85"/>
  <c r="C16" i="83"/>
  <c r="B3" i="66"/>
  <c r="J24" i="29"/>
  <c r="J40" i="29"/>
  <c r="R24" i="29"/>
  <c r="R40" i="29"/>
  <c r="K22" i="29"/>
  <c r="K38" i="29"/>
  <c r="X36" i="51"/>
  <c r="Q15" i="86"/>
  <c r="R15" i="86"/>
  <c r="G23" i="66"/>
  <c r="G26" i="66" s="1"/>
  <c r="G31" i="66" s="1"/>
  <c r="G36" i="53"/>
  <c r="K15" i="100"/>
  <c r="J17" i="100"/>
  <c r="J27" i="100" s="1"/>
  <c r="J12" i="51"/>
  <c r="I12" i="51"/>
  <c r="F25" i="74"/>
  <c r="H24" i="74"/>
  <c r="J21" i="29"/>
  <c r="J37" i="29"/>
  <c r="R21" i="29"/>
  <c r="R37" i="29"/>
  <c r="F32" i="59"/>
  <c r="F64" i="59"/>
  <c r="I29" i="40"/>
  <c r="I31" i="40" s="1"/>
  <c r="H39" i="40"/>
  <c r="AB22" i="12"/>
  <c r="AB25" i="12" s="1"/>
  <c r="G22" i="65"/>
  <c r="H41" i="53"/>
  <c r="I11" i="53"/>
  <c r="I14" i="38"/>
  <c r="G31" i="11" s="1"/>
  <c r="I16" i="32"/>
  <c r="I30" i="32"/>
  <c r="I37" i="32"/>
  <c r="H19" i="32"/>
  <c r="H26" i="32" s="1"/>
  <c r="H33" i="32" s="1"/>
  <c r="J10" i="26"/>
  <c r="H17" i="74"/>
  <c r="F18" i="74"/>
  <c r="J10" i="77"/>
  <c r="K26" i="100"/>
  <c r="AI11" i="12"/>
  <c r="C45" i="97"/>
  <c r="C45" i="95"/>
  <c r="C41" i="97"/>
  <c r="C41" i="95"/>
  <c r="D39" i="97"/>
  <c r="D39" i="95"/>
  <c r="K20" i="66"/>
  <c r="I23" i="87"/>
  <c r="L44" i="79"/>
  <c r="K15" i="87"/>
  <c r="M13" i="58"/>
  <c r="R13" i="58" s="1"/>
  <c r="T13" i="58"/>
  <c r="I48" i="53"/>
  <c r="J6" i="53"/>
  <c r="K7" i="53"/>
  <c r="G46" i="40"/>
  <c r="W11" i="29"/>
  <c r="Y11" i="29"/>
  <c r="AI11" i="29"/>
  <c r="AF35" i="51"/>
  <c r="P37" i="95" s="1"/>
  <c r="P37" i="97" s="1"/>
  <c r="V11" i="29"/>
  <c r="X11" i="29"/>
  <c r="H25" i="40" l="1"/>
  <c r="D57" i="40" s="1"/>
  <c r="AE35" i="11"/>
  <c r="L35" i="63" s="1"/>
  <c r="F22" i="40"/>
  <c r="L22" i="40" s="1"/>
  <c r="L24" i="40" s="1"/>
  <c r="J21" i="92"/>
  <c r="J22" i="92" s="1"/>
  <c r="K21" i="40"/>
  <c r="K24" i="40" s="1"/>
  <c r="AF35" i="11" s="1"/>
  <c r="AF11" i="13" s="1"/>
  <c r="O14" i="58"/>
  <c r="J48" i="53" s="1"/>
  <c r="J21" i="61"/>
  <c r="J22" i="61" s="1"/>
  <c r="K39" i="51"/>
  <c r="H35" i="40"/>
  <c r="H36" i="40" s="1"/>
  <c r="C15" i="83"/>
  <c r="C29" i="1"/>
  <c r="B3" i="84" s="1"/>
  <c r="P30" i="1"/>
  <c r="C30" i="1" s="1"/>
  <c r="B3" i="76" s="1"/>
  <c r="I17" i="77"/>
  <c r="I23" i="37" s="1"/>
  <c r="J31" i="67"/>
  <c r="K11" i="61" s="1"/>
  <c r="K11" i="76" s="1"/>
  <c r="I17" i="51"/>
  <c r="I18" i="51" s="1"/>
  <c r="L39" i="29"/>
  <c r="K21" i="92"/>
  <c r="K22" i="92" s="1"/>
  <c r="O23" i="29"/>
  <c r="O39" i="29"/>
  <c r="I13" i="1"/>
  <c r="B12" i="1"/>
  <c r="A3" i="100" s="1"/>
  <c r="Q2" i="100" s="1"/>
  <c r="J12" i="91"/>
  <c r="J12" i="53"/>
  <c r="AB11" i="38"/>
  <c r="P37" i="51"/>
  <c r="P13" i="29"/>
  <c r="N38" i="51"/>
  <c r="N39" i="51" s="1"/>
  <c r="N14" i="29"/>
  <c r="N15" i="29" s="1"/>
  <c r="N71" i="32"/>
  <c r="P54" i="32"/>
  <c r="P55" i="32" s="1"/>
  <c r="P62" i="32"/>
  <c r="P63" i="32" s="1"/>
  <c r="P70" i="32"/>
  <c r="P47" i="32"/>
  <c r="J23" i="32"/>
  <c r="J30" i="32"/>
  <c r="K12" i="51"/>
  <c r="V12" i="51" s="1"/>
  <c r="S39" i="51"/>
  <c r="AE36" i="51"/>
  <c r="O38" i="95" s="1"/>
  <c r="O38" i="97" s="1"/>
  <c r="J12" i="77"/>
  <c r="X14" i="38"/>
  <c r="Z31" i="11" s="1"/>
  <c r="G19" i="65"/>
  <c r="W14" i="38"/>
  <c r="Y31" i="11" s="1"/>
  <c r="V14" i="38"/>
  <c r="X31" i="11" s="1"/>
  <c r="AA12" i="38"/>
  <c r="F47" i="40"/>
  <c r="F50" i="40" s="1"/>
  <c r="Q59" i="59"/>
  <c r="Q61" i="59" s="1"/>
  <c r="R39" i="59"/>
  <c r="Q41" i="59"/>
  <c r="M38" i="29"/>
  <c r="AG12" i="29"/>
  <c r="AA12" i="29"/>
  <c r="AA38" i="29" s="1"/>
  <c r="M22" i="29"/>
  <c r="M54" i="32"/>
  <c r="M55" i="32" s="1"/>
  <c r="M62" i="32"/>
  <c r="M63" i="32" s="1"/>
  <c r="M70" i="32"/>
  <c r="M47" i="32"/>
  <c r="H20" i="53"/>
  <c r="J25" i="40"/>
  <c r="R20" i="59"/>
  <c r="Q22" i="59"/>
  <c r="K28" i="32"/>
  <c r="K35" i="32"/>
  <c r="K10" i="78" s="1"/>
  <c r="L14" i="32"/>
  <c r="K21" i="32"/>
  <c r="Q13" i="29"/>
  <c r="Q37" i="51"/>
  <c r="AA21" i="29"/>
  <c r="J35" i="40"/>
  <c r="K10" i="28"/>
  <c r="J10" i="78"/>
  <c r="J10" i="28"/>
  <c r="M13" i="29"/>
  <c r="M37" i="51"/>
  <c r="W37" i="51" s="1"/>
  <c r="N25" i="57"/>
  <c r="N33" i="57"/>
  <c r="Q54" i="32"/>
  <c r="Q55" i="32" s="1"/>
  <c r="Q62" i="32"/>
  <c r="Q63" i="32" s="1"/>
  <c r="Q70" i="32"/>
  <c r="I13" i="29"/>
  <c r="I37" i="51"/>
  <c r="Q22" i="29"/>
  <c r="Q38" i="29"/>
  <c r="J11" i="78"/>
  <c r="J17" i="78" s="1"/>
  <c r="J11" i="28"/>
  <c r="C22" i="83"/>
  <c r="B3" i="13"/>
  <c r="C21" i="85"/>
  <c r="R7" i="57"/>
  <c r="Q6" i="57"/>
  <c r="P63" i="1"/>
  <c r="C62" i="1"/>
  <c r="O33" i="57"/>
  <c r="O25" i="57"/>
  <c r="R10" i="59"/>
  <c r="Q30" i="59"/>
  <c r="Q32" i="59" s="1"/>
  <c r="Q12" i="59"/>
  <c r="R49" i="59"/>
  <c r="Q51" i="59"/>
  <c r="T38" i="51"/>
  <c r="T39" i="51" s="1"/>
  <c r="T71" i="32"/>
  <c r="T14" i="29"/>
  <c r="K16" i="32"/>
  <c r="Y14" i="38"/>
  <c r="AA31" i="11" s="1"/>
  <c r="J37" i="32"/>
  <c r="J30" i="67"/>
  <c r="K11" i="92" s="1"/>
  <c r="C42" i="1"/>
  <c r="P43" i="1"/>
  <c r="C43" i="1" s="1"/>
  <c r="L38" i="51"/>
  <c r="L39" i="51" s="1"/>
  <c r="L14" i="29"/>
  <c r="L15" i="29" s="1"/>
  <c r="L71" i="32"/>
  <c r="L7" i="11"/>
  <c r="H53" i="40"/>
  <c r="C42" i="83"/>
  <c r="C41" i="85"/>
  <c r="B3" i="87"/>
  <c r="I54" i="32"/>
  <c r="I55" i="32" s="1"/>
  <c r="I62" i="32"/>
  <c r="I63" i="32" s="1"/>
  <c r="I70" i="32"/>
  <c r="I71" i="32" s="1"/>
  <c r="L15" i="32"/>
  <c r="K22" i="32"/>
  <c r="K29" i="32"/>
  <c r="K36" i="32"/>
  <c r="AB11" i="29"/>
  <c r="AB37" i="29" s="1"/>
  <c r="V37" i="29"/>
  <c r="V21" i="29"/>
  <c r="Z35" i="51"/>
  <c r="W21" i="29"/>
  <c r="AA35" i="51"/>
  <c r="W37" i="29"/>
  <c r="I15" i="87"/>
  <c r="J44" i="79"/>
  <c r="I17" i="74"/>
  <c r="S134" i="5"/>
  <c r="S136" i="5" s="1"/>
  <c r="G22" i="12"/>
  <c r="H22" i="65"/>
  <c r="J22" i="65"/>
  <c r="I24" i="74"/>
  <c r="S139" i="5"/>
  <c r="S141" i="5" s="1"/>
  <c r="P15" i="100"/>
  <c r="P20" i="100" s="1"/>
  <c r="U15" i="100"/>
  <c r="K17" i="100"/>
  <c r="K27" i="100" s="1"/>
  <c r="M23" i="66"/>
  <c r="X34" i="51"/>
  <c r="O39" i="51"/>
  <c r="S15" i="29"/>
  <c r="S20" i="29"/>
  <c r="S25" i="29" s="1"/>
  <c r="S36" i="29"/>
  <c r="O15" i="29"/>
  <c r="O20" i="29"/>
  <c r="O36" i="29"/>
  <c r="W34" i="51"/>
  <c r="P20" i="29"/>
  <c r="P36" i="29"/>
  <c r="X37" i="29"/>
  <c r="X21" i="29"/>
  <c r="AB35" i="51"/>
  <c r="Y21" i="29"/>
  <c r="AC35" i="51"/>
  <c r="Y37" i="29"/>
  <c r="G49" i="40"/>
  <c r="G67" i="40"/>
  <c r="J12" i="26"/>
  <c r="J10" i="46" s="1"/>
  <c r="J51" i="46" s="1"/>
  <c r="J17" i="26"/>
  <c r="I39" i="40"/>
  <c r="J29" i="40"/>
  <c r="J31" i="40" s="1"/>
  <c r="T36" i="53"/>
  <c r="AA10" i="38"/>
  <c r="N8" i="53"/>
  <c r="H16" i="58"/>
  <c r="J17" i="58"/>
  <c r="J20" i="66"/>
  <c r="H23" i="87"/>
  <c r="L26" i="32"/>
  <c r="L33" i="32"/>
  <c r="L10" i="26" s="1"/>
  <c r="M12" i="32"/>
  <c r="L19" i="32"/>
  <c r="I34" i="40"/>
  <c r="I36" i="40" s="1"/>
  <c r="H40" i="40"/>
  <c r="H41" i="40" s="1"/>
  <c r="H43" i="40" s="1"/>
  <c r="AC12" i="12" s="1"/>
  <c r="L23" i="66"/>
  <c r="L27" i="32"/>
  <c r="L34" i="32"/>
  <c r="L11" i="77" s="1"/>
  <c r="L17" i="77" s="1"/>
  <c r="M13" i="32"/>
  <c r="L20" i="32"/>
  <c r="G12" i="62"/>
  <c r="I36" i="37"/>
  <c r="I29" i="51"/>
  <c r="J33" i="57"/>
  <c r="J25" i="57"/>
  <c r="V34" i="51"/>
  <c r="AE34" i="51"/>
  <c r="Q20" i="29"/>
  <c r="Q36" i="29"/>
  <c r="M20" i="29"/>
  <c r="M36" i="29"/>
  <c r="AG10" i="29"/>
  <c r="AA10" i="29"/>
  <c r="I20" i="29"/>
  <c r="I36" i="29"/>
  <c r="R39" i="51"/>
  <c r="Y34" i="51"/>
  <c r="R20" i="29"/>
  <c r="R25" i="29" s="1"/>
  <c r="R36" i="29"/>
  <c r="R15" i="29"/>
  <c r="N20" i="29"/>
  <c r="N36" i="29"/>
  <c r="J20" i="29"/>
  <c r="J25" i="29" s="1"/>
  <c r="J36" i="29"/>
  <c r="J15" i="29"/>
  <c r="AL13" i="38"/>
  <c r="AE13" i="38" s="1"/>
  <c r="AD13" i="38"/>
  <c r="AB36" i="51"/>
  <c r="X22" i="29"/>
  <c r="X38" i="29"/>
  <c r="AG36" i="51"/>
  <c r="Q38" i="95" s="1"/>
  <c r="Q38" i="97" s="1"/>
  <c r="AC12" i="29"/>
  <c r="AJ12" i="29"/>
  <c r="W22" i="29"/>
  <c r="W38" i="29"/>
  <c r="AA36" i="51"/>
  <c r="E15" i="58"/>
  <c r="I48" i="57"/>
  <c r="I62" i="46"/>
  <c r="J50" i="46"/>
  <c r="I88" i="46"/>
  <c r="K10" i="26"/>
  <c r="L9" i="38"/>
  <c r="K14" i="38"/>
  <c r="I31" i="11" s="1"/>
  <c r="G31" i="53"/>
  <c r="F10" i="34"/>
  <c r="AL33" i="5"/>
  <c r="AL30" i="5" s="1"/>
  <c r="F25" i="5" s="1"/>
  <c r="H10" i="34"/>
  <c r="AN33" i="5"/>
  <c r="AN30" i="5" s="1"/>
  <c r="H25" i="5" s="1"/>
  <c r="K11" i="77"/>
  <c r="K12" i="77" s="1"/>
  <c r="K33" i="11"/>
  <c r="C11" i="1"/>
  <c r="B3" i="94" s="1"/>
  <c r="P12" i="1"/>
  <c r="AK10" i="38"/>
  <c r="AC10" i="38"/>
  <c r="AB10" i="38"/>
  <c r="E10" i="34"/>
  <c r="AK33" i="5"/>
  <c r="AK30" i="5" s="1"/>
  <c r="E25" i="5" s="1"/>
  <c r="G10" i="34"/>
  <c r="AM33" i="5"/>
  <c r="AM30" i="5" s="1"/>
  <c r="G25" i="5" s="1"/>
  <c r="J20" i="59"/>
  <c r="J22" i="59" s="1"/>
  <c r="I22" i="59"/>
  <c r="J49" i="59"/>
  <c r="J51" i="59" s="1"/>
  <c r="I51" i="59"/>
  <c r="AD9" i="38"/>
  <c r="AL9" i="38"/>
  <c r="AE9" i="38" s="1"/>
  <c r="AC23" i="13"/>
  <c r="O66" i="59"/>
  <c r="K23" i="66"/>
  <c r="I89" i="46"/>
  <c r="I49" i="51" s="1"/>
  <c r="I63" i="46"/>
  <c r="L12" i="91"/>
  <c r="M21" i="61"/>
  <c r="M22" i="61" s="1"/>
  <c r="M21" i="92"/>
  <c r="M22" i="92" s="1"/>
  <c r="M27" i="67"/>
  <c r="N20" i="79"/>
  <c r="G27" i="79" s="1"/>
  <c r="AF36" i="57"/>
  <c r="I33" i="57"/>
  <c r="I25" i="57"/>
  <c r="K33" i="57"/>
  <c r="K25" i="57"/>
  <c r="V25" i="53"/>
  <c r="U18" i="65"/>
  <c r="L30" i="67"/>
  <c r="J11" i="92"/>
  <c r="J31" i="19"/>
  <c r="I13" i="91" s="1"/>
  <c r="D34" i="46"/>
  <c r="D54" i="46"/>
  <c r="L74" i="5"/>
  <c r="D27" i="46"/>
  <c r="D42" i="46"/>
  <c r="C9" i="85"/>
  <c r="B3" i="15"/>
  <c r="C9" i="83"/>
  <c r="C28" i="85"/>
  <c r="C29" i="83"/>
  <c r="B3" i="28"/>
  <c r="AL11" i="38"/>
  <c r="AE11" i="38" s="1"/>
  <c r="AD11" i="38"/>
  <c r="H33" i="57"/>
  <c r="H25" i="57"/>
  <c r="L25" i="57"/>
  <c r="L33" i="57"/>
  <c r="L32" i="82"/>
  <c r="K23" i="76" s="1"/>
  <c r="E21" i="82"/>
  <c r="M35" i="63"/>
  <c r="X35" i="11"/>
  <c r="D64" i="40"/>
  <c r="AC11" i="29"/>
  <c r="AJ11" i="29"/>
  <c r="AG35" i="51"/>
  <c r="Q37" i="95" s="1"/>
  <c r="Q37" i="97" s="1"/>
  <c r="K6" i="53"/>
  <c r="L7" i="53"/>
  <c r="H46" i="40"/>
  <c r="M14" i="58"/>
  <c r="R14" i="58" s="1"/>
  <c r="O15" i="58"/>
  <c r="J48" i="57" s="1"/>
  <c r="J11" i="51"/>
  <c r="J13" i="51" s="1"/>
  <c r="I11" i="51"/>
  <c r="I13" i="51" s="1"/>
  <c r="K11" i="51"/>
  <c r="J11" i="53"/>
  <c r="I41" i="53"/>
  <c r="AC40" i="11"/>
  <c r="F66" i="59"/>
  <c r="I25" i="51"/>
  <c r="G35" i="11"/>
  <c r="L11" i="26"/>
  <c r="U36" i="111"/>
  <c r="I15" i="46"/>
  <c r="K15" i="29"/>
  <c r="K20" i="29"/>
  <c r="K25" i="29" s="1"/>
  <c r="K36" i="29"/>
  <c r="AH10" i="29"/>
  <c r="T20" i="29"/>
  <c r="T36" i="29"/>
  <c r="L20" i="29"/>
  <c r="L36" i="29"/>
  <c r="AB12" i="29"/>
  <c r="AB38" i="29" s="1"/>
  <c r="Z36" i="51"/>
  <c r="V22" i="29"/>
  <c r="V38" i="29"/>
  <c r="Y22" i="29"/>
  <c r="Y38" i="29"/>
  <c r="AC36" i="51"/>
  <c r="G34" i="28"/>
  <c r="AI34" i="28" s="1"/>
  <c r="AJ34" i="28" s="1"/>
  <c r="AK34" i="28" s="1"/>
  <c r="AL34" i="28" s="1"/>
  <c r="AJ21" i="5"/>
  <c r="G34" i="78" s="1"/>
  <c r="AI34" i="78" s="1"/>
  <c r="AJ34" i="78" s="1"/>
  <c r="AK34" i="78" s="1"/>
  <c r="AL34" i="78" s="1"/>
  <c r="I46" i="53"/>
  <c r="G64" i="59"/>
  <c r="G32" i="59"/>
  <c r="H12" i="59"/>
  <c r="I10" i="59"/>
  <c r="H30" i="59"/>
  <c r="H41" i="59"/>
  <c r="I39" i="59"/>
  <c r="I34" i="46"/>
  <c r="I36" i="46"/>
  <c r="I38" i="46"/>
  <c r="J12" i="46"/>
  <c r="I35" i="46"/>
  <c r="I37" i="46"/>
  <c r="J14" i="38"/>
  <c r="H31" i="11" s="1"/>
  <c r="H42" i="53"/>
  <c r="H24" i="53" s="1"/>
  <c r="W13" i="29"/>
  <c r="Y13" i="29"/>
  <c r="AI13" i="29"/>
  <c r="AF37" i="51"/>
  <c r="P39" i="95" s="1"/>
  <c r="P39" i="97" s="1"/>
  <c r="V13" i="29"/>
  <c r="X13" i="29"/>
  <c r="J23" i="37"/>
  <c r="J41" i="26"/>
  <c r="J25" i="51"/>
  <c r="I49" i="37"/>
  <c r="I41" i="28"/>
  <c r="I42" i="28" s="1"/>
  <c r="I43" i="28" s="1"/>
  <c r="I44" i="28" s="1"/>
  <c r="I45" i="51" s="1"/>
  <c r="I30" i="51"/>
  <c r="Q24" i="76"/>
  <c r="B15" i="58"/>
  <c r="D16" i="58"/>
  <c r="AB27" i="12"/>
  <c r="J43" i="46"/>
  <c r="K17" i="46"/>
  <c r="N23" i="66"/>
  <c r="I10" i="37"/>
  <c r="I24" i="51"/>
  <c r="H12" i="91"/>
  <c r="I21" i="61"/>
  <c r="I22" i="61" s="1"/>
  <c r="I21" i="92"/>
  <c r="I22" i="92" s="1"/>
  <c r="K12" i="91"/>
  <c r="L21" i="61"/>
  <c r="L22" i="61" s="1"/>
  <c r="L21" i="92"/>
  <c r="L22" i="92" s="1"/>
  <c r="H11" i="57"/>
  <c r="G41" i="57"/>
  <c r="H12" i="57"/>
  <c r="I12" i="57" s="1"/>
  <c r="J12" i="57" s="1"/>
  <c r="K12" i="57" s="1"/>
  <c r="L12" i="57" s="1"/>
  <c r="M12" i="57" s="1"/>
  <c r="N12" i="57" s="1"/>
  <c r="O12" i="57" s="1"/>
  <c r="P12" i="57" s="1"/>
  <c r="G33" i="57"/>
  <c r="G25" i="57"/>
  <c r="P24" i="76"/>
  <c r="M32" i="82"/>
  <c r="S22" i="76" s="1"/>
  <c r="L23" i="76" s="1"/>
  <c r="H30" i="67"/>
  <c r="G11" i="92"/>
  <c r="G12" i="92" s="1"/>
  <c r="G31" i="19"/>
  <c r="K30" i="67"/>
  <c r="H31" i="19"/>
  <c r="H11" i="92"/>
  <c r="H12" i="92" s="1"/>
  <c r="D65" i="46"/>
  <c r="D91" i="46"/>
  <c r="C23" i="1"/>
  <c r="P24" i="1"/>
  <c r="C24" i="1" s="1"/>
  <c r="C49" i="1"/>
  <c r="P50" i="1"/>
  <c r="AK12" i="38"/>
  <c r="AC12" i="38"/>
  <c r="AB12" i="38"/>
  <c r="B102" i="5"/>
  <c r="C101" i="5"/>
  <c r="V65" i="5"/>
  <c r="L19" i="19" l="1"/>
  <c r="L20" i="19" s="1"/>
  <c r="AE11" i="13"/>
  <c r="K26" i="40"/>
  <c r="K19" i="19"/>
  <c r="K20" i="19" s="1"/>
  <c r="K25" i="40"/>
  <c r="K35" i="40"/>
  <c r="AG35" i="11"/>
  <c r="L25" i="40"/>
  <c r="L26" i="40"/>
  <c r="L35" i="40"/>
  <c r="I20" i="51"/>
  <c r="G9" i="62" s="1"/>
  <c r="T14" i="58"/>
  <c r="O25" i="29"/>
  <c r="G11" i="62"/>
  <c r="G16" i="62" s="1"/>
  <c r="I41" i="26"/>
  <c r="I42" i="26" s="1"/>
  <c r="I43" i="26" s="1"/>
  <c r="I44" i="26" s="1"/>
  <c r="I44" i="51" s="1"/>
  <c r="Q12" i="57"/>
  <c r="K48" i="53"/>
  <c r="X37" i="51"/>
  <c r="B13" i="1"/>
  <c r="A3" i="52" s="1"/>
  <c r="T2" i="52" s="1"/>
  <c r="I16" i="1"/>
  <c r="AC14" i="38"/>
  <c r="AE31" i="11" s="1"/>
  <c r="L31" i="63" s="1"/>
  <c r="P38" i="51"/>
  <c r="P39" i="51" s="1"/>
  <c r="P71" i="32"/>
  <c r="P14" i="29"/>
  <c r="N40" i="29"/>
  <c r="N24" i="29"/>
  <c r="N25" i="29" s="1"/>
  <c r="P39" i="29"/>
  <c r="P23" i="29"/>
  <c r="K23" i="32"/>
  <c r="K30" i="32"/>
  <c r="K37" i="32"/>
  <c r="L16" i="32"/>
  <c r="Y38" i="51"/>
  <c r="Y39" i="51" s="1"/>
  <c r="AA22" i="29"/>
  <c r="AD31" i="11"/>
  <c r="K31" i="63" s="1"/>
  <c r="K31" i="19"/>
  <c r="J13" i="91" s="1"/>
  <c r="B3" i="59"/>
  <c r="C42" i="85"/>
  <c r="C43" i="83"/>
  <c r="AB14" i="38"/>
  <c r="P64" i="1"/>
  <c r="C63" i="1"/>
  <c r="M39" i="29"/>
  <c r="M23" i="29"/>
  <c r="K17" i="28"/>
  <c r="K16" i="51"/>
  <c r="M38" i="51"/>
  <c r="M39" i="51" s="1"/>
  <c r="M14" i="29"/>
  <c r="M71" i="32"/>
  <c r="S39" i="59"/>
  <c r="R41" i="59"/>
  <c r="R59" i="59"/>
  <c r="R61" i="59" s="1"/>
  <c r="L22" i="32"/>
  <c r="L36" i="32"/>
  <c r="L11" i="28" s="1"/>
  <c r="L17" i="51" s="1"/>
  <c r="M15" i="32"/>
  <c r="L29" i="32"/>
  <c r="L40" i="29"/>
  <c r="L24" i="29"/>
  <c r="L25" i="29" s="1"/>
  <c r="C22" i="85"/>
  <c r="B3" i="53"/>
  <c r="C23" i="83"/>
  <c r="J30" i="51"/>
  <c r="J16" i="46" s="1"/>
  <c r="J102" i="46" s="1"/>
  <c r="J41" i="28"/>
  <c r="J49" i="37"/>
  <c r="AE37" i="51"/>
  <c r="O39" i="95" s="1"/>
  <c r="O39" i="97" s="1"/>
  <c r="V37" i="51"/>
  <c r="J17" i="28"/>
  <c r="J16" i="51"/>
  <c r="W34" i="111"/>
  <c r="J12" i="28"/>
  <c r="P46" i="57"/>
  <c r="P51" i="57" s="1"/>
  <c r="R12" i="59"/>
  <c r="S10" i="59"/>
  <c r="R30" i="59"/>
  <c r="R32" i="59" s="1"/>
  <c r="L21" i="32"/>
  <c r="L28" i="32"/>
  <c r="L30" i="32" s="1"/>
  <c r="L35" i="32"/>
  <c r="M14" i="32"/>
  <c r="R22" i="59"/>
  <c r="S20" i="59"/>
  <c r="S22" i="59" s="1"/>
  <c r="L11" i="51"/>
  <c r="C24" i="83"/>
  <c r="B3" i="57"/>
  <c r="C23" i="85"/>
  <c r="AH14" i="29"/>
  <c r="T40" i="29"/>
  <c r="T24" i="29"/>
  <c r="T25" i="29" s="1"/>
  <c r="R51" i="59"/>
  <c r="S49" i="59"/>
  <c r="S51" i="59" s="1"/>
  <c r="J17" i="51"/>
  <c r="W35" i="111"/>
  <c r="Q23" i="29"/>
  <c r="Q39" i="29"/>
  <c r="T15" i="29"/>
  <c r="AW15" i="29" s="1"/>
  <c r="K11" i="78"/>
  <c r="K17" i="78" s="1"/>
  <c r="K11" i="28"/>
  <c r="K17" i="51" s="1"/>
  <c r="V17" i="51" s="1"/>
  <c r="I14" i="29"/>
  <c r="I38" i="51"/>
  <c r="M7" i="11"/>
  <c r="I53" i="40"/>
  <c r="R6" i="57"/>
  <c r="S7" i="57"/>
  <c r="I23" i="29"/>
  <c r="I39" i="29"/>
  <c r="AG13" i="29"/>
  <c r="AA13" i="29"/>
  <c r="AA39" i="29" s="1"/>
  <c r="Q38" i="51"/>
  <c r="Q14" i="29"/>
  <c r="Q71" i="32"/>
  <c r="J12" i="78"/>
  <c r="J12" i="65"/>
  <c r="W12" i="12"/>
  <c r="R12" i="65"/>
  <c r="C50" i="1"/>
  <c r="P51" i="1"/>
  <c r="L31" i="19"/>
  <c r="K13" i="91" s="1"/>
  <c r="L11" i="92"/>
  <c r="H31" i="53"/>
  <c r="AL12" i="38"/>
  <c r="AE12" i="38" s="1"/>
  <c r="AD12" i="38"/>
  <c r="C29" i="85"/>
  <c r="C30" i="83"/>
  <c r="B3" i="78"/>
  <c r="C10" i="85"/>
  <c r="B3" i="82"/>
  <c r="C10" i="83"/>
  <c r="I11" i="92"/>
  <c r="I31" i="19"/>
  <c r="H13" i="91" s="1"/>
  <c r="I11" i="57"/>
  <c r="H41" i="57"/>
  <c r="H42" i="57" s="1"/>
  <c r="H24" i="57" s="1"/>
  <c r="I26" i="51"/>
  <c r="I11" i="37"/>
  <c r="I17" i="37"/>
  <c r="I19" i="37"/>
  <c r="I14" i="37"/>
  <c r="I16" i="37"/>
  <c r="M24" i="19"/>
  <c r="L24" i="87"/>
  <c r="L16" i="87"/>
  <c r="J22" i="87"/>
  <c r="L11" i="66"/>
  <c r="K10" i="79"/>
  <c r="J13" i="87" s="1"/>
  <c r="B16" i="58"/>
  <c r="D17" i="58"/>
  <c r="H24" i="76"/>
  <c r="I16" i="46"/>
  <c r="I53" i="37"/>
  <c r="I55" i="37"/>
  <c r="I50" i="37"/>
  <c r="I56" i="37"/>
  <c r="I58" i="37"/>
  <c r="J24" i="37"/>
  <c r="J26" i="37" s="1"/>
  <c r="J30" i="37"/>
  <c r="J32" i="37"/>
  <c r="J27" i="37"/>
  <c r="J29" i="37"/>
  <c r="AB13" i="29"/>
  <c r="AB39" i="29" s="1"/>
  <c r="V39" i="29"/>
  <c r="V23" i="29"/>
  <c r="Z37" i="51"/>
  <c r="AC13" i="29"/>
  <c r="AJ13" i="29"/>
  <c r="AG37" i="51"/>
  <c r="Q39" i="95" s="1"/>
  <c r="Q39" i="97" s="1"/>
  <c r="W23" i="29"/>
  <c r="AA37" i="51"/>
  <c r="W39" i="29"/>
  <c r="J10" i="59"/>
  <c r="I12" i="59"/>
  <c r="I30" i="59"/>
  <c r="J13" i="62"/>
  <c r="L19" i="46"/>
  <c r="L62" i="37"/>
  <c r="L41" i="29"/>
  <c r="L27" i="29"/>
  <c r="W10" i="29"/>
  <c r="Y10" i="29"/>
  <c r="AI10" i="29"/>
  <c r="V10" i="29"/>
  <c r="X10" i="29"/>
  <c r="AF34" i="51"/>
  <c r="I42" i="46"/>
  <c r="I44" i="46"/>
  <c r="I45" i="46"/>
  <c r="I46" i="46"/>
  <c r="L23" i="37"/>
  <c r="L41" i="26"/>
  <c r="L25" i="51"/>
  <c r="G11" i="13"/>
  <c r="H35" i="11"/>
  <c r="I27" i="37"/>
  <c r="I29" i="37"/>
  <c r="I24" i="37"/>
  <c r="I30" i="37"/>
  <c r="I32" i="37"/>
  <c r="G40" i="11"/>
  <c r="I40" i="11"/>
  <c r="K40" i="11"/>
  <c r="M40" i="11"/>
  <c r="O40" i="11"/>
  <c r="Q40" i="11"/>
  <c r="J40" i="11"/>
  <c r="N40" i="11"/>
  <c r="R40" i="11"/>
  <c r="H40" i="11"/>
  <c r="L40" i="11"/>
  <c r="P40" i="11"/>
  <c r="J40" i="63"/>
  <c r="K13" i="51"/>
  <c r="V11" i="51"/>
  <c r="V13" i="51" s="1"/>
  <c r="M15" i="58"/>
  <c r="R15" i="58" s="1"/>
  <c r="O16" i="58"/>
  <c r="K48" i="57" s="1"/>
  <c r="T15" i="58"/>
  <c r="H49" i="40"/>
  <c r="H67" i="40"/>
  <c r="AD11" i="29"/>
  <c r="AK11" i="29"/>
  <c r="AH35" i="51"/>
  <c r="R37" i="95" s="1"/>
  <c r="R37" i="97" s="1"/>
  <c r="E64" i="40"/>
  <c r="F64" i="40" s="1"/>
  <c r="G64" i="40" s="1"/>
  <c r="M11" i="66"/>
  <c r="K22" i="87"/>
  <c r="L10" i="79"/>
  <c r="K13" i="87" s="1"/>
  <c r="D66" i="46"/>
  <c r="D92" i="46"/>
  <c r="M11" i="92"/>
  <c r="N11" i="92" s="1"/>
  <c r="M31" i="19"/>
  <c r="M12" i="91"/>
  <c r="M13" i="91" s="1"/>
  <c r="N21" i="61"/>
  <c r="N22" i="61" s="1"/>
  <c r="N21" i="92"/>
  <c r="N22" i="92" s="1"/>
  <c r="M31" i="67"/>
  <c r="N11" i="61" s="1"/>
  <c r="N11" i="76" s="1"/>
  <c r="M30" i="67"/>
  <c r="J23" i="66"/>
  <c r="P23" i="66"/>
  <c r="G9" i="34"/>
  <c r="M10" i="34" s="1"/>
  <c r="E9" i="34"/>
  <c r="K10" i="34" s="1"/>
  <c r="C12" i="1"/>
  <c r="B3" i="100" s="1"/>
  <c r="P13" i="1"/>
  <c r="C13" i="1" s="1"/>
  <c r="B3" i="52" s="1"/>
  <c r="H9" i="34"/>
  <c r="N10" i="34" s="1"/>
  <c r="F9" i="34"/>
  <c r="L10" i="34" s="1"/>
  <c r="M9" i="38"/>
  <c r="L14" i="38"/>
  <c r="J31" i="11" s="1"/>
  <c r="I48" i="51"/>
  <c r="L6" i="58"/>
  <c r="AD12" i="29"/>
  <c r="AK12" i="29"/>
  <c r="AH36" i="51"/>
  <c r="R38" i="95" s="1"/>
  <c r="R38" i="97" s="1"/>
  <c r="H13" i="62"/>
  <c r="J19" i="46"/>
  <c r="J62" i="37"/>
  <c r="J41" i="29"/>
  <c r="J27" i="29"/>
  <c r="J29" i="29" s="1"/>
  <c r="H15" i="11" s="1"/>
  <c r="P13" i="62"/>
  <c r="R19" i="46"/>
  <c r="R62" i="37"/>
  <c r="R41" i="29"/>
  <c r="R27" i="29"/>
  <c r="R29" i="29" s="1"/>
  <c r="AA20" i="29"/>
  <c r="N13" i="32"/>
  <c r="M20" i="32"/>
  <c r="M27" i="32"/>
  <c r="M34" i="32"/>
  <c r="M11" i="77" s="1"/>
  <c r="M17" i="77" s="1"/>
  <c r="I40" i="40"/>
  <c r="I41" i="40" s="1"/>
  <c r="I43" i="40" s="1"/>
  <c r="AD12" i="12" s="1"/>
  <c r="K12" i="65" s="1"/>
  <c r="J34" i="40"/>
  <c r="J36" i="40" s="1"/>
  <c r="L10" i="77"/>
  <c r="H15" i="87"/>
  <c r="O15" i="87" s="1"/>
  <c r="I44" i="79"/>
  <c r="N44" i="79" s="1"/>
  <c r="O8" i="53"/>
  <c r="H11" i="62"/>
  <c r="H16" i="62" s="1"/>
  <c r="J10" i="37"/>
  <c r="J24" i="51"/>
  <c r="J26" i="51" s="1"/>
  <c r="J42" i="26"/>
  <c r="J43" i="26" s="1"/>
  <c r="J44" i="26" s="1"/>
  <c r="J44" i="51" s="1"/>
  <c r="Q13" i="62"/>
  <c r="S19" i="46"/>
  <c r="S62" i="37"/>
  <c r="S41" i="29"/>
  <c r="S27" i="29"/>
  <c r="S29" i="29" s="1"/>
  <c r="Q15" i="11" s="1"/>
  <c r="AB12" i="12"/>
  <c r="AB14" i="12" s="1"/>
  <c r="AB28" i="12" s="1"/>
  <c r="G12" i="65"/>
  <c r="U17" i="100"/>
  <c r="K22" i="65"/>
  <c r="H22" i="12"/>
  <c r="AB21" i="29"/>
  <c r="B103" i="5"/>
  <c r="C102" i="5"/>
  <c r="B3" i="16"/>
  <c r="C11" i="83"/>
  <c r="G42" i="57"/>
  <c r="G24" i="57" s="1"/>
  <c r="L17" i="46"/>
  <c r="K43" i="46"/>
  <c r="X39" i="29"/>
  <c r="X23" i="29"/>
  <c r="AB37" i="51"/>
  <c r="Y23" i="29"/>
  <c r="AC37" i="51"/>
  <c r="Y39" i="29"/>
  <c r="K12" i="46"/>
  <c r="J35" i="46"/>
  <c r="J37" i="46"/>
  <c r="J34" i="46"/>
  <c r="J36" i="46"/>
  <c r="J38" i="46"/>
  <c r="J39" i="59"/>
  <c r="J41" i="59" s="1"/>
  <c r="I41" i="59"/>
  <c r="H32" i="59"/>
  <c r="H64" i="59"/>
  <c r="AD40" i="11"/>
  <c r="G66" i="59"/>
  <c r="AB22" i="29"/>
  <c r="I13" i="62"/>
  <c r="K19" i="46"/>
  <c r="K62" i="37"/>
  <c r="K41" i="29"/>
  <c r="K27" i="29"/>
  <c r="K29" i="29" s="1"/>
  <c r="I15" i="11" s="1"/>
  <c r="E57" i="40"/>
  <c r="F57" i="40" s="1"/>
  <c r="G57" i="40" s="1"/>
  <c r="H57" i="40" s="1"/>
  <c r="I57" i="40" s="1"/>
  <c r="J57" i="40" s="1"/>
  <c r="K57" i="40" s="1"/>
  <c r="L57" i="40" s="1"/>
  <c r="M57" i="40" s="1"/>
  <c r="N57" i="40" s="1"/>
  <c r="O57" i="40" s="1"/>
  <c r="K11" i="53"/>
  <c r="J41" i="53"/>
  <c r="G9" i="11"/>
  <c r="L6" i="53"/>
  <c r="M7" i="53"/>
  <c r="I46" i="40"/>
  <c r="AC21" i="29"/>
  <c r="AC37" i="29"/>
  <c r="X11" i="13"/>
  <c r="Y35" i="11"/>
  <c r="D35" i="46"/>
  <c r="D55" i="46"/>
  <c r="L75" i="5"/>
  <c r="S58" i="5"/>
  <c r="I16" i="87"/>
  <c r="I24" i="87"/>
  <c r="J24" i="19"/>
  <c r="P66" i="59"/>
  <c r="AC18" i="12"/>
  <c r="AL10" i="38"/>
  <c r="AE10" i="38" s="1"/>
  <c r="AD10" i="38"/>
  <c r="I20" i="57"/>
  <c r="I20" i="53"/>
  <c r="G47" i="40"/>
  <c r="G50" i="40" s="1"/>
  <c r="L33" i="11"/>
  <c r="K17" i="77"/>
  <c r="K12" i="26"/>
  <c r="K10" i="46" s="1"/>
  <c r="K51" i="46" s="1"/>
  <c r="K17" i="26"/>
  <c r="K50" i="46"/>
  <c r="J88" i="46"/>
  <c r="J62" i="46"/>
  <c r="E16" i="58"/>
  <c r="AC22" i="29"/>
  <c r="AC38" i="29"/>
  <c r="L13" i="62"/>
  <c r="N19" i="46"/>
  <c r="N62" i="37"/>
  <c r="N41" i="29"/>
  <c r="N27" i="29"/>
  <c r="AA36" i="29"/>
  <c r="O36" i="95"/>
  <c r="I31" i="51"/>
  <c r="I37" i="37"/>
  <c r="I43" i="37"/>
  <c r="I45" i="37"/>
  <c r="I40" i="37"/>
  <c r="I42" i="37"/>
  <c r="L12" i="51"/>
  <c r="K24" i="19"/>
  <c r="J24" i="87"/>
  <c r="J16" i="87"/>
  <c r="N12" i="32"/>
  <c r="M19" i="32"/>
  <c r="M26" i="32"/>
  <c r="M33" i="32"/>
  <c r="M10" i="77" s="1"/>
  <c r="L12" i="26"/>
  <c r="L10" i="46" s="1"/>
  <c r="L51" i="46" s="1"/>
  <c r="L17" i="26"/>
  <c r="H17" i="58"/>
  <c r="J18" i="58"/>
  <c r="K29" i="40"/>
  <c r="K31" i="40" s="1"/>
  <c r="J39" i="40"/>
  <c r="I42" i="53"/>
  <c r="I24" i="53" s="1"/>
  <c r="T31" i="11"/>
  <c r="J63" i="46"/>
  <c r="J89" i="46"/>
  <c r="J49" i="51" s="1"/>
  <c r="J46" i="53"/>
  <c r="M13" i="62"/>
  <c r="O19" i="46"/>
  <c r="O62" i="37"/>
  <c r="O41" i="29"/>
  <c r="O27" i="29"/>
  <c r="O29" i="29" s="1"/>
  <c r="K12" i="53"/>
  <c r="K16" i="87"/>
  <c r="L24" i="19"/>
  <c r="K24" i="87"/>
  <c r="J24" i="74"/>
  <c r="T139" i="5"/>
  <c r="U22" i="65"/>
  <c r="I22" i="65"/>
  <c r="J17" i="74"/>
  <c r="T134" i="5"/>
  <c r="L37" i="32" l="1"/>
  <c r="AH35" i="11"/>
  <c r="N35" i="63"/>
  <c r="M19" i="19"/>
  <c r="M20" i="19" s="1"/>
  <c r="AG11" i="13"/>
  <c r="L23" i="32"/>
  <c r="M11" i="26"/>
  <c r="R12" i="57"/>
  <c r="L11" i="78"/>
  <c r="L17" i="78" s="1"/>
  <c r="L41" i="28" s="1"/>
  <c r="I17" i="1"/>
  <c r="B16" i="1"/>
  <c r="A3" i="51" s="1"/>
  <c r="AI2" i="51" s="1"/>
  <c r="L48" i="53"/>
  <c r="N29" i="29"/>
  <c r="L15" i="11" s="1"/>
  <c r="K12" i="78"/>
  <c r="AF6" i="57"/>
  <c r="P40" i="29"/>
  <c r="P24" i="29"/>
  <c r="P25" i="29" s="1"/>
  <c r="P15" i="29"/>
  <c r="L13" i="51"/>
  <c r="M12" i="77"/>
  <c r="AD14" i="38"/>
  <c r="AF31" i="11" s="1"/>
  <c r="M31" i="63" s="1"/>
  <c r="AA23" i="29"/>
  <c r="W38" i="51"/>
  <c r="W39" i="51" s="1"/>
  <c r="I18" i="62"/>
  <c r="H18" i="62"/>
  <c r="L18" i="62"/>
  <c r="Q18" i="62"/>
  <c r="T62" i="37"/>
  <c r="T71" i="37" s="1"/>
  <c r="K12" i="28"/>
  <c r="K15" i="46" s="1"/>
  <c r="K42" i="46" s="1"/>
  <c r="J31" i="37"/>
  <c r="L29" i="29"/>
  <c r="J15" i="11" s="1"/>
  <c r="J18" i="62" s="1"/>
  <c r="AE14" i="38"/>
  <c r="AG31" i="11" s="1"/>
  <c r="AH31" i="11" s="1"/>
  <c r="AF12" i="57"/>
  <c r="Q40" i="29"/>
  <c r="Q24" i="29"/>
  <c r="Q25" i="29" s="1"/>
  <c r="Q15" i="29"/>
  <c r="I40" i="29"/>
  <c r="I24" i="29"/>
  <c r="AG14" i="29"/>
  <c r="AA14" i="29"/>
  <c r="I15" i="29"/>
  <c r="N14" i="32"/>
  <c r="M28" i="32"/>
  <c r="M35" i="32"/>
  <c r="M10" i="28" s="1"/>
  <c r="M21" i="32"/>
  <c r="M22" i="32"/>
  <c r="M36" i="32"/>
  <c r="M29" i="32"/>
  <c r="N15" i="32"/>
  <c r="T19" i="46"/>
  <c r="T27" i="46" s="1"/>
  <c r="T84" i="46" s="1"/>
  <c r="AA84" i="46" s="1"/>
  <c r="X38" i="51"/>
  <c r="X39" i="51" s="1"/>
  <c r="Q39" i="51"/>
  <c r="L10" i="28"/>
  <c r="J18" i="51"/>
  <c r="J20" i="51" s="1"/>
  <c r="J53" i="37"/>
  <c r="J50" i="37"/>
  <c r="J52" i="37" s="1"/>
  <c r="J55" i="37"/>
  <c r="J56" i="37"/>
  <c r="J58" i="37"/>
  <c r="Q46" i="57"/>
  <c r="Q51" i="57" s="1"/>
  <c r="M24" i="29"/>
  <c r="M25" i="29" s="1"/>
  <c r="M40" i="29"/>
  <c r="M15" i="29"/>
  <c r="I12" i="62"/>
  <c r="K36" i="37"/>
  <c r="K29" i="51"/>
  <c r="P65" i="1"/>
  <c r="C64" i="1"/>
  <c r="C44" i="83"/>
  <c r="B3" i="67"/>
  <c r="C43" i="85"/>
  <c r="M16" i="32"/>
  <c r="T27" i="29"/>
  <c r="T29" i="29" s="1"/>
  <c r="R15" i="11" s="1"/>
  <c r="R13" i="62"/>
  <c r="T7" i="57"/>
  <c r="S6" i="57"/>
  <c r="N7" i="11"/>
  <c r="J53" i="40"/>
  <c r="Y14" i="29"/>
  <c r="Y15" i="29" s="1"/>
  <c r="W14" i="29"/>
  <c r="W15" i="29" s="1"/>
  <c r="V14" i="29"/>
  <c r="AI14" i="29"/>
  <c r="X14" i="29"/>
  <c r="X15" i="29" s="1"/>
  <c r="AF38" i="51"/>
  <c r="P40" i="95" s="1"/>
  <c r="P40" i="97" s="1"/>
  <c r="S12" i="59"/>
  <c r="S30" i="59"/>
  <c r="S32" i="59" s="1"/>
  <c r="P33" i="57"/>
  <c r="P25" i="57"/>
  <c r="H12" i="62"/>
  <c r="J29" i="51"/>
  <c r="J36" i="37"/>
  <c r="J42" i="28"/>
  <c r="J43" i="28" s="1"/>
  <c r="J44" i="28" s="1"/>
  <c r="J45" i="51" s="1"/>
  <c r="T41" i="29"/>
  <c r="J28" i="37"/>
  <c r="J33" i="37" s="1"/>
  <c r="V38" i="51"/>
  <c r="V39" i="51" s="1"/>
  <c r="AE38" i="51"/>
  <c r="O40" i="95" s="1"/>
  <c r="O40" i="97" s="1"/>
  <c r="I39" i="51"/>
  <c r="I41" i="51" s="1"/>
  <c r="K49" i="37"/>
  <c r="K41" i="28"/>
  <c r="K42" i="28" s="1"/>
  <c r="K30" i="51"/>
  <c r="V36" i="111"/>
  <c r="W36" i="111" s="1"/>
  <c r="J15" i="46"/>
  <c r="S59" i="59"/>
  <c r="S61" i="59" s="1"/>
  <c r="S41" i="59"/>
  <c r="V16" i="51"/>
  <c r="V18" i="51" s="1"/>
  <c r="V20" i="51" s="1"/>
  <c r="K18" i="51"/>
  <c r="K20" i="51" s="1"/>
  <c r="L10" i="78"/>
  <c r="M15" i="11"/>
  <c r="K17" i="74"/>
  <c r="U134" i="5"/>
  <c r="L12" i="53"/>
  <c r="I31" i="53"/>
  <c r="K39" i="40"/>
  <c r="L29" i="40"/>
  <c r="L31" i="40" s="1"/>
  <c r="L39" i="40" s="1"/>
  <c r="H18" i="58"/>
  <c r="J19" i="58"/>
  <c r="L63" i="46"/>
  <c r="L89" i="46"/>
  <c r="L49" i="51" s="1"/>
  <c r="N27" i="46"/>
  <c r="N84" i="46" s="1"/>
  <c r="N103" i="46"/>
  <c r="N26" i="46"/>
  <c r="N83" i="46" s="1"/>
  <c r="N28" i="46"/>
  <c r="N85" i="46" s="1"/>
  <c r="E17" i="58"/>
  <c r="J48" i="51"/>
  <c r="I11" i="62"/>
  <c r="K10" i="37"/>
  <c r="K24" i="51"/>
  <c r="V24" i="51" s="1"/>
  <c r="K23" i="37"/>
  <c r="K41" i="26"/>
  <c r="K42" i="26" s="1"/>
  <c r="K43" i="26" s="1"/>
  <c r="K44" i="26" s="1"/>
  <c r="K44" i="51" s="1"/>
  <c r="V44" i="51" s="1"/>
  <c r="K25" i="51"/>
  <c r="V25" i="51" s="1"/>
  <c r="M33" i="11"/>
  <c r="J20" i="57"/>
  <c r="J20" i="53"/>
  <c r="H47" i="40"/>
  <c r="H50" i="40" s="1"/>
  <c r="AD18" i="12"/>
  <c r="Q66" i="59"/>
  <c r="D67" i="46"/>
  <c r="D93" i="46"/>
  <c r="Y11" i="13"/>
  <c r="Z35" i="11"/>
  <c r="M6" i="53"/>
  <c r="L46" i="53" s="1"/>
  <c r="N7" i="53"/>
  <c r="J46" i="40"/>
  <c r="K69" i="37"/>
  <c r="K71" i="37"/>
  <c r="K66" i="37"/>
  <c r="K67" i="37" s="1"/>
  <c r="K68" i="37"/>
  <c r="AE40" i="11"/>
  <c r="H66" i="59"/>
  <c r="I22" i="12"/>
  <c r="S69" i="37"/>
  <c r="S71" i="37"/>
  <c r="S66" i="37"/>
  <c r="S67" i="37" s="1"/>
  <c r="S68" i="37"/>
  <c r="J11" i="46"/>
  <c r="J14" i="37"/>
  <c r="J16" i="37"/>
  <c r="J11" i="37"/>
  <c r="J13" i="37" s="1"/>
  <c r="J17" i="37"/>
  <c r="J19" i="37"/>
  <c r="P8" i="53"/>
  <c r="L12" i="77"/>
  <c r="K34" i="40"/>
  <c r="K36" i="40" s="1"/>
  <c r="J40" i="40"/>
  <c r="J41" i="40" s="1"/>
  <c r="J43" i="40" s="1"/>
  <c r="AE12" i="12" s="1"/>
  <c r="L12" i="65" s="1"/>
  <c r="M12" i="51"/>
  <c r="P15" i="11"/>
  <c r="J66" i="37"/>
  <c r="J67" i="37" s="1"/>
  <c r="J68" i="37"/>
  <c r="J69" i="37"/>
  <c r="J71" i="37"/>
  <c r="AI36" i="51"/>
  <c r="S38" i="95" s="1"/>
  <c r="S38" i="97" s="1"/>
  <c r="AE12" i="29"/>
  <c r="P11" i="58"/>
  <c r="P12" i="58"/>
  <c r="P13" i="58"/>
  <c r="N9" i="38"/>
  <c r="M14" i="38"/>
  <c r="K31" i="11" s="1"/>
  <c r="AD21" i="29"/>
  <c r="AD37" i="29"/>
  <c r="M16" i="58"/>
  <c r="R16" i="58" s="1"/>
  <c r="P16" i="58" s="1"/>
  <c r="K15" i="58" s="1"/>
  <c r="O17" i="58"/>
  <c r="T16" i="58"/>
  <c r="P15" i="58"/>
  <c r="J42" i="53"/>
  <c r="J24" i="53" s="1"/>
  <c r="W40" i="11"/>
  <c r="T40" i="11"/>
  <c r="I31" i="37"/>
  <c r="AB34" i="51"/>
  <c r="X20" i="29"/>
  <c r="X36" i="29"/>
  <c r="AG34" i="51"/>
  <c r="AC10" i="29"/>
  <c r="AJ10" i="29"/>
  <c r="W20" i="29"/>
  <c r="W36" i="29"/>
  <c r="AA34" i="51"/>
  <c r="L27" i="46"/>
  <c r="L84" i="46" s="1"/>
  <c r="L103" i="46"/>
  <c r="L26" i="46"/>
  <c r="L83" i="46" s="1"/>
  <c r="L28" i="46"/>
  <c r="L85" i="46" s="1"/>
  <c r="AD13" i="29"/>
  <c r="AK13" i="29"/>
  <c r="AH37" i="51"/>
  <c r="R39" i="95" s="1"/>
  <c r="R39" i="97" s="1"/>
  <c r="I52" i="37"/>
  <c r="I102" i="46"/>
  <c r="B17" i="58"/>
  <c r="D18" i="58"/>
  <c r="I18" i="37"/>
  <c r="I13" i="37"/>
  <c r="C31" i="83"/>
  <c r="C30" i="85"/>
  <c r="B3" i="29"/>
  <c r="U33" i="11"/>
  <c r="K24" i="74"/>
  <c r="U139" i="5"/>
  <c r="O26" i="46"/>
  <c r="O83" i="46" s="1"/>
  <c r="O28" i="46"/>
  <c r="O85" i="46" s="1"/>
  <c r="O27" i="46"/>
  <c r="O84" i="46" s="1"/>
  <c r="O103" i="46"/>
  <c r="V22" i="65"/>
  <c r="O69" i="37"/>
  <c r="O71" i="37"/>
  <c r="O66" i="37"/>
  <c r="O67" i="37" s="1"/>
  <c r="O68" i="37"/>
  <c r="M18" i="62"/>
  <c r="J11" i="62"/>
  <c r="L10" i="37"/>
  <c r="L24" i="51"/>
  <c r="L42" i="26"/>
  <c r="L43" i="26" s="1"/>
  <c r="L44" i="26" s="1"/>
  <c r="L44" i="51" s="1"/>
  <c r="M11" i="51"/>
  <c r="N26" i="32"/>
  <c r="N33" i="32"/>
  <c r="O12" i="32"/>
  <c r="N19" i="32"/>
  <c r="M23" i="37"/>
  <c r="M41" i="26"/>
  <c r="M25" i="51"/>
  <c r="I44" i="37"/>
  <c r="I39" i="37"/>
  <c r="O36" i="97"/>
  <c r="N66" i="37"/>
  <c r="N67" i="37" s="1"/>
  <c r="N68" i="37"/>
  <c r="N69" i="37"/>
  <c r="N71" i="37"/>
  <c r="K62" i="46"/>
  <c r="L50" i="46"/>
  <c r="K88" i="46"/>
  <c r="K89" i="46"/>
  <c r="K49" i="51" s="1"/>
  <c r="V49" i="51" s="1"/>
  <c r="K63" i="46"/>
  <c r="R18" i="12"/>
  <c r="W18" i="12"/>
  <c r="J18" i="65"/>
  <c r="R18" i="65"/>
  <c r="AN18" i="12"/>
  <c r="AO18" i="12" s="1"/>
  <c r="G18" i="12" s="1"/>
  <c r="F10" i="84"/>
  <c r="F10" i="15"/>
  <c r="S157" i="5"/>
  <c r="D36" i="46"/>
  <c r="D56" i="46"/>
  <c r="L76" i="5"/>
  <c r="D28" i="46"/>
  <c r="D43" i="46"/>
  <c r="I49" i="40"/>
  <c r="I67" i="40"/>
  <c r="L11" i="53"/>
  <c r="K41" i="53"/>
  <c r="K42" i="53" s="1"/>
  <c r="K24" i="53" s="1"/>
  <c r="P57" i="40"/>
  <c r="K26" i="46"/>
  <c r="K83" i="46" s="1"/>
  <c r="K28" i="46"/>
  <c r="K85" i="46" s="1"/>
  <c r="K27" i="46"/>
  <c r="K84" i="46" s="1"/>
  <c r="K103" i="46"/>
  <c r="T28" i="46"/>
  <c r="T85" i="46" s="1"/>
  <c r="AA85" i="46" s="1"/>
  <c r="Y40" i="11"/>
  <c r="AA40" i="11"/>
  <c r="K40" i="63"/>
  <c r="Z40" i="11"/>
  <c r="X40" i="11"/>
  <c r="L12" i="46"/>
  <c r="K34" i="46"/>
  <c r="K36" i="46"/>
  <c r="K38" i="46"/>
  <c r="K35" i="46"/>
  <c r="K37" i="46"/>
  <c r="M17" i="46"/>
  <c r="L43" i="46"/>
  <c r="H31" i="57"/>
  <c r="B104" i="5"/>
  <c r="C103" i="5"/>
  <c r="L22" i="65"/>
  <c r="S26" i="46"/>
  <c r="S83" i="46" s="1"/>
  <c r="S28" i="46"/>
  <c r="S85" i="46" s="1"/>
  <c r="S27" i="46"/>
  <c r="S84" i="46" s="1"/>
  <c r="S103" i="46"/>
  <c r="M10" i="26"/>
  <c r="N27" i="32"/>
  <c r="N34" i="32"/>
  <c r="N11" i="77" s="1"/>
  <c r="O13" i="32"/>
  <c r="N20" i="32"/>
  <c r="R66" i="37"/>
  <c r="R67" i="37" s="1"/>
  <c r="R68" i="37"/>
  <c r="R69" i="37"/>
  <c r="R71" i="37"/>
  <c r="R27" i="46"/>
  <c r="R84" i="46" s="1"/>
  <c r="R103" i="46"/>
  <c r="R26" i="46"/>
  <c r="R83" i="46" s="1"/>
  <c r="R28" i="46"/>
  <c r="R85" i="46" s="1"/>
  <c r="J27" i="46"/>
  <c r="J84" i="46" s="1"/>
  <c r="J103" i="46"/>
  <c r="J26" i="46"/>
  <c r="J83" i="46" s="1"/>
  <c r="J28" i="46"/>
  <c r="J85" i="46" s="1"/>
  <c r="AD22" i="29"/>
  <c r="AD38" i="29"/>
  <c r="K27" i="34"/>
  <c r="F14" i="34"/>
  <c r="L11" i="34"/>
  <c r="L12" i="34"/>
  <c r="K42" i="34"/>
  <c r="H14" i="34"/>
  <c r="N11" i="34"/>
  <c r="N12" i="34"/>
  <c r="E14" i="34"/>
  <c r="E20" i="34" s="1"/>
  <c r="E27" i="34"/>
  <c r="K12" i="34"/>
  <c r="K11" i="34"/>
  <c r="G14" i="34"/>
  <c r="G20" i="34" s="1"/>
  <c r="E42" i="34"/>
  <c r="M12" i="34"/>
  <c r="M11" i="34"/>
  <c r="I24" i="19"/>
  <c r="H24" i="87"/>
  <c r="H16" i="87"/>
  <c r="L13" i="91"/>
  <c r="N31" i="19"/>
  <c r="P64" i="40"/>
  <c r="AE11" i="29"/>
  <c r="AI35" i="51"/>
  <c r="S37" i="95" s="1"/>
  <c r="S37" i="97" s="1"/>
  <c r="K46" i="53"/>
  <c r="U40" i="11"/>
  <c r="V40" i="11"/>
  <c r="I26" i="37"/>
  <c r="H11" i="13"/>
  <c r="I35" i="11"/>
  <c r="L24" i="37"/>
  <c r="L26" i="37" s="1"/>
  <c r="L30" i="37"/>
  <c r="L32" i="37"/>
  <c r="L27" i="37"/>
  <c r="L29" i="37"/>
  <c r="I47" i="46"/>
  <c r="P36" i="95"/>
  <c r="AF39" i="51"/>
  <c r="AB10" i="29"/>
  <c r="Z34" i="51"/>
  <c r="V20" i="29"/>
  <c r="V36" i="29"/>
  <c r="Y20" i="29"/>
  <c r="Y36" i="29"/>
  <c r="AC34" i="51"/>
  <c r="L66" i="37"/>
  <c r="L67" i="37" s="1"/>
  <c r="L68" i="37"/>
  <c r="L69" i="37"/>
  <c r="L71" i="37"/>
  <c r="I64" i="59"/>
  <c r="I32" i="59"/>
  <c r="J12" i="59"/>
  <c r="J30" i="59"/>
  <c r="AC23" i="29"/>
  <c r="AC39" i="29"/>
  <c r="AB23" i="29"/>
  <c r="I57" i="37"/>
  <c r="I11" i="46"/>
  <c r="I41" i="57"/>
  <c r="I42" i="57" s="1"/>
  <c r="I24" i="57" s="1"/>
  <c r="J11" i="57"/>
  <c r="C51" i="1"/>
  <c r="P52" i="1"/>
  <c r="P14" i="58"/>
  <c r="L49" i="37" l="1"/>
  <c r="L58" i="37" s="1"/>
  <c r="N11" i="66"/>
  <c r="M10" i="79"/>
  <c r="L13" i="87" s="1"/>
  <c r="L22" i="87"/>
  <c r="X18" i="12"/>
  <c r="O41" i="95"/>
  <c r="T12" i="62"/>
  <c r="L30" i="51"/>
  <c r="L16" i="46" s="1"/>
  <c r="L102" i="46" s="1"/>
  <c r="L12" i="78"/>
  <c r="K44" i="46"/>
  <c r="M23" i="32"/>
  <c r="M37" i="32"/>
  <c r="T69" i="37"/>
  <c r="N31" i="63"/>
  <c r="B17" i="1"/>
  <c r="A3" i="35" s="1"/>
  <c r="P2" i="35" s="1"/>
  <c r="I20" i="1"/>
  <c r="N16" i="32"/>
  <c r="P19" i="46"/>
  <c r="P41" i="29"/>
  <c r="N13" i="62"/>
  <c r="N18" i="62" s="1"/>
  <c r="P62" i="37"/>
  <c r="P27" i="29"/>
  <c r="P29" i="29" s="1"/>
  <c r="N15" i="11" s="1"/>
  <c r="K46" i="46"/>
  <c r="K43" i="28"/>
  <c r="K44" i="28" s="1"/>
  <c r="K45" i="51" s="1"/>
  <c r="V45" i="51" s="1"/>
  <c r="K31" i="51"/>
  <c r="K45" i="46"/>
  <c r="M30" i="32"/>
  <c r="AW29" i="29"/>
  <c r="AE39" i="51"/>
  <c r="O41" i="97"/>
  <c r="W15" i="11"/>
  <c r="R18" i="62"/>
  <c r="T68" i="37"/>
  <c r="T70" i="37" s="1"/>
  <c r="P18" i="62"/>
  <c r="T66" i="37"/>
  <c r="T67" i="37" s="1"/>
  <c r="K70" i="37"/>
  <c r="K72" i="37" s="1"/>
  <c r="R70" i="37"/>
  <c r="R72" i="37" s="1"/>
  <c r="J57" i="37"/>
  <c r="L49" i="53"/>
  <c r="L10" i="53" s="1"/>
  <c r="L14" i="53" s="1"/>
  <c r="L30" i="53" s="1"/>
  <c r="V26" i="51"/>
  <c r="M13" i="51"/>
  <c r="T9" i="11"/>
  <c r="T9" i="62"/>
  <c r="I9" i="62"/>
  <c r="I9" i="11"/>
  <c r="M41" i="29"/>
  <c r="AU15" i="29"/>
  <c r="K13" i="62"/>
  <c r="M27" i="29"/>
  <c r="M29" i="29" s="1"/>
  <c r="M19" i="46"/>
  <c r="M62" i="37"/>
  <c r="Q62" i="37"/>
  <c r="Q41" i="29"/>
  <c r="Q19" i="46"/>
  <c r="O13" i="62"/>
  <c r="Q27" i="29"/>
  <c r="Q29" i="29" s="1"/>
  <c r="AV15" i="29"/>
  <c r="T26" i="46"/>
  <c r="T83" i="46" s="1"/>
  <c r="AA83" i="46" s="1"/>
  <c r="W13" i="62"/>
  <c r="J46" i="46"/>
  <c r="J42" i="46"/>
  <c r="J45" i="46"/>
  <c r="J44" i="46"/>
  <c r="K55" i="37"/>
  <c r="K56" i="37"/>
  <c r="K53" i="37"/>
  <c r="K50" i="37"/>
  <c r="K52" i="37" s="1"/>
  <c r="K58" i="37"/>
  <c r="R46" i="57"/>
  <c r="R51" i="57" s="1"/>
  <c r="AA38" i="51"/>
  <c r="AA39" i="51" s="1"/>
  <c r="W24" i="29"/>
  <c r="W25" i="29" s="1"/>
  <c r="W40" i="29"/>
  <c r="T6" i="57"/>
  <c r="U7" i="57"/>
  <c r="H9" i="11"/>
  <c r="H9" i="62"/>
  <c r="M11" i="28"/>
  <c r="M17" i="51" s="1"/>
  <c r="M11" i="78"/>
  <c r="M17" i="78" s="1"/>
  <c r="M30" i="51" s="1"/>
  <c r="V40" i="29"/>
  <c r="Z38" i="51"/>
  <c r="Z39" i="51" s="1"/>
  <c r="AB14" i="29"/>
  <c r="AB40" i="29" s="1"/>
  <c r="V24" i="29"/>
  <c r="V25" i="29" s="1"/>
  <c r="L56" i="37"/>
  <c r="L55" i="37"/>
  <c r="L53" i="37"/>
  <c r="M17" i="28"/>
  <c r="M16" i="51"/>
  <c r="AA40" i="29"/>
  <c r="AA15" i="29"/>
  <c r="V15" i="29"/>
  <c r="V41" i="29" s="1"/>
  <c r="T103" i="46"/>
  <c r="J15" i="37"/>
  <c r="J37" i="37"/>
  <c r="J39" i="37" s="1"/>
  <c r="J43" i="37"/>
  <c r="J40" i="37"/>
  <c r="J45" i="37"/>
  <c r="J77" i="37" s="1"/>
  <c r="H25" i="11" s="1"/>
  <c r="J42" i="37"/>
  <c r="X40" i="29"/>
  <c r="X24" i="29"/>
  <c r="X25" i="29" s="1"/>
  <c r="AB38" i="51"/>
  <c r="AB39" i="51" s="1"/>
  <c r="Y40" i="29"/>
  <c r="AC38" i="51"/>
  <c r="Y24" i="29"/>
  <c r="Y25" i="29" s="1"/>
  <c r="C44" i="85"/>
  <c r="C45" i="83"/>
  <c r="B3" i="19"/>
  <c r="K45" i="37"/>
  <c r="K40" i="37"/>
  <c r="K37" i="37"/>
  <c r="K39" i="37" s="1"/>
  <c r="K42" i="37"/>
  <c r="K43" i="37"/>
  <c r="L12" i="28"/>
  <c r="L15" i="46" s="1"/>
  <c r="L16" i="51"/>
  <c r="L18" i="51" s="1"/>
  <c r="L20" i="51" s="1"/>
  <c r="L17" i="28"/>
  <c r="N28" i="32"/>
  <c r="N35" i="32"/>
  <c r="O14" i="32"/>
  <c r="O16" i="32" s="1"/>
  <c r="N21" i="32"/>
  <c r="AA24" i="29"/>
  <c r="AA25" i="29" s="1"/>
  <c r="I25" i="29"/>
  <c r="AC39" i="51"/>
  <c r="K16" i="46"/>
  <c r="K102" i="46" s="1"/>
  <c r="V30" i="51"/>
  <c r="J31" i="51"/>
  <c r="J41" i="51" s="1"/>
  <c r="H10" i="62" s="1"/>
  <c r="V29" i="51"/>
  <c r="AJ14" i="29"/>
  <c r="AG38" i="51"/>
  <c r="Q40" i="95" s="1"/>
  <c r="Q40" i="97" s="1"/>
  <c r="AC14" i="29"/>
  <c r="AC15" i="29" s="1"/>
  <c r="O7" i="11"/>
  <c r="K53" i="40"/>
  <c r="P66" i="1"/>
  <c r="C65" i="1"/>
  <c r="Q25" i="57"/>
  <c r="Q33" i="57"/>
  <c r="J54" i="37"/>
  <c r="J59" i="37" s="1"/>
  <c r="M10" i="78"/>
  <c r="N36" i="32"/>
  <c r="O15" i="32"/>
  <c r="N29" i="32"/>
  <c r="N22" i="32"/>
  <c r="I19" i="46"/>
  <c r="I27" i="29"/>
  <c r="I62" i="37"/>
  <c r="AT15" i="29"/>
  <c r="I41" i="29"/>
  <c r="G13" i="62"/>
  <c r="S12" i="57"/>
  <c r="T12" i="57" s="1"/>
  <c r="I31" i="57"/>
  <c r="N17" i="77"/>
  <c r="K31" i="53"/>
  <c r="C52" i="1"/>
  <c r="P53" i="1"/>
  <c r="K11" i="57"/>
  <c r="J41" i="57"/>
  <c r="J42" i="57" s="1"/>
  <c r="J24" i="57" s="1"/>
  <c r="G10" i="62"/>
  <c r="G10" i="11"/>
  <c r="AF40" i="11"/>
  <c r="I66" i="59"/>
  <c r="AA13" i="62"/>
  <c r="Y19" i="46"/>
  <c r="Y62" i="37"/>
  <c r="Y41" i="29"/>
  <c r="Y27" i="29"/>
  <c r="AB20" i="29"/>
  <c r="I11" i="13"/>
  <c r="J35" i="11"/>
  <c r="I28" i="37"/>
  <c r="I33" i="37" s="1"/>
  <c r="AE21" i="29"/>
  <c r="AE37" i="29"/>
  <c r="M17" i="34"/>
  <c r="E48" i="34" s="1"/>
  <c r="E45" i="35" s="1"/>
  <c r="AH24" i="28" s="1"/>
  <c r="G24" i="28" s="1"/>
  <c r="M18" i="34"/>
  <c r="E49" i="34" s="1"/>
  <c r="E46" i="35" s="1"/>
  <c r="AH25" i="28" s="1"/>
  <c r="G25" i="28" s="1"/>
  <c r="M16" i="34"/>
  <c r="E47" i="34" s="1"/>
  <c r="E44" i="35" s="1"/>
  <c r="AH23" i="28" s="1"/>
  <c r="G23" i="28" s="1"/>
  <c r="M15" i="34"/>
  <c r="E46" i="34" s="1"/>
  <c r="E43" i="35" s="1"/>
  <c r="AH22" i="28" s="1"/>
  <c r="G22" i="28" s="1"/>
  <c r="Q27" i="34"/>
  <c r="E29" i="34"/>
  <c r="E27" i="35" s="1"/>
  <c r="AH20" i="26" s="1"/>
  <c r="G20" i="26" s="1"/>
  <c r="F27" i="34"/>
  <c r="G27" i="34" s="1"/>
  <c r="H27" i="34" s="1"/>
  <c r="I27" i="34" s="1"/>
  <c r="E28" i="34"/>
  <c r="E30" i="34"/>
  <c r="E28" i="35" s="1"/>
  <c r="AH21" i="26" s="1"/>
  <c r="G21" i="26" s="1"/>
  <c r="N18" i="34"/>
  <c r="K49" i="34" s="1"/>
  <c r="K46" i="35" s="1"/>
  <c r="AH25" i="78" s="1"/>
  <c r="G25" i="78" s="1"/>
  <c r="N17" i="34"/>
  <c r="K48" i="34" s="1"/>
  <c r="K45" i="35" s="1"/>
  <c r="AH24" i="78" s="1"/>
  <c r="G24" i="78" s="1"/>
  <c r="N15" i="34"/>
  <c r="K46" i="34" s="1"/>
  <c r="K43" i="35" s="1"/>
  <c r="AH22" i="78" s="1"/>
  <c r="G22" i="78" s="1"/>
  <c r="N16" i="34"/>
  <c r="H20" i="34"/>
  <c r="W27" i="34"/>
  <c r="K28" i="34"/>
  <c r="K30" i="34"/>
  <c r="K28" i="35" s="1"/>
  <c r="AH21" i="77" s="1"/>
  <c r="G21" i="77" s="1"/>
  <c r="L27" i="34"/>
  <c r="M27" i="34" s="1"/>
  <c r="N27" i="34" s="1"/>
  <c r="O27" i="34" s="1"/>
  <c r="K29" i="34"/>
  <c r="K27" i="35" s="1"/>
  <c r="AH20" i="77" s="1"/>
  <c r="G20" i="77" s="1"/>
  <c r="P13" i="32"/>
  <c r="O20" i="32"/>
  <c r="O27" i="32"/>
  <c r="O34" i="32"/>
  <c r="O11" i="26" s="1"/>
  <c r="M12" i="26"/>
  <c r="M10" i="46" s="1"/>
  <c r="M51" i="46" s="1"/>
  <c r="M17" i="26"/>
  <c r="M22" i="65"/>
  <c r="B105" i="5"/>
  <c r="C104" i="5"/>
  <c r="N17" i="46"/>
  <c r="M43" i="46"/>
  <c r="M12" i="46"/>
  <c r="L35" i="46"/>
  <c r="L37" i="46"/>
  <c r="L34" i="46"/>
  <c r="L36" i="46"/>
  <c r="L38" i="46"/>
  <c r="L41" i="53"/>
  <c r="L42" i="53" s="1"/>
  <c r="L24" i="53" s="1"/>
  <c r="M11" i="53"/>
  <c r="D57" i="46"/>
  <c r="D37" i="46"/>
  <c r="L77" i="5"/>
  <c r="D44" i="46"/>
  <c r="G23" i="13"/>
  <c r="H18" i="12"/>
  <c r="G41" i="84"/>
  <c r="G39" i="15"/>
  <c r="K48" i="51"/>
  <c r="I41" i="37"/>
  <c r="I46" i="37" s="1"/>
  <c r="M27" i="37"/>
  <c r="M29" i="37"/>
  <c r="M24" i="37"/>
  <c r="M26" i="37" s="1"/>
  <c r="M30" i="37"/>
  <c r="M32" i="37"/>
  <c r="N11" i="51"/>
  <c r="N10" i="77"/>
  <c r="J16" i="62"/>
  <c r="L24" i="74"/>
  <c r="V139" i="5"/>
  <c r="I15" i="37"/>
  <c r="I54" i="37"/>
  <c r="I59" i="37" s="1"/>
  <c r="AD23" i="29"/>
  <c r="AD39" i="29"/>
  <c r="Y13" i="62"/>
  <c r="W19" i="46"/>
  <c r="W62" i="37"/>
  <c r="W41" i="29"/>
  <c r="W27" i="29"/>
  <c r="AC20" i="29"/>
  <c r="AC36" i="29"/>
  <c r="K14" i="58"/>
  <c r="K49" i="53"/>
  <c r="K10" i="53" s="1"/>
  <c r="K14" i="53" s="1"/>
  <c r="K30" i="53" s="1"/>
  <c r="F15" i="58"/>
  <c r="J49" i="57"/>
  <c r="J10" i="57" s="1"/>
  <c r="J14" i="57" s="1"/>
  <c r="J30" i="57" s="1"/>
  <c r="M17" i="58"/>
  <c r="R17" i="58" s="1"/>
  <c r="P17" i="58" s="1"/>
  <c r="O18" i="58"/>
  <c r="M48" i="57" s="1"/>
  <c r="T17" i="58"/>
  <c r="M48" i="53"/>
  <c r="F13" i="58"/>
  <c r="K12" i="58"/>
  <c r="I49" i="53"/>
  <c r="I10" i="53" s="1"/>
  <c r="I14" i="53" s="1"/>
  <c r="I30" i="53" s="1"/>
  <c r="I34" i="53" s="1"/>
  <c r="I37" i="53" s="1"/>
  <c r="H49" i="57"/>
  <c r="H10" i="57" s="1"/>
  <c r="H14" i="57" s="1"/>
  <c r="H30" i="57" s="1"/>
  <c r="H34" i="57" s="1"/>
  <c r="H37" i="57" s="1"/>
  <c r="F11" i="58"/>
  <c r="G49" i="53"/>
  <c r="G10" i="53" s="1"/>
  <c r="Q8" i="53"/>
  <c r="J33" i="46"/>
  <c r="J101" i="46"/>
  <c r="J23" i="46"/>
  <c r="J22" i="12"/>
  <c r="T22" i="12"/>
  <c r="J49" i="40"/>
  <c r="J67" i="40"/>
  <c r="AE18" i="12"/>
  <c r="L18" i="65" s="1"/>
  <c r="R66" i="59"/>
  <c r="K27" i="37"/>
  <c r="K29" i="37"/>
  <c r="K24" i="37"/>
  <c r="K30" i="37"/>
  <c r="K32" i="37"/>
  <c r="K26" i="51"/>
  <c r="I16" i="62"/>
  <c r="T11" i="62"/>
  <c r="F16" i="58"/>
  <c r="K49" i="57"/>
  <c r="K10" i="57" s="1"/>
  <c r="M12" i="53"/>
  <c r="J49" i="53"/>
  <c r="J10" i="53" s="1"/>
  <c r="J14" i="53" s="1"/>
  <c r="J30" i="53" s="1"/>
  <c r="K13" i="58"/>
  <c r="F14" i="58"/>
  <c r="I49" i="57"/>
  <c r="I10" i="57" s="1"/>
  <c r="I14" i="57" s="1"/>
  <c r="I30" i="57" s="1"/>
  <c r="C31" i="85"/>
  <c r="C32" i="83"/>
  <c r="B3" i="34"/>
  <c r="I23" i="46"/>
  <c r="I33" i="46"/>
  <c r="I101" i="46"/>
  <c r="J32" i="59"/>
  <c r="J64" i="59"/>
  <c r="L70" i="37"/>
  <c r="L72" i="37" s="1"/>
  <c r="AB36" i="29"/>
  <c r="P36" i="97"/>
  <c r="P41" i="97" s="1"/>
  <c r="P41" i="95"/>
  <c r="L31" i="37"/>
  <c r="L28" i="37"/>
  <c r="T35" i="11"/>
  <c r="Q42" i="34"/>
  <c r="E44" i="34"/>
  <c r="E41" i="35" s="1"/>
  <c r="AH20" i="28" s="1"/>
  <c r="G20" i="28" s="1"/>
  <c r="F42" i="34"/>
  <c r="G42" i="34" s="1"/>
  <c r="H42" i="34" s="1"/>
  <c r="E43" i="34"/>
  <c r="E45" i="34"/>
  <c r="E42" i="35" s="1"/>
  <c r="AH21" i="28" s="1"/>
  <c r="G21" i="28" s="1"/>
  <c r="K17" i="34"/>
  <c r="E33" i="34" s="1"/>
  <c r="E31" i="35" s="1"/>
  <c r="AH24" i="26" s="1"/>
  <c r="G24" i="26" s="1"/>
  <c r="K16" i="34"/>
  <c r="E32" i="34" s="1"/>
  <c r="E30" i="35" s="1"/>
  <c r="AH23" i="26" s="1"/>
  <c r="G23" i="26" s="1"/>
  <c r="K15" i="34"/>
  <c r="E31" i="34" s="1"/>
  <c r="E29" i="35" s="1"/>
  <c r="AH22" i="26" s="1"/>
  <c r="G22" i="26" s="1"/>
  <c r="K18" i="34"/>
  <c r="E34" i="34" s="1"/>
  <c r="E32" i="35" s="1"/>
  <c r="AH25" i="26" s="1"/>
  <c r="G25" i="26" s="1"/>
  <c r="W42" i="34"/>
  <c r="K43" i="34"/>
  <c r="K45" i="34"/>
  <c r="K42" i="35" s="1"/>
  <c r="AH21" i="78" s="1"/>
  <c r="G21" i="78" s="1"/>
  <c r="K47" i="34"/>
  <c r="K44" i="35" s="1"/>
  <c r="AH23" i="78" s="1"/>
  <c r="G23" i="78" s="1"/>
  <c r="L42" i="34"/>
  <c r="M42" i="34" s="1"/>
  <c r="K44" i="34"/>
  <c r="K41" i="35" s="1"/>
  <c r="AH20" i="78" s="1"/>
  <c r="G20" i="78" s="1"/>
  <c r="L17" i="34"/>
  <c r="K33" i="34" s="1"/>
  <c r="K31" i="35" s="1"/>
  <c r="AH24" i="77" s="1"/>
  <c r="G24" i="77" s="1"/>
  <c r="L16" i="34"/>
  <c r="K32" i="34" s="1"/>
  <c r="K30" i="35" s="1"/>
  <c r="AH23" i="77" s="1"/>
  <c r="G23" i="77" s="1"/>
  <c r="L15" i="34"/>
  <c r="K31" i="34" s="1"/>
  <c r="K29" i="35" s="1"/>
  <c r="AH22" i="77" s="1"/>
  <c r="G22" i="77" s="1"/>
  <c r="L18" i="34"/>
  <c r="K34" i="34" s="1"/>
  <c r="K32" i="35" s="1"/>
  <c r="AH25" i="77" s="1"/>
  <c r="G25" i="77" s="1"/>
  <c r="F20" i="34"/>
  <c r="N12" i="51"/>
  <c r="W12" i="51" s="1"/>
  <c r="D68" i="46"/>
  <c r="D94" i="46"/>
  <c r="Y18" i="12"/>
  <c r="X23" i="13"/>
  <c r="M50" i="46"/>
  <c r="L88" i="46"/>
  <c r="L62" i="46"/>
  <c r="N70" i="37"/>
  <c r="N72" i="37" s="1"/>
  <c r="P12" i="32"/>
  <c r="O19" i="32"/>
  <c r="O26" i="32"/>
  <c r="O33" i="32"/>
  <c r="O10" i="77" s="1"/>
  <c r="N10" i="26"/>
  <c r="L26" i="51"/>
  <c r="L14" i="37"/>
  <c r="L16" i="37"/>
  <c r="L11" i="37"/>
  <c r="L13" i="37" s="1"/>
  <c r="L17" i="37"/>
  <c r="L19" i="37"/>
  <c r="O70" i="37"/>
  <c r="O72" i="37" s="1"/>
  <c r="B18" i="58"/>
  <c r="D19" i="58"/>
  <c r="AE13" i="29"/>
  <c r="AI37" i="51"/>
  <c r="S39" i="95" s="1"/>
  <c r="S39" i="97" s="1"/>
  <c r="AD10" i="29"/>
  <c r="AK10" i="29"/>
  <c r="AH34" i="51"/>
  <c r="Q36" i="95"/>
  <c r="Z13" i="62"/>
  <c r="X19" i="46"/>
  <c r="X41" i="29"/>
  <c r="X62" i="37"/>
  <c r="X27" i="29"/>
  <c r="J31" i="53"/>
  <c r="L48" i="57"/>
  <c r="N14" i="38"/>
  <c r="L31" i="11" s="1"/>
  <c r="O9" i="38"/>
  <c r="K11" i="58"/>
  <c r="F12" i="58"/>
  <c r="H49" i="53"/>
  <c r="H10" i="53" s="1"/>
  <c r="H14" i="53" s="1"/>
  <c r="H30" i="53" s="1"/>
  <c r="H34" i="53" s="1"/>
  <c r="H37" i="53" s="1"/>
  <c r="G49" i="57"/>
  <c r="G10" i="57" s="1"/>
  <c r="AE22" i="29"/>
  <c r="AE38" i="29"/>
  <c r="J70" i="37"/>
  <c r="J72" i="37" s="1"/>
  <c r="N11" i="26"/>
  <c r="K40" i="40"/>
  <c r="K41" i="40" s="1"/>
  <c r="K43" i="40" s="1"/>
  <c r="AF12" i="12" s="1"/>
  <c r="M12" i="65" s="1"/>
  <c r="L34" i="40"/>
  <c r="L36" i="40" s="1"/>
  <c r="L40" i="40" s="1"/>
  <c r="L41" i="40" s="1"/>
  <c r="L43" i="40" s="1"/>
  <c r="AG12" i="12" s="1"/>
  <c r="N12" i="65" s="1"/>
  <c r="J18" i="37"/>
  <c r="S70" i="37"/>
  <c r="S72" i="37" s="1"/>
  <c r="L40" i="63"/>
  <c r="N6" i="53"/>
  <c r="O7" i="53"/>
  <c r="K46" i="40"/>
  <c r="Z11" i="13"/>
  <c r="AA35" i="11"/>
  <c r="AA18" i="12"/>
  <c r="K18" i="65"/>
  <c r="K20" i="57"/>
  <c r="K20" i="53"/>
  <c r="I47" i="40"/>
  <c r="I50" i="40" s="1"/>
  <c r="N33" i="11"/>
  <c r="K11" i="37"/>
  <c r="K17" i="37"/>
  <c r="K19" i="37"/>
  <c r="K14" i="37"/>
  <c r="K16" i="37"/>
  <c r="E18" i="58"/>
  <c r="H19" i="58"/>
  <c r="J20" i="58"/>
  <c r="L17" i="74"/>
  <c r="V134" i="5"/>
  <c r="L50" i="37" l="1"/>
  <c r="L52" i="37" s="1"/>
  <c r="L54" i="37" s="1"/>
  <c r="N48" i="53"/>
  <c r="I7" i="83"/>
  <c r="I21" i="1"/>
  <c r="B20" i="1"/>
  <c r="A3" i="14" s="1"/>
  <c r="M2" i="14" s="1"/>
  <c r="N23" i="32"/>
  <c r="P103" i="46"/>
  <c r="P28" i="46"/>
  <c r="P85" i="46" s="1"/>
  <c r="P27" i="46"/>
  <c r="P84" i="46" s="1"/>
  <c r="P26" i="46"/>
  <c r="P83" i="46" s="1"/>
  <c r="P66" i="37"/>
  <c r="P67" i="37" s="1"/>
  <c r="P69" i="37"/>
  <c r="P68" i="37"/>
  <c r="P71" i="37"/>
  <c r="K54" i="37"/>
  <c r="K47" i="46"/>
  <c r="N30" i="32"/>
  <c r="K57" i="37"/>
  <c r="K34" i="53"/>
  <c r="K37" i="53" s="1"/>
  <c r="V31" i="51"/>
  <c r="V41" i="51" s="1"/>
  <c r="T10" i="11" s="1"/>
  <c r="AG39" i="51"/>
  <c r="W18" i="62"/>
  <c r="T72" i="37"/>
  <c r="V62" i="37"/>
  <c r="V66" i="37" s="1"/>
  <c r="V27" i="29"/>
  <c r="V29" i="29" s="1"/>
  <c r="X15" i="11" s="1"/>
  <c r="V19" i="46"/>
  <c r="V26" i="46" s="1"/>
  <c r="X13" i="62"/>
  <c r="I29" i="29"/>
  <c r="K41" i="37"/>
  <c r="M20" i="78"/>
  <c r="M32" i="78" s="1"/>
  <c r="K14" i="57"/>
  <c r="K30" i="57" s="1"/>
  <c r="W29" i="29"/>
  <c r="Y15" i="11" s="1"/>
  <c r="Y18" i="62" s="1"/>
  <c r="Y29" i="29"/>
  <c r="AA15" i="11" s="1"/>
  <c r="AA18" i="62" s="1"/>
  <c r="M41" i="28"/>
  <c r="M42" i="28" s="1"/>
  <c r="M24" i="78"/>
  <c r="M36" i="78" s="1"/>
  <c r="X29" i="29"/>
  <c r="Z15" i="11" s="1"/>
  <c r="Z18" i="62" s="1"/>
  <c r="I34" i="57"/>
  <c r="I37" i="57" s="1"/>
  <c r="K44" i="37"/>
  <c r="L15" i="37"/>
  <c r="H10" i="11"/>
  <c r="L33" i="37"/>
  <c r="K15" i="11"/>
  <c r="U15" i="11" s="1"/>
  <c r="AU29" i="29"/>
  <c r="I27" i="46"/>
  <c r="AA19" i="46"/>
  <c r="AA103" i="46" s="1"/>
  <c r="I103" i="46"/>
  <c r="I28" i="46"/>
  <c r="I26" i="46"/>
  <c r="O21" i="32"/>
  <c r="P14" i="32"/>
  <c r="O28" i="32"/>
  <c r="O35" i="32"/>
  <c r="V7" i="57"/>
  <c r="U6" i="57"/>
  <c r="U12" i="57" s="1"/>
  <c r="O15" i="11"/>
  <c r="V15" i="11" s="1"/>
  <c r="AV29" i="29"/>
  <c r="Q66" i="37"/>
  <c r="Q67" i="37" s="1"/>
  <c r="Q68" i="37"/>
  <c r="Q71" i="37"/>
  <c r="Q69" i="37"/>
  <c r="M103" i="46"/>
  <c r="M27" i="46"/>
  <c r="M84" i="46" s="1"/>
  <c r="M26" i="46"/>
  <c r="M83" i="46" s="1"/>
  <c r="M28" i="46"/>
  <c r="M85" i="46" s="1"/>
  <c r="M49" i="37"/>
  <c r="M56" i="37" s="1"/>
  <c r="M12" i="78"/>
  <c r="C46" i="83"/>
  <c r="C45" i="85"/>
  <c r="B3" i="92"/>
  <c r="B5" i="70" s="1"/>
  <c r="AC24" i="29"/>
  <c r="AC25" i="29" s="1"/>
  <c r="AC40" i="29"/>
  <c r="J9" i="11"/>
  <c r="J9" i="62"/>
  <c r="AA62" i="37"/>
  <c r="AA27" i="29"/>
  <c r="AA29" i="29" s="1"/>
  <c r="AA41" i="29"/>
  <c r="M29" i="51"/>
  <c r="M31" i="51" s="1"/>
  <c r="M36" i="37"/>
  <c r="M18" i="51"/>
  <c r="M20" i="51" s="1"/>
  <c r="K9" i="11" s="1"/>
  <c r="V13" i="62"/>
  <c r="V18" i="62" s="1"/>
  <c r="N10" i="28"/>
  <c r="S46" i="57"/>
  <c r="S51" i="57" s="1"/>
  <c r="N11" i="28"/>
  <c r="N17" i="51" s="1"/>
  <c r="W17" i="51" s="1"/>
  <c r="N11" i="78"/>
  <c r="N17" i="78" s="1"/>
  <c r="N23" i="78" s="1"/>
  <c r="N35" i="78" s="1"/>
  <c r="P7" i="11"/>
  <c r="L53" i="40"/>
  <c r="O11" i="77"/>
  <c r="O17" i="77" s="1"/>
  <c r="O20" i="77" s="1"/>
  <c r="O32" i="77" s="1"/>
  <c r="AB15" i="29"/>
  <c r="AB62" i="37" s="1"/>
  <c r="M28" i="37"/>
  <c r="I68" i="37"/>
  <c r="I69" i="37"/>
  <c r="I71" i="37"/>
  <c r="I66" i="37"/>
  <c r="P67" i="1"/>
  <c r="C67" i="1" s="1"/>
  <c r="C66" i="1"/>
  <c r="L46" i="46"/>
  <c r="L42" i="46"/>
  <c r="L44" i="46"/>
  <c r="L45" i="46"/>
  <c r="J44" i="37"/>
  <c r="J76" i="37" s="1"/>
  <c r="H24" i="11" s="1"/>
  <c r="H27" i="62" s="1"/>
  <c r="J41" i="37"/>
  <c r="Q103" i="46"/>
  <c r="Q26" i="46"/>
  <c r="Q83" i="46" s="1"/>
  <c r="Q28" i="46"/>
  <c r="Q85" i="46" s="1"/>
  <c r="Q27" i="46"/>
  <c r="Q84" i="46" s="1"/>
  <c r="N10" i="78"/>
  <c r="U13" i="62"/>
  <c r="L42" i="28"/>
  <c r="L43" i="28" s="1"/>
  <c r="L44" i="28" s="1"/>
  <c r="L45" i="51" s="1"/>
  <c r="L36" i="37"/>
  <c r="L29" i="51"/>
  <c r="J12" i="62"/>
  <c r="K12" i="62"/>
  <c r="N37" i="32"/>
  <c r="T13" i="62"/>
  <c r="O22" i="32"/>
  <c r="O29" i="32"/>
  <c r="O36" i="32"/>
  <c r="O11" i="28" s="1"/>
  <c r="O17" i="51" s="1"/>
  <c r="P15" i="32"/>
  <c r="AH38" i="51"/>
  <c r="R40" i="95" s="1"/>
  <c r="R40" i="97" s="1"/>
  <c r="AD14" i="29"/>
  <c r="AD15" i="29" s="1"/>
  <c r="AK14" i="29"/>
  <c r="M12" i="28"/>
  <c r="M15" i="46" s="1"/>
  <c r="L57" i="37"/>
  <c r="AB24" i="29"/>
  <c r="AB25" i="29" s="1"/>
  <c r="R33" i="57"/>
  <c r="R25" i="57"/>
  <c r="J47" i="46"/>
  <c r="M68" i="37"/>
  <c r="M69" i="37"/>
  <c r="M71" i="37"/>
  <c r="M66" i="37"/>
  <c r="M67" i="37" s="1"/>
  <c r="I24" i="77"/>
  <c r="J24" i="77"/>
  <c r="J36" i="77" s="1"/>
  <c r="L24" i="77"/>
  <c r="L36" i="77" s="1"/>
  <c r="K24" i="77"/>
  <c r="K36" i="77" s="1"/>
  <c r="M24" i="77"/>
  <c r="M36" i="77" s="1"/>
  <c r="Y42" i="34"/>
  <c r="M43" i="34"/>
  <c r="M45" i="34"/>
  <c r="M42" i="35" s="1"/>
  <c r="AJ21" i="78" s="1"/>
  <c r="M47" i="34"/>
  <c r="M44" i="35" s="1"/>
  <c r="AJ23" i="78" s="1"/>
  <c r="M49" i="34"/>
  <c r="M46" i="35" s="1"/>
  <c r="AJ25" i="78" s="1"/>
  <c r="M44" i="34"/>
  <c r="M41" i="35" s="1"/>
  <c r="AJ20" i="78" s="1"/>
  <c r="M46" i="34"/>
  <c r="M43" i="35" s="1"/>
  <c r="AJ22" i="78" s="1"/>
  <c r="M48" i="34"/>
  <c r="M45" i="35" s="1"/>
  <c r="AJ24" i="78" s="1"/>
  <c r="N42" i="34"/>
  <c r="I23" i="26"/>
  <c r="J23" i="26"/>
  <c r="J35" i="26" s="1"/>
  <c r="K23" i="26"/>
  <c r="K35" i="26" s="1"/>
  <c r="L23" i="26"/>
  <c r="L35" i="26" s="1"/>
  <c r="J25" i="77"/>
  <c r="J37" i="77" s="1"/>
  <c r="I25" i="77"/>
  <c r="L25" i="77"/>
  <c r="L37" i="77" s="1"/>
  <c r="K25" i="77"/>
  <c r="K37" i="77" s="1"/>
  <c r="M25" i="77"/>
  <c r="M37" i="77" s="1"/>
  <c r="J23" i="77"/>
  <c r="J35" i="77" s="1"/>
  <c r="I23" i="77"/>
  <c r="L23" i="77"/>
  <c r="L35" i="77" s="1"/>
  <c r="K23" i="77"/>
  <c r="K35" i="77" s="1"/>
  <c r="M23" i="77"/>
  <c r="M35" i="77" s="1"/>
  <c r="I22" i="26"/>
  <c r="J22" i="26"/>
  <c r="J34" i="26" s="1"/>
  <c r="L22" i="26"/>
  <c r="L34" i="26" s="1"/>
  <c r="K22" i="26"/>
  <c r="K34" i="26" s="1"/>
  <c r="I24" i="26"/>
  <c r="J24" i="26"/>
  <c r="J36" i="26" s="1"/>
  <c r="L24" i="26"/>
  <c r="L36" i="26" s="1"/>
  <c r="K24" i="26"/>
  <c r="K36" i="26" s="1"/>
  <c r="F17" i="58"/>
  <c r="K16" i="58"/>
  <c r="I22" i="77"/>
  <c r="J22" i="77"/>
  <c r="J34" i="77" s="1"/>
  <c r="L22" i="77"/>
  <c r="L34" i="77" s="1"/>
  <c r="K22" i="77"/>
  <c r="K34" i="77" s="1"/>
  <c r="M22" i="77"/>
  <c r="M34" i="77" s="1"/>
  <c r="I25" i="26"/>
  <c r="J25" i="26"/>
  <c r="J37" i="26" s="1"/>
  <c r="K25" i="26"/>
  <c r="K37" i="26" s="1"/>
  <c r="L25" i="26"/>
  <c r="L37" i="26" s="1"/>
  <c r="T42" i="34"/>
  <c r="H43" i="34"/>
  <c r="H45" i="34"/>
  <c r="H42" i="35" s="1"/>
  <c r="AK21" i="28" s="1"/>
  <c r="H47" i="34"/>
  <c r="H44" i="35" s="1"/>
  <c r="AK23" i="28" s="1"/>
  <c r="H49" i="34"/>
  <c r="H46" i="35" s="1"/>
  <c r="AK25" i="28" s="1"/>
  <c r="H44" i="34"/>
  <c r="H41" i="35" s="1"/>
  <c r="AK20" i="28" s="1"/>
  <c r="H46" i="34"/>
  <c r="H43" i="35" s="1"/>
  <c r="AK22" i="28" s="1"/>
  <c r="H48" i="34"/>
  <c r="H45" i="35" s="1"/>
  <c r="AK24" i="28" s="1"/>
  <c r="I42" i="34"/>
  <c r="W134" i="5"/>
  <c r="K18" i="37"/>
  <c r="K13" i="37"/>
  <c r="L20" i="57"/>
  <c r="L20" i="53"/>
  <c r="J47" i="40"/>
  <c r="J50" i="40" s="1"/>
  <c r="AA11" i="13"/>
  <c r="AD35" i="11"/>
  <c r="H36" i="62"/>
  <c r="H34" i="62"/>
  <c r="H38" i="62"/>
  <c r="H43" i="62"/>
  <c r="H20" i="58"/>
  <c r="J21" i="58"/>
  <c r="E19" i="58"/>
  <c r="H41" i="84"/>
  <c r="H39" i="15"/>
  <c r="K49" i="40"/>
  <c r="K67" i="40"/>
  <c r="G14" i="57"/>
  <c r="P9" i="38"/>
  <c r="O14" i="38"/>
  <c r="M31" i="11" s="1"/>
  <c r="L49" i="57"/>
  <c r="L10" i="57" s="1"/>
  <c r="R36" i="95"/>
  <c r="AD20" i="29"/>
  <c r="AD36" i="29"/>
  <c r="AE23" i="29"/>
  <c r="AE39" i="29"/>
  <c r="L48" i="51"/>
  <c r="L31" i="53"/>
  <c r="L34" i="53" s="1"/>
  <c r="L37" i="53" s="1"/>
  <c r="K22" i="78"/>
  <c r="K34" i="78" s="1"/>
  <c r="J22" i="78"/>
  <c r="J34" i="78" s="1"/>
  <c r="L22" i="78"/>
  <c r="L34" i="78" s="1"/>
  <c r="I22" i="78"/>
  <c r="K25" i="78"/>
  <c r="K37" i="78" s="1"/>
  <c r="J25" i="78"/>
  <c r="J37" i="78" s="1"/>
  <c r="L25" i="78"/>
  <c r="L37" i="78" s="1"/>
  <c r="I25" i="78"/>
  <c r="K21" i="78"/>
  <c r="K33" i="78" s="1"/>
  <c r="J21" i="78"/>
  <c r="J33" i="78" s="1"/>
  <c r="L21" i="78"/>
  <c r="L33" i="78" s="1"/>
  <c r="I21" i="78"/>
  <c r="J23" i="28"/>
  <c r="J35" i="28" s="1"/>
  <c r="I23" i="28"/>
  <c r="K23" i="28"/>
  <c r="K35" i="28" s="1"/>
  <c r="L23" i="28"/>
  <c r="L35" i="28" s="1"/>
  <c r="M23" i="28"/>
  <c r="M35" i="28" s="1"/>
  <c r="E50" i="34"/>
  <c r="E40" i="35"/>
  <c r="R42" i="34"/>
  <c r="F43" i="34"/>
  <c r="F45" i="34"/>
  <c r="F42" i="35" s="1"/>
  <c r="AI21" i="28" s="1"/>
  <c r="F47" i="34"/>
  <c r="F44" i="35" s="1"/>
  <c r="AI23" i="28" s="1"/>
  <c r="F49" i="34"/>
  <c r="F46" i="35" s="1"/>
  <c r="AI25" i="28" s="1"/>
  <c r="F44" i="34"/>
  <c r="F41" i="35" s="1"/>
  <c r="AI20" i="28" s="1"/>
  <c r="F46" i="34"/>
  <c r="F43" i="35" s="1"/>
  <c r="AI22" i="28" s="1"/>
  <c r="F48" i="34"/>
  <c r="F45" i="35" s="1"/>
  <c r="AI24" i="28" s="1"/>
  <c r="K22" i="28"/>
  <c r="K34" i="28" s="1"/>
  <c r="J22" i="28"/>
  <c r="J34" i="28" s="1"/>
  <c r="I22" i="28"/>
  <c r="L22" i="28"/>
  <c r="L34" i="28" s="1"/>
  <c r="M22" i="28"/>
  <c r="M34" i="28" s="1"/>
  <c r="T11" i="13"/>
  <c r="AG40" i="11"/>
  <c r="J66" i="59"/>
  <c r="I80" i="46"/>
  <c r="J31" i="57"/>
  <c r="J34" i="57" s="1"/>
  <c r="J37" i="57" s="1"/>
  <c r="J34" i="53"/>
  <c r="J37" i="53" s="1"/>
  <c r="N12" i="53"/>
  <c r="K26" i="37"/>
  <c r="I39" i="15"/>
  <c r="I41" i="84"/>
  <c r="M46" i="53"/>
  <c r="J29" i="46"/>
  <c r="J80" i="46"/>
  <c r="J39" i="46"/>
  <c r="J20" i="37"/>
  <c r="M18" i="58"/>
  <c r="R18" i="58" s="1"/>
  <c r="P18" i="58" s="1"/>
  <c r="O19" i="58"/>
  <c r="T18" i="58"/>
  <c r="W27" i="46"/>
  <c r="W84" i="46" s="1"/>
  <c r="W103" i="46"/>
  <c r="W26" i="46"/>
  <c r="W83" i="46" s="1"/>
  <c r="W28" i="46"/>
  <c r="W85" i="46" s="1"/>
  <c r="I20" i="37"/>
  <c r="W139" i="5"/>
  <c r="N12" i="77"/>
  <c r="W11" i="51"/>
  <c r="W13" i="51" s="1"/>
  <c r="N13" i="51"/>
  <c r="V48" i="51"/>
  <c r="M22" i="78"/>
  <c r="M34" i="78" s="1"/>
  <c r="H23" i="13"/>
  <c r="H26" i="13" s="1"/>
  <c r="I18" i="12"/>
  <c r="D38" i="46"/>
  <c r="D58" i="46"/>
  <c r="D69" i="46"/>
  <c r="D95" i="46"/>
  <c r="M34" i="46"/>
  <c r="M36" i="46"/>
  <c r="M38" i="46"/>
  <c r="N12" i="46"/>
  <c r="M35" i="46"/>
  <c r="M37" i="46"/>
  <c r="N43" i="46"/>
  <c r="O17" i="46"/>
  <c r="B106" i="5"/>
  <c r="C105" i="5"/>
  <c r="K11" i="62"/>
  <c r="M10" i="37"/>
  <c r="M42" i="26"/>
  <c r="M43" i="26" s="1"/>
  <c r="M44" i="26" s="1"/>
  <c r="M44" i="51" s="1"/>
  <c r="M20" i="26"/>
  <c r="M32" i="26" s="1"/>
  <c r="M21" i="26"/>
  <c r="M33" i="26" s="1"/>
  <c r="M22" i="26"/>
  <c r="M34" i="26" s="1"/>
  <c r="M23" i="26"/>
  <c r="M35" i="26" s="1"/>
  <c r="M24" i="26"/>
  <c r="M36" i="26" s="1"/>
  <c r="M25" i="26"/>
  <c r="M37" i="26" s="1"/>
  <c r="M24" i="51"/>
  <c r="O12" i="51"/>
  <c r="I20" i="77"/>
  <c r="J20" i="77"/>
  <c r="J32" i="77" s="1"/>
  <c r="L20" i="77"/>
  <c r="L32" i="77" s="1"/>
  <c r="K20" i="77"/>
  <c r="K32" i="77" s="1"/>
  <c r="M20" i="77"/>
  <c r="M32" i="77" s="1"/>
  <c r="Z27" i="34"/>
  <c r="N29" i="34"/>
  <c r="N27" i="35" s="1"/>
  <c r="AK20" i="77" s="1"/>
  <c r="N31" i="34"/>
  <c r="N29" i="35" s="1"/>
  <c r="AK22" i="77" s="1"/>
  <c r="N33" i="34"/>
  <c r="N31" i="35" s="1"/>
  <c r="AK24" i="77" s="1"/>
  <c r="N28" i="34"/>
  <c r="N30" i="34"/>
  <c r="N28" i="35" s="1"/>
  <c r="AK21" i="77" s="1"/>
  <c r="N32" i="34"/>
  <c r="N30" i="35" s="1"/>
  <c r="AK23" i="77" s="1"/>
  <c r="N34" i="34"/>
  <c r="N32" i="35" s="1"/>
  <c r="AK25" i="77" s="1"/>
  <c r="X27" i="34"/>
  <c r="L29" i="34"/>
  <c r="L27" i="35" s="1"/>
  <c r="AI20" i="77" s="1"/>
  <c r="L31" i="34"/>
  <c r="L29" i="35" s="1"/>
  <c r="AI22" i="77" s="1"/>
  <c r="L33" i="34"/>
  <c r="L31" i="35" s="1"/>
  <c r="AI24" i="77" s="1"/>
  <c r="L28" i="34"/>
  <c r="L30" i="34"/>
  <c r="L28" i="35" s="1"/>
  <c r="AI21" i="77" s="1"/>
  <c r="L32" i="34"/>
  <c r="L30" i="35" s="1"/>
  <c r="AI23" i="77" s="1"/>
  <c r="L34" i="34"/>
  <c r="L32" i="35" s="1"/>
  <c r="AI25" i="77" s="1"/>
  <c r="K35" i="34"/>
  <c r="K26" i="35"/>
  <c r="E35" i="34"/>
  <c r="E26" i="35"/>
  <c r="T27" i="34"/>
  <c r="H28" i="34"/>
  <c r="H30" i="34"/>
  <c r="H28" i="35" s="1"/>
  <c r="AK21" i="26" s="1"/>
  <c r="H32" i="34"/>
  <c r="H30" i="35" s="1"/>
  <c r="AK23" i="26" s="1"/>
  <c r="H34" i="34"/>
  <c r="H32" i="35" s="1"/>
  <c r="AK25" i="26" s="1"/>
  <c r="H29" i="34"/>
  <c r="H27" i="35" s="1"/>
  <c r="AK20" i="26" s="1"/>
  <c r="H31" i="34"/>
  <c r="H29" i="35" s="1"/>
  <c r="AK22" i="26" s="1"/>
  <c r="H33" i="34"/>
  <c r="H31" i="35" s="1"/>
  <c r="AK24" i="26" s="1"/>
  <c r="R27" i="34"/>
  <c r="F28" i="34"/>
  <c r="F30" i="34"/>
  <c r="F28" i="35" s="1"/>
  <c r="AI21" i="26" s="1"/>
  <c r="F32" i="34"/>
  <c r="F30" i="35" s="1"/>
  <c r="AI23" i="26" s="1"/>
  <c r="F34" i="34"/>
  <c r="F32" i="35" s="1"/>
  <c r="AI25" i="26" s="1"/>
  <c r="F29" i="34"/>
  <c r="F27" i="35" s="1"/>
  <c r="AI20" i="26" s="1"/>
  <c r="F31" i="34"/>
  <c r="F29" i="35" s="1"/>
  <c r="AI22" i="26" s="1"/>
  <c r="F33" i="34"/>
  <c r="F31" i="35" s="1"/>
  <c r="AI24" i="26" s="1"/>
  <c r="AD13" i="62"/>
  <c r="Y66" i="37"/>
  <c r="Y67" i="37" s="1"/>
  <c r="Y68" i="37"/>
  <c r="Y69" i="37"/>
  <c r="Y71" i="37"/>
  <c r="C53" i="1"/>
  <c r="P54" i="1"/>
  <c r="N23" i="37"/>
  <c r="N41" i="26"/>
  <c r="N25" i="51"/>
  <c r="W25" i="51" s="1"/>
  <c r="N20" i="77"/>
  <c r="N32" i="77" s="1"/>
  <c r="N21" i="77"/>
  <c r="N33" i="77" s="1"/>
  <c r="N22" i="77"/>
  <c r="N34" i="77" s="1"/>
  <c r="N23" i="77"/>
  <c r="N35" i="77" s="1"/>
  <c r="N24" i="77"/>
  <c r="N36" i="77" s="1"/>
  <c r="N25" i="77"/>
  <c r="N37" i="77" s="1"/>
  <c r="K77" i="37"/>
  <c r="O33" i="11"/>
  <c r="O6" i="53"/>
  <c r="P7" i="53"/>
  <c r="L46" i="40"/>
  <c r="U31" i="11"/>
  <c r="X69" i="37"/>
  <c r="X71" i="37"/>
  <c r="X66" i="37"/>
  <c r="X67" i="37" s="1"/>
  <c r="X68" i="37"/>
  <c r="X26" i="46"/>
  <c r="X83" i="46" s="1"/>
  <c r="X28" i="46"/>
  <c r="X85" i="46" s="1"/>
  <c r="X27" i="46"/>
  <c r="X84" i="46" s="1"/>
  <c r="X103" i="46"/>
  <c r="Q36" i="97"/>
  <c r="Q41" i="97" s="1"/>
  <c r="Q41" i="95"/>
  <c r="AI34" i="51"/>
  <c r="AE10" i="29"/>
  <c r="B19" i="58"/>
  <c r="D20" i="58"/>
  <c r="L18" i="37"/>
  <c r="L11" i="46"/>
  <c r="N12" i="26"/>
  <c r="N10" i="46" s="1"/>
  <c r="N51" i="46" s="1"/>
  <c r="N17" i="26"/>
  <c r="O11" i="51"/>
  <c r="P26" i="32"/>
  <c r="P33" i="32"/>
  <c r="P10" i="26" s="1"/>
  <c r="Q12" i="32"/>
  <c r="P19" i="32"/>
  <c r="M62" i="46"/>
  <c r="N50" i="46"/>
  <c r="M88" i="46"/>
  <c r="Y23" i="13"/>
  <c r="Z18" i="12"/>
  <c r="Z23" i="13" s="1"/>
  <c r="K24" i="78"/>
  <c r="K36" i="78" s="1"/>
  <c r="J24" i="78"/>
  <c r="J36" i="78" s="1"/>
  <c r="L24" i="78"/>
  <c r="L36" i="78" s="1"/>
  <c r="I24" i="78"/>
  <c r="K20" i="78"/>
  <c r="K32" i="78" s="1"/>
  <c r="J20" i="78"/>
  <c r="J32" i="78" s="1"/>
  <c r="L20" i="78"/>
  <c r="L32" i="78" s="1"/>
  <c r="I20" i="78"/>
  <c r="X42" i="34"/>
  <c r="L44" i="34"/>
  <c r="L41" i="35" s="1"/>
  <c r="AI20" i="78" s="1"/>
  <c r="L46" i="34"/>
  <c r="L43" i="35" s="1"/>
  <c r="AI22" i="78" s="1"/>
  <c r="L48" i="34"/>
  <c r="L45" i="35" s="1"/>
  <c r="AI24" i="78" s="1"/>
  <c r="L43" i="34"/>
  <c r="L45" i="34"/>
  <c r="L42" i="35" s="1"/>
  <c r="AI21" i="78" s="1"/>
  <c r="L47" i="34"/>
  <c r="L44" i="35" s="1"/>
  <c r="AI23" i="78" s="1"/>
  <c r="L49" i="34"/>
  <c r="L46" i="35" s="1"/>
  <c r="AI25" i="78" s="1"/>
  <c r="K23" i="78"/>
  <c r="K35" i="78" s="1"/>
  <c r="J23" i="78"/>
  <c r="J35" i="78" s="1"/>
  <c r="L23" i="78"/>
  <c r="L35" i="78" s="1"/>
  <c r="I23" i="78"/>
  <c r="K50" i="34"/>
  <c r="K40" i="35"/>
  <c r="J25" i="28"/>
  <c r="J37" i="28" s="1"/>
  <c r="I25" i="28"/>
  <c r="K25" i="28"/>
  <c r="K37" i="28" s="1"/>
  <c r="L25" i="28"/>
  <c r="L37" i="28" s="1"/>
  <c r="M25" i="28"/>
  <c r="M37" i="28" s="1"/>
  <c r="J21" i="28"/>
  <c r="J33" i="28" s="1"/>
  <c r="I21" i="28"/>
  <c r="K21" i="28"/>
  <c r="K33" i="28" s="1"/>
  <c r="L21" i="28"/>
  <c r="L33" i="28" s="1"/>
  <c r="M21" i="28"/>
  <c r="M33" i="28" s="1"/>
  <c r="S42" i="34"/>
  <c r="G44" i="34"/>
  <c r="G41" i="35" s="1"/>
  <c r="AJ20" i="28" s="1"/>
  <c r="G46" i="34"/>
  <c r="G43" i="35" s="1"/>
  <c r="AJ22" i="28" s="1"/>
  <c r="G48" i="34"/>
  <c r="G45" i="35" s="1"/>
  <c r="AJ24" i="28" s="1"/>
  <c r="G43" i="34"/>
  <c r="G45" i="34"/>
  <c r="G42" i="35" s="1"/>
  <c r="AJ21" i="28" s="1"/>
  <c r="G47" i="34"/>
  <c r="G44" i="35" s="1"/>
  <c r="AJ23" i="28" s="1"/>
  <c r="G49" i="34"/>
  <c r="G46" i="35" s="1"/>
  <c r="AJ25" i="28" s="1"/>
  <c r="K24" i="28"/>
  <c r="K36" i="28" s="1"/>
  <c r="J24" i="28"/>
  <c r="J36" i="28" s="1"/>
  <c r="I24" i="28"/>
  <c r="L24" i="28"/>
  <c r="L36" i="28" s="1"/>
  <c r="M24" i="28"/>
  <c r="M36" i="28" s="1"/>
  <c r="K20" i="28"/>
  <c r="K32" i="28" s="1"/>
  <c r="J20" i="28"/>
  <c r="J32" i="28" s="1"/>
  <c r="I20" i="28"/>
  <c r="L20" i="28"/>
  <c r="L32" i="28" s="1"/>
  <c r="M20" i="28"/>
  <c r="M32" i="28" s="1"/>
  <c r="I39" i="46"/>
  <c r="T16" i="62"/>
  <c r="K11" i="46"/>
  <c r="K41" i="51"/>
  <c r="K31" i="37"/>
  <c r="AF18" i="12"/>
  <c r="M18" i="65" s="1"/>
  <c r="S66" i="59"/>
  <c r="AG18" i="12" s="1"/>
  <c r="N18" i="65" s="1"/>
  <c r="K22" i="12"/>
  <c r="H28" i="62"/>
  <c r="R8" i="53"/>
  <c r="G14" i="53"/>
  <c r="M49" i="53"/>
  <c r="M10" i="53" s="1"/>
  <c r="M14" i="53" s="1"/>
  <c r="M30" i="53" s="1"/>
  <c r="AE13" i="62"/>
  <c r="AC19" i="46"/>
  <c r="AC41" i="29"/>
  <c r="AC62" i="37"/>
  <c r="AC27" i="29"/>
  <c r="W66" i="37"/>
  <c r="W67" i="37" s="1"/>
  <c r="W68" i="37"/>
  <c r="W71" i="37"/>
  <c r="W69" i="37"/>
  <c r="O10" i="26"/>
  <c r="M31" i="37"/>
  <c r="M16" i="46"/>
  <c r="M25" i="78"/>
  <c r="M37" i="78" s="1"/>
  <c r="M23" i="78"/>
  <c r="M35" i="78" s="1"/>
  <c r="M21" i="78"/>
  <c r="M33" i="78" s="1"/>
  <c r="G26" i="13"/>
  <c r="D45" i="46"/>
  <c r="N11" i="53"/>
  <c r="M41" i="53"/>
  <c r="N22" i="65"/>
  <c r="M89" i="46"/>
  <c r="M49" i="51" s="1"/>
  <c r="M63" i="46"/>
  <c r="P27" i="32"/>
  <c r="P34" i="32"/>
  <c r="P11" i="77" s="1"/>
  <c r="P17" i="77" s="1"/>
  <c r="Q13" i="32"/>
  <c r="P20" i="32"/>
  <c r="AA27" i="34"/>
  <c r="O28" i="34"/>
  <c r="O30" i="34"/>
  <c r="O28" i="35" s="1"/>
  <c r="AL21" i="77" s="1"/>
  <c r="O32" i="34"/>
  <c r="O30" i="35" s="1"/>
  <c r="AL23" i="77" s="1"/>
  <c r="O34" i="34"/>
  <c r="O32" i="35" s="1"/>
  <c r="AL25" i="77" s="1"/>
  <c r="O29" i="34"/>
  <c r="O27" i="35" s="1"/>
  <c r="AL20" i="77" s="1"/>
  <c r="O31" i="34"/>
  <c r="O29" i="35" s="1"/>
  <c r="AL22" i="77" s="1"/>
  <c r="O33" i="34"/>
  <c r="O31" i="35" s="1"/>
  <c r="AL24" i="77" s="1"/>
  <c r="Y27" i="34"/>
  <c r="M28" i="34"/>
  <c r="M30" i="34"/>
  <c r="M28" i="35" s="1"/>
  <c r="AJ21" i="77" s="1"/>
  <c r="M32" i="34"/>
  <c r="M30" i="35" s="1"/>
  <c r="AJ23" i="77" s="1"/>
  <c r="M34" i="34"/>
  <c r="M32" i="35" s="1"/>
  <c r="AJ25" i="77" s="1"/>
  <c r="M29" i="34"/>
  <c r="M27" i="35" s="1"/>
  <c r="AJ20" i="77" s="1"/>
  <c r="M31" i="34"/>
  <c r="M29" i="35" s="1"/>
  <c r="AJ22" i="77" s="1"/>
  <c r="M33" i="34"/>
  <c r="M31" i="35" s="1"/>
  <c r="AJ24" i="77" s="1"/>
  <c r="J21" i="77"/>
  <c r="J33" i="77" s="1"/>
  <c r="I21" i="77"/>
  <c r="L21" i="77"/>
  <c r="L33" i="77" s="1"/>
  <c r="K21" i="77"/>
  <c r="K33" i="77" s="1"/>
  <c r="M21" i="77"/>
  <c r="M33" i="77" s="1"/>
  <c r="I21" i="26"/>
  <c r="J21" i="26"/>
  <c r="J33" i="26" s="1"/>
  <c r="K21" i="26"/>
  <c r="K33" i="26" s="1"/>
  <c r="L21" i="26"/>
  <c r="L33" i="26" s="1"/>
  <c r="U27" i="34"/>
  <c r="I29" i="34"/>
  <c r="I27" i="35" s="1"/>
  <c r="AL20" i="26" s="1"/>
  <c r="I31" i="34"/>
  <c r="I29" i="35" s="1"/>
  <c r="AL22" i="26" s="1"/>
  <c r="I33" i="34"/>
  <c r="I31" i="35" s="1"/>
  <c r="AL24" i="26" s="1"/>
  <c r="I28" i="34"/>
  <c r="I30" i="34"/>
  <c r="I28" i="35" s="1"/>
  <c r="AL21" i="26" s="1"/>
  <c r="I32" i="34"/>
  <c r="I30" i="35" s="1"/>
  <c r="AL23" i="26" s="1"/>
  <c r="I34" i="34"/>
  <c r="I32" i="35" s="1"/>
  <c r="AL25" i="26" s="1"/>
  <c r="S27" i="34"/>
  <c r="G29" i="34"/>
  <c r="G27" i="35" s="1"/>
  <c r="AJ20" i="26" s="1"/>
  <c r="G31" i="34"/>
  <c r="G29" i="35" s="1"/>
  <c r="AJ22" i="26" s="1"/>
  <c r="G33" i="34"/>
  <c r="G31" i="35" s="1"/>
  <c r="AJ24" i="26" s="1"/>
  <c r="G28" i="34"/>
  <c r="G30" i="34"/>
  <c r="G28" i="35" s="1"/>
  <c r="AJ21" i="26" s="1"/>
  <c r="G32" i="34"/>
  <c r="G30" i="35" s="1"/>
  <c r="AJ23" i="26" s="1"/>
  <c r="G34" i="34"/>
  <c r="G32" i="35" s="1"/>
  <c r="AJ25" i="26" s="1"/>
  <c r="I20" i="26"/>
  <c r="J20" i="26"/>
  <c r="J32" i="26" s="1"/>
  <c r="L20" i="26"/>
  <c r="L32" i="26" s="1"/>
  <c r="K20" i="26"/>
  <c r="K32" i="26" s="1"/>
  <c r="K35" i="11"/>
  <c r="J11" i="13"/>
  <c r="V28" i="46"/>
  <c r="Y27" i="46"/>
  <c r="Y84" i="46" s="1"/>
  <c r="AB84" i="46" s="1"/>
  <c r="Y103" i="46"/>
  <c r="Y26" i="46"/>
  <c r="Y83" i="46" s="1"/>
  <c r="AB83" i="46" s="1"/>
  <c r="Y28" i="46"/>
  <c r="Y85" i="46" s="1"/>
  <c r="AB85" i="46" s="1"/>
  <c r="M40" i="63"/>
  <c r="G36" i="62"/>
  <c r="G34" i="62"/>
  <c r="G38" i="62"/>
  <c r="G43" i="62"/>
  <c r="K41" i="57"/>
  <c r="L11" i="57"/>
  <c r="C32" i="85"/>
  <c r="C33" i="83"/>
  <c r="B3" i="37"/>
  <c r="L59" i="37" l="1"/>
  <c r="T46" i="57"/>
  <c r="T51" i="57" s="1"/>
  <c r="V27" i="46"/>
  <c r="AB19" i="46"/>
  <c r="AB103" i="46" s="1"/>
  <c r="K59" i="37"/>
  <c r="O25" i="51"/>
  <c r="O23" i="77"/>
  <c r="O35" i="77" s="1"/>
  <c r="O30" i="32"/>
  <c r="I8" i="83"/>
  <c r="B21" i="1"/>
  <c r="A3" i="95" s="1"/>
  <c r="S2" i="95" s="1"/>
  <c r="I22" i="1"/>
  <c r="P70" i="37"/>
  <c r="P72" i="37" s="1"/>
  <c r="P16" i="32"/>
  <c r="O22" i="77"/>
  <c r="O34" i="77" s="1"/>
  <c r="O41" i="26"/>
  <c r="O21" i="77"/>
  <c r="O33" i="77" s="1"/>
  <c r="N12" i="78"/>
  <c r="O25" i="77"/>
  <c r="O37" i="77" s="1"/>
  <c r="O23" i="37"/>
  <c r="O30" i="37" s="1"/>
  <c r="O37" i="32"/>
  <c r="O23" i="32"/>
  <c r="K46" i="37"/>
  <c r="W25" i="34"/>
  <c r="V103" i="46"/>
  <c r="AD15" i="11"/>
  <c r="K15" i="63" s="1"/>
  <c r="V71" i="37"/>
  <c r="AB71" i="37" s="1"/>
  <c r="AO71" i="37" s="1"/>
  <c r="V68" i="37"/>
  <c r="AB68" i="37" s="1"/>
  <c r="V69" i="37"/>
  <c r="U18" i="62"/>
  <c r="X18" i="62"/>
  <c r="AB27" i="29"/>
  <c r="AB29" i="29" s="1"/>
  <c r="AB41" i="29"/>
  <c r="G15" i="11"/>
  <c r="AT29" i="29"/>
  <c r="K18" i="62"/>
  <c r="AD18" i="62"/>
  <c r="O18" i="62"/>
  <c r="T10" i="62"/>
  <c r="T43" i="62" s="1"/>
  <c r="M50" i="37"/>
  <c r="M52" i="37" s="1"/>
  <c r="L47" i="46"/>
  <c r="K9" i="62"/>
  <c r="AC29" i="29"/>
  <c r="AE15" i="11" s="1"/>
  <c r="L15" i="63" s="1"/>
  <c r="M55" i="37"/>
  <c r="M57" i="37" s="1"/>
  <c r="M33" i="37"/>
  <c r="Y70" i="37"/>
  <c r="Y72" i="37" s="1"/>
  <c r="M58" i="37"/>
  <c r="M53" i="37"/>
  <c r="O24" i="77"/>
  <c r="O36" i="77" s="1"/>
  <c r="M70" i="37"/>
  <c r="M72" i="37" s="1"/>
  <c r="Q25" i="34"/>
  <c r="J46" i="37"/>
  <c r="J75" i="37"/>
  <c r="C48" i="83"/>
  <c r="B3" i="86"/>
  <c r="C47" i="85"/>
  <c r="I70" i="37"/>
  <c r="I76" i="37" s="1"/>
  <c r="G24" i="11" s="1"/>
  <c r="G27" i="62" s="1"/>
  <c r="AA68" i="37"/>
  <c r="Q7" i="11"/>
  <c r="M53" i="40"/>
  <c r="S33" i="57"/>
  <c r="S25" i="57"/>
  <c r="T25" i="57"/>
  <c r="T33" i="57"/>
  <c r="AA26" i="46"/>
  <c r="I83" i="46"/>
  <c r="AA27" i="46"/>
  <c r="I84" i="46"/>
  <c r="O13" i="51"/>
  <c r="I29" i="46"/>
  <c r="M45" i="46"/>
  <c r="M46" i="46"/>
  <c r="M44" i="46"/>
  <c r="M42" i="46"/>
  <c r="P36" i="32"/>
  <c r="P11" i="28" s="1"/>
  <c r="P17" i="51" s="1"/>
  <c r="Q15" i="32"/>
  <c r="P22" i="32"/>
  <c r="P29" i="32"/>
  <c r="AA66" i="37"/>
  <c r="I67" i="37"/>
  <c r="N30" i="51"/>
  <c r="N24" i="78"/>
  <c r="N36" i="78" s="1"/>
  <c r="N20" i="78"/>
  <c r="N32" i="78" s="1"/>
  <c r="N25" i="78"/>
  <c r="N37" i="78" s="1"/>
  <c r="N49" i="37"/>
  <c r="N21" i="78"/>
  <c r="N33" i="78" s="1"/>
  <c r="N41" i="28"/>
  <c r="N22" i="78"/>
  <c r="N34" i="78" s="1"/>
  <c r="N17" i="28"/>
  <c r="N16" i="51"/>
  <c r="N12" i="28"/>
  <c r="N15" i="46" s="1"/>
  <c r="O12" i="77"/>
  <c r="Q70" i="37"/>
  <c r="Q72" i="37" s="1"/>
  <c r="I85" i="46"/>
  <c r="AA28" i="46"/>
  <c r="AH39" i="51"/>
  <c r="AE14" i="29"/>
  <c r="AE15" i="29" s="1"/>
  <c r="AI38" i="51"/>
  <c r="S40" i="95" s="1"/>
  <c r="S40" i="97" s="1"/>
  <c r="O11" i="78"/>
  <c r="O17" i="78" s="1"/>
  <c r="AC13" i="62"/>
  <c r="L31" i="51"/>
  <c r="L41" i="51" s="1"/>
  <c r="J10" i="62" s="1"/>
  <c r="I77" i="37"/>
  <c r="G25" i="11" s="1"/>
  <c r="G28" i="62" s="1"/>
  <c r="AA71" i="37"/>
  <c r="AN71" i="37" s="1"/>
  <c r="M37" i="37"/>
  <c r="M39" i="37" s="1"/>
  <c r="M42" i="37"/>
  <c r="M43" i="37"/>
  <c r="M40" i="37"/>
  <c r="M45" i="37"/>
  <c r="O10" i="28"/>
  <c r="V6" i="57"/>
  <c r="V12" i="57" s="1"/>
  <c r="W7" i="57"/>
  <c r="P35" i="32"/>
  <c r="P10" i="28" s="1"/>
  <c r="P28" i="32"/>
  <c r="Q14" i="32"/>
  <c r="P21" i="32"/>
  <c r="P23" i="32" s="1"/>
  <c r="AD24" i="29"/>
  <c r="AD25" i="29" s="1"/>
  <c r="AD40" i="29"/>
  <c r="L37" i="37"/>
  <c r="L39" i="37" s="1"/>
  <c r="L42" i="37"/>
  <c r="L43" i="37"/>
  <c r="L40" i="37"/>
  <c r="L45" i="37"/>
  <c r="L77" i="37" s="1"/>
  <c r="J25" i="11" s="1"/>
  <c r="B3" i="61"/>
  <c r="B6" i="70" s="1"/>
  <c r="C46" i="85"/>
  <c r="C47" i="83"/>
  <c r="AA69" i="37"/>
  <c r="AN69" i="37" s="1"/>
  <c r="M43" i="28"/>
  <c r="M44" i="28" s="1"/>
  <c r="M45" i="51" s="1"/>
  <c r="O10" i="78"/>
  <c r="P17" i="26"/>
  <c r="P23" i="37"/>
  <c r="P41" i="26"/>
  <c r="P25" i="51"/>
  <c r="P20" i="77"/>
  <c r="P32" i="77" s="1"/>
  <c r="P21" i="77"/>
  <c r="P33" i="77" s="1"/>
  <c r="P22" i="77"/>
  <c r="P34" i="77" s="1"/>
  <c r="P23" i="77"/>
  <c r="P35" i="77" s="1"/>
  <c r="P24" i="77"/>
  <c r="P36" i="77" s="1"/>
  <c r="P25" i="77"/>
  <c r="P37" i="77" s="1"/>
  <c r="K17" i="58"/>
  <c r="F18" i="58"/>
  <c r="M49" i="57"/>
  <c r="M10" i="57" s="1"/>
  <c r="N49" i="53"/>
  <c r="N10" i="53" s="1"/>
  <c r="N14" i="53" s="1"/>
  <c r="N30" i="53" s="1"/>
  <c r="V85" i="46"/>
  <c r="AB28" i="46"/>
  <c r="M35" i="34"/>
  <c r="M26" i="35"/>
  <c r="V83" i="46"/>
  <c r="AB26" i="46"/>
  <c r="K11" i="13"/>
  <c r="L35" i="11"/>
  <c r="I32" i="26"/>
  <c r="G35" i="34"/>
  <c r="G26" i="35"/>
  <c r="I35" i="34"/>
  <c r="I26" i="35"/>
  <c r="I33" i="26"/>
  <c r="R13" i="32"/>
  <c r="Q20" i="32"/>
  <c r="Q27" i="32"/>
  <c r="Q34" i="32"/>
  <c r="Q11" i="26" s="1"/>
  <c r="O11" i="53"/>
  <c r="N41" i="53"/>
  <c r="N42" i="53" s="1"/>
  <c r="N24" i="53" s="1"/>
  <c r="AC66" i="37"/>
  <c r="AC68" i="37"/>
  <c r="AC69" i="37"/>
  <c r="AP69" i="37" s="1"/>
  <c r="AC71" i="37"/>
  <c r="AP71" i="37" s="1"/>
  <c r="AC26" i="46"/>
  <c r="AC83" i="46" s="1"/>
  <c r="AC28" i="46"/>
  <c r="AC85" i="46" s="1"/>
  <c r="AC27" i="46"/>
  <c r="AC84" i="46" s="1"/>
  <c r="AC103" i="46"/>
  <c r="L22" i="12"/>
  <c r="J41" i="84"/>
  <c r="J39" i="15"/>
  <c r="I10" i="62"/>
  <c r="I10" i="11"/>
  <c r="I32" i="28"/>
  <c r="I37" i="28"/>
  <c r="AH19" i="78"/>
  <c r="G19" i="78" s="1"/>
  <c r="K47" i="35"/>
  <c r="I35" i="78"/>
  <c r="I32" i="78"/>
  <c r="I36" i="78"/>
  <c r="M48" i="51"/>
  <c r="R12" i="32"/>
  <c r="Q19" i="32"/>
  <c r="Q26" i="32"/>
  <c r="Q33" i="32"/>
  <c r="N63" i="46"/>
  <c r="N89" i="46"/>
  <c r="N49" i="51" s="1"/>
  <c r="W49" i="51" s="1"/>
  <c r="L33" i="46"/>
  <c r="L101" i="46"/>
  <c r="L23" i="46"/>
  <c r="B20" i="58"/>
  <c r="D21" i="58"/>
  <c r="AE20" i="29"/>
  <c r="AE36" i="29"/>
  <c r="X70" i="37"/>
  <c r="X72" i="37" s="1"/>
  <c r="P6" i="53"/>
  <c r="Q7" i="53"/>
  <c r="M46" i="40"/>
  <c r="I25" i="11"/>
  <c r="N24" i="37"/>
  <c r="N30" i="37"/>
  <c r="N32" i="37"/>
  <c r="N27" i="37"/>
  <c r="N29" i="37"/>
  <c r="C54" i="1"/>
  <c r="P55" i="1"/>
  <c r="K42" i="57"/>
  <c r="K24" i="57" s="1"/>
  <c r="L35" i="34"/>
  <c r="L26" i="35"/>
  <c r="N35" i="34"/>
  <c r="N26" i="35"/>
  <c r="M11" i="37"/>
  <c r="M17" i="37"/>
  <c r="M19" i="37"/>
  <c r="M14" i="37"/>
  <c r="M16" i="37"/>
  <c r="P17" i="46"/>
  <c r="O43" i="46"/>
  <c r="O12" i="46"/>
  <c r="N35" i="46"/>
  <c r="N37" i="46"/>
  <c r="N34" i="46"/>
  <c r="N36" i="46"/>
  <c r="N38" i="46"/>
  <c r="M42" i="53"/>
  <c r="M24" i="53" s="1"/>
  <c r="D46" i="46"/>
  <c r="K57" i="46" s="1"/>
  <c r="I55" i="46"/>
  <c r="M19" i="58"/>
  <c r="R19" i="58" s="1"/>
  <c r="P19" i="58" s="1"/>
  <c r="O20" i="58"/>
  <c r="P48" i="53" s="1"/>
  <c r="T19" i="58"/>
  <c r="O48" i="53"/>
  <c r="O12" i="53"/>
  <c r="P12" i="53" s="1"/>
  <c r="AH40" i="11"/>
  <c r="N40" i="63"/>
  <c r="I34" i="28"/>
  <c r="I35" i="28"/>
  <c r="L20" i="37"/>
  <c r="L14" i="57"/>
  <c r="L30" i="57" s="1"/>
  <c r="Q9" i="38"/>
  <c r="P14" i="38"/>
  <c r="N31" i="11" s="1"/>
  <c r="E20" i="58"/>
  <c r="H21" i="58"/>
  <c r="J22" i="58"/>
  <c r="AA23" i="13"/>
  <c r="U42" i="34"/>
  <c r="Q40" i="34" s="1"/>
  <c r="I44" i="34"/>
  <c r="I41" i="35" s="1"/>
  <c r="AL20" i="28" s="1"/>
  <c r="I46" i="34"/>
  <c r="I43" i="35" s="1"/>
  <c r="AL22" i="28" s="1"/>
  <c r="I48" i="34"/>
  <c r="I45" i="35" s="1"/>
  <c r="AL24" i="28" s="1"/>
  <c r="I43" i="34"/>
  <c r="I45" i="34"/>
  <c r="I42" i="35" s="1"/>
  <c r="AL21" i="28" s="1"/>
  <c r="I47" i="34"/>
  <c r="I44" i="35" s="1"/>
  <c r="AL23" i="28" s="1"/>
  <c r="I49" i="34"/>
  <c r="I46" i="35" s="1"/>
  <c r="AL25" i="28" s="1"/>
  <c r="I37" i="26"/>
  <c r="I36" i="26"/>
  <c r="I34" i="26"/>
  <c r="I35" i="77"/>
  <c r="I35" i="26"/>
  <c r="M50" i="34"/>
  <c r="M40" i="35"/>
  <c r="I36" i="77"/>
  <c r="M11" i="57"/>
  <c r="L41" i="57"/>
  <c r="L42" i="57" s="1"/>
  <c r="L24" i="57" s="1"/>
  <c r="AB27" i="46"/>
  <c r="V84" i="46"/>
  <c r="I33" i="77"/>
  <c r="O35" i="34"/>
  <c r="O26" i="35"/>
  <c r="P12" i="51"/>
  <c r="M102" i="46"/>
  <c r="O12" i="26"/>
  <c r="O10" i="46" s="1"/>
  <c r="O51" i="46" s="1"/>
  <c r="O17" i="26"/>
  <c r="W70" i="37"/>
  <c r="W72" i="37" s="1"/>
  <c r="G30" i="53"/>
  <c r="K41" i="84"/>
  <c r="K39" i="15"/>
  <c r="K23" i="46"/>
  <c r="K33" i="46"/>
  <c r="K101" i="46"/>
  <c r="I36" i="28"/>
  <c r="G50" i="34"/>
  <c r="G40" i="35"/>
  <c r="I33" i="28"/>
  <c r="L50" i="34"/>
  <c r="L40" i="35"/>
  <c r="O29" i="37"/>
  <c r="O50" i="46"/>
  <c r="N88" i="46"/>
  <c r="N62" i="46"/>
  <c r="Q10" i="77"/>
  <c r="Q10" i="26"/>
  <c r="P11" i="51"/>
  <c r="P10" i="77"/>
  <c r="L11" i="62"/>
  <c r="L16" i="62" s="1"/>
  <c r="N10" i="37"/>
  <c r="N20" i="26"/>
  <c r="N32" i="26" s="1"/>
  <c r="N21" i="26"/>
  <c r="N33" i="26" s="1"/>
  <c r="N22" i="26"/>
  <c r="N34" i="26" s="1"/>
  <c r="N23" i="26"/>
  <c r="N35" i="26" s="1"/>
  <c r="N24" i="26"/>
  <c r="N36" i="26" s="1"/>
  <c r="N25" i="26"/>
  <c r="N37" i="26" s="1"/>
  <c r="N24" i="51"/>
  <c r="N26" i="51" s="1"/>
  <c r="N42" i="26"/>
  <c r="N43" i="26" s="1"/>
  <c r="N44" i="26" s="1"/>
  <c r="N44" i="51" s="1"/>
  <c r="W44" i="51" s="1"/>
  <c r="S36" i="95"/>
  <c r="L49" i="40"/>
  <c r="L67" i="40"/>
  <c r="O46" i="53"/>
  <c r="P33" i="11"/>
  <c r="C33" i="85"/>
  <c r="C34" i="83"/>
  <c r="B3" i="46"/>
  <c r="AB66" i="37"/>
  <c r="V67" i="37"/>
  <c r="AB69" i="37"/>
  <c r="AO69" i="37" s="1"/>
  <c r="F35" i="34"/>
  <c r="F26" i="35"/>
  <c r="H35" i="34"/>
  <c r="H26" i="35"/>
  <c r="E33" i="35"/>
  <c r="AH19" i="26"/>
  <c r="G19" i="26" s="1"/>
  <c r="AH19" i="77"/>
  <c r="G19" i="77" s="1"/>
  <c r="K33" i="35"/>
  <c r="I32" i="77"/>
  <c r="P11" i="26"/>
  <c r="P12" i="26" s="1"/>
  <c r="P10" i="46" s="1"/>
  <c r="P51" i="46" s="1"/>
  <c r="M26" i="51"/>
  <c r="K16" i="62"/>
  <c r="B107" i="5"/>
  <c r="C106" i="5"/>
  <c r="D70" i="46"/>
  <c r="D96" i="46"/>
  <c r="T18" i="12"/>
  <c r="J18" i="12"/>
  <c r="I23" i="13"/>
  <c r="K28" i="37"/>
  <c r="K33" i="37" s="1"/>
  <c r="F50" i="34"/>
  <c r="F40" i="35"/>
  <c r="AH19" i="28"/>
  <c r="G19" i="28" s="1"/>
  <c r="E47" i="35"/>
  <c r="I33" i="78"/>
  <c r="I37" i="78"/>
  <c r="I34" i="78"/>
  <c r="AF13" i="62"/>
  <c r="AD19" i="46"/>
  <c r="AD62" i="37"/>
  <c r="AD41" i="29"/>
  <c r="AD27" i="29"/>
  <c r="R36" i="97"/>
  <c r="R41" i="97" s="1"/>
  <c r="R41" i="95"/>
  <c r="G30" i="57"/>
  <c r="N46" i="53"/>
  <c r="AD11" i="13"/>
  <c r="K35" i="63"/>
  <c r="J19" i="19"/>
  <c r="J20" i="19" s="1"/>
  <c r="M20" i="57"/>
  <c r="M20" i="53"/>
  <c r="K47" i="40"/>
  <c r="K50" i="40" s="1"/>
  <c r="K15" i="37"/>
  <c r="K76" i="37"/>
  <c r="H50" i="34"/>
  <c r="H40" i="35"/>
  <c r="I34" i="77"/>
  <c r="I37" i="77"/>
  <c r="Z42" i="34"/>
  <c r="N44" i="34"/>
  <c r="N41" i="35" s="1"/>
  <c r="AK20" i="78" s="1"/>
  <c r="N46" i="34"/>
  <c r="N43" i="35" s="1"/>
  <c r="AK22" i="78" s="1"/>
  <c r="N48" i="34"/>
  <c r="N45" i="35" s="1"/>
  <c r="AK24" i="78" s="1"/>
  <c r="N43" i="34"/>
  <c r="N45" i="34"/>
  <c r="N42" i="35" s="1"/>
  <c r="AK21" i="78" s="1"/>
  <c r="N47" i="34"/>
  <c r="N44" i="35" s="1"/>
  <c r="AK23" i="78" s="1"/>
  <c r="N49" i="34"/>
  <c r="N46" i="35" s="1"/>
  <c r="AK25" i="78" s="1"/>
  <c r="O42" i="34"/>
  <c r="V33" i="11"/>
  <c r="R15" i="63" l="1"/>
  <c r="I58" i="46"/>
  <c r="P11" i="78"/>
  <c r="P17" i="78" s="1"/>
  <c r="P24" i="78" s="1"/>
  <c r="P36" i="78" s="1"/>
  <c r="Q15" i="63"/>
  <c r="M54" i="46"/>
  <c r="L58" i="46"/>
  <c r="L56" i="46"/>
  <c r="L94" i="46" s="1"/>
  <c r="L54" i="51" s="1"/>
  <c r="J58" i="46"/>
  <c r="J70" i="46" s="1"/>
  <c r="AI39" i="51"/>
  <c r="U53" i="46"/>
  <c r="Q16" i="32"/>
  <c r="M55" i="46"/>
  <c r="M93" i="46" s="1"/>
  <c r="M53" i="51" s="1"/>
  <c r="K58" i="46"/>
  <c r="K70" i="46" s="1"/>
  <c r="L57" i="46"/>
  <c r="L69" i="46" s="1"/>
  <c r="J52" i="46"/>
  <c r="J64" i="46" s="1"/>
  <c r="J56" i="46"/>
  <c r="J68" i="46" s="1"/>
  <c r="I23" i="1"/>
  <c r="I9" i="83"/>
  <c r="B22" i="1"/>
  <c r="A3" i="15" s="1"/>
  <c r="Q2" i="15" s="1"/>
  <c r="K53" i="46"/>
  <c r="K65" i="46" s="1"/>
  <c r="O24" i="37"/>
  <c r="O26" i="37" s="1"/>
  <c r="I56" i="46"/>
  <c r="I68" i="46" s="1"/>
  <c r="U46" i="57"/>
  <c r="U51" i="57" s="1"/>
  <c r="U25" i="57" s="1"/>
  <c r="M53" i="46"/>
  <c r="M58" i="46"/>
  <c r="M70" i="46" s="1"/>
  <c r="O32" i="37"/>
  <c r="O27" i="37"/>
  <c r="O12" i="78"/>
  <c r="P30" i="32"/>
  <c r="P10" i="78"/>
  <c r="Q11" i="77"/>
  <c r="Q17" i="77" s="1"/>
  <c r="Q20" i="77" s="1"/>
  <c r="P37" i="32"/>
  <c r="V70" i="37"/>
  <c r="V72" i="37" s="1"/>
  <c r="T34" i="62"/>
  <c r="T38" i="62"/>
  <c r="T36" i="62"/>
  <c r="AE18" i="62"/>
  <c r="G18" i="62"/>
  <c r="T15" i="11"/>
  <c r="T18" i="62" s="1"/>
  <c r="AC15" i="11"/>
  <c r="J15" i="63" s="1"/>
  <c r="P12" i="78"/>
  <c r="N42" i="28"/>
  <c r="N43" i="28" s="1"/>
  <c r="N44" i="28" s="1"/>
  <c r="N45" i="51" s="1"/>
  <c r="W45" i="51" s="1"/>
  <c r="L41" i="37"/>
  <c r="J10" i="11"/>
  <c r="L44" i="37"/>
  <c r="L76" i="37" s="1"/>
  <c r="J24" i="11" s="1"/>
  <c r="J27" i="62" s="1"/>
  <c r="U11" i="62"/>
  <c r="U16" i="62" s="1"/>
  <c r="P16" i="51"/>
  <c r="P18" i="51" s="1"/>
  <c r="P12" i="28"/>
  <c r="P15" i="46" s="1"/>
  <c r="P17" i="28"/>
  <c r="P19" i="28" s="1"/>
  <c r="P31" i="28" s="1"/>
  <c r="K18" i="58"/>
  <c r="F19" i="58"/>
  <c r="N18" i="51"/>
  <c r="N20" i="51" s="1"/>
  <c r="W16" i="51"/>
  <c r="W18" i="51" s="1"/>
  <c r="W20" i="51" s="1"/>
  <c r="AA67" i="37"/>
  <c r="AN66" i="37"/>
  <c r="Q29" i="32"/>
  <c r="Q36" i="32"/>
  <c r="R15" i="32"/>
  <c r="Q22" i="32"/>
  <c r="H23" i="11"/>
  <c r="H26" i="62" s="1"/>
  <c r="J78" i="37"/>
  <c r="O16" i="51"/>
  <c r="O18" i="51" s="1"/>
  <c r="O20" i="51" s="1"/>
  <c r="M9" i="11" s="1"/>
  <c r="O17" i="28"/>
  <c r="O19" i="28" s="1"/>
  <c r="O12" i="28"/>
  <c r="O15" i="46" s="1"/>
  <c r="M44" i="37"/>
  <c r="P23" i="78"/>
  <c r="P35" i="78" s="1"/>
  <c r="P20" i="78"/>
  <c r="P32" i="78" s="1"/>
  <c r="P21" i="78"/>
  <c r="P33" i="78" s="1"/>
  <c r="P25" i="78"/>
  <c r="P37" i="78" s="1"/>
  <c r="AE24" i="29"/>
  <c r="AE25" i="29" s="1"/>
  <c r="AE40" i="29"/>
  <c r="L12" i="62"/>
  <c r="U12" i="62" s="1"/>
  <c r="N29" i="51"/>
  <c r="N36" i="37"/>
  <c r="N23" i="28"/>
  <c r="N35" i="28" s="1"/>
  <c r="N21" i="28"/>
  <c r="N33" i="28" s="1"/>
  <c r="N20" i="28"/>
  <c r="N32" i="28" s="1"/>
  <c r="N22" i="28"/>
  <c r="N34" i="28" s="1"/>
  <c r="N24" i="28"/>
  <c r="N36" i="28" s="1"/>
  <c r="N25" i="28"/>
  <c r="N37" i="28" s="1"/>
  <c r="N58" i="37"/>
  <c r="N53" i="37"/>
  <c r="N50" i="37"/>
  <c r="N52" i="37" s="1"/>
  <c r="N55" i="37"/>
  <c r="N56" i="37"/>
  <c r="N16" i="46"/>
  <c r="N102" i="46" s="1"/>
  <c r="W30" i="51"/>
  <c r="W24" i="51"/>
  <c r="W26" i="51" s="1"/>
  <c r="K54" i="46"/>
  <c r="K66" i="46" s="1"/>
  <c r="X7" i="57"/>
  <c r="W6" i="57"/>
  <c r="V46" i="57" s="1"/>
  <c r="V51" i="57" s="1"/>
  <c r="M41" i="37"/>
  <c r="M47" i="46"/>
  <c r="R7" i="11"/>
  <c r="O53" i="40" s="1"/>
  <c r="N53" i="40"/>
  <c r="AD29" i="29"/>
  <c r="AF15" i="11" s="1"/>
  <c r="M15" i="63" s="1"/>
  <c r="Q21" i="32"/>
  <c r="Q28" i="32"/>
  <c r="Q35" i="32"/>
  <c r="R14" i="32"/>
  <c r="O22" i="78"/>
  <c r="O34" i="78" s="1"/>
  <c r="O41" i="28"/>
  <c r="O49" i="37"/>
  <c r="O23" i="78"/>
  <c r="O35" i="78" s="1"/>
  <c r="O30" i="51"/>
  <c r="O16" i="46" s="1"/>
  <c r="O102" i="46" s="1"/>
  <c r="O24" i="78"/>
  <c r="O36" i="78" s="1"/>
  <c r="O20" i="78"/>
  <c r="O32" i="78" s="1"/>
  <c r="O21" i="78"/>
  <c r="O33" i="78" s="1"/>
  <c r="O25" i="78"/>
  <c r="O37" i="78" s="1"/>
  <c r="N44" i="46"/>
  <c r="N56" i="46" s="1"/>
  <c r="N45" i="46"/>
  <c r="N42" i="46"/>
  <c r="N53" i="46" s="1"/>
  <c r="N46" i="46"/>
  <c r="N58" i="46" s="1"/>
  <c r="N70" i="46" s="1"/>
  <c r="I72" i="37"/>
  <c r="I75" i="37"/>
  <c r="AA70" i="37"/>
  <c r="AN70" i="37" s="1"/>
  <c r="AN68" i="37"/>
  <c r="K95" i="46"/>
  <c r="K55" i="51" s="1"/>
  <c r="V55" i="51" s="1"/>
  <c r="K69" i="46"/>
  <c r="P63" i="46"/>
  <c r="P89" i="46"/>
  <c r="P49" i="51" s="1"/>
  <c r="L31" i="57"/>
  <c r="L34" i="57" s="1"/>
  <c r="L37" i="57" s="1"/>
  <c r="N31" i="53"/>
  <c r="N34" i="53" s="1"/>
  <c r="N37" i="53" s="1"/>
  <c r="AK19" i="28"/>
  <c r="H47" i="35"/>
  <c r="K20" i="37"/>
  <c r="K75" i="37"/>
  <c r="AD66" i="37"/>
  <c r="AD68" i="37"/>
  <c r="AD71" i="37"/>
  <c r="AQ71" i="37" s="1"/>
  <c r="AD69" i="37"/>
  <c r="AQ69" i="37" s="1"/>
  <c r="AA42" i="34"/>
  <c r="W40" i="34" s="1"/>
  <c r="Q21" i="34" s="1"/>
  <c r="O43" i="34"/>
  <c r="O45" i="34"/>
  <c r="O42" i="35" s="1"/>
  <c r="AL21" i="78" s="1"/>
  <c r="O47" i="34"/>
  <c r="O44" i="35" s="1"/>
  <c r="AL23" i="78" s="1"/>
  <c r="O49" i="34"/>
  <c r="O46" i="35" s="1"/>
  <c r="AL25" i="78" s="1"/>
  <c r="O44" i="34"/>
  <c r="O41" i="35" s="1"/>
  <c r="AL20" i="78" s="1"/>
  <c r="O46" i="34"/>
  <c r="O43" i="35" s="1"/>
  <c r="AL22" i="78" s="1"/>
  <c r="O48" i="34"/>
  <c r="O45" i="35" s="1"/>
  <c r="AL24" i="78" s="1"/>
  <c r="N50" i="34"/>
  <c r="N40" i="35"/>
  <c r="N20" i="53"/>
  <c r="N20" i="57"/>
  <c r="L47" i="40"/>
  <c r="L50" i="40" s="1"/>
  <c r="K11" i="66"/>
  <c r="J10" i="79"/>
  <c r="I13" i="87" s="1"/>
  <c r="I22" i="87"/>
  <c r="AD27" i="46"/>
  <c r="AD84" i="46" s="1"/>
  <c r="AD103" i="46"/>
  <c r="AD26" i="46"/>
  <c r="AD83" i="46" s="1"/>
  <c r="AD28" i="46"/>
  <c r="AD85" i="46" s="1"/>
  <c r="F47" i="35"/>
  <c r="AI19" i="28"/>
  <c r="M54" i="37"/>
  <c r="M59" i="37" s="1"/>
  <c r="T23" i="13"/>
  <c r="I70" i="46"/>
  <c r="I96" i="46"/>
  <c r="I56" i="51" s="1"/>
  <c r="L96" i="46"/>
  <c r="L56" i="51" s="1"/>
  <c r="L70" i="46"/>
  <c r="B108" i="5"/>
  <c r="B109" i="5" s="1"/>
  <c r="B110" i="5" s="1"/>
  <c r="B111" i="5" s="1"/>
  <c r="B112" i="5" s="1"/>
  <c r="B113" i="5" s="1"/>
  <c r="B114" i="5" s="1"/>
  <c r="C107" i="5"/>
  <c r="J19" i="77"/>
  <c r="I19" i="77"/>
  <c r="L19" i="77"/>
  <c r="K19" i="77"/>
  <c r="M19" i="77"/>
  <c r="N19" i="77"/>
  <c r="O19" i="77"/>
  <c r="Q33" i="11"/>
  <c r="S41" i="95"/>
  <c r="S36" i="97"/>
  <c r="S41" i="97" s="1"/>
  <c r="J36" i="62"/>
  <c r="J34" i="62"/>
  <c r="J43" i="62"/>
  <c r="J28" i="62"/>
  <c r="J38" i="62"/>
  <c r="N11" i="46"/>
  <c r="N14" i="37"/>
  <c r="N16" i="37"/>
  <c r="N11" i="37"/>
  <c r="N13" i="37" s="1"/>
  <c r="N17" i="37"/>
  <c r="N19" i="37"/>
  <c r="P12" i="77"/>
  <c r="P13" i="51"/>
  <c r="N48" i="51"/>
  <c r="O31" i="37"/>
  <c r="AI19" i="78"/>
  <c r="L47" i="35"/>
  <c r="AJ19" i="28"/>
  <c r="G47" i="35"/>
  <c r="K39" i="46"/>
  <c r="K52" i="46"/>
  <c r="G34" i="53"/>
  <c r="G37" i="53" s="1"/>
  <c r="M11" i="62"/>
  <c r="O10" i="37"/>
  <c r="O42" i="26"/>
  <c r="O43" i="26" s="1"/>
  <c r="O44" i="26" s="1"/>
  <c r="O44" i="51" s="1"/>
  <c r="O19" i="26"/>
  <c r="O20" i="26"/>
  <c r="O32" i="26" s="1"/>
  <c r="O21" i="26"/>
  <c r="O33" i="26" s="1"/>
  <c r="O22" i="26"/>
  <c r="O34" i="26" s="1"/>
  <c r="O23" i="26"/>
  <c r="O35" i="26" s="1"/>
  <c r="O24" i="26"/>
  <c r="O36" i="26" s="1"/>
  <c r="O25" i="26"/>
  <c r="O37" i="26" s="1"/>
  <c r="O24" i="51"/>
  <c r="Q41" i="26"/>
  <c r="AL19" i="77"/>
  <c r="O33" i="35"/>
  <c r="M41" i="57"/>
  <c r="M42" i="57" s="1"/>
  <c r="M24" i="57" s="1"/>
  <c r="N11" i="57"/>
  <c r="E21" i="58"/>
  <c r="R9" i="38"/>
  <c r="Q14" i="38"/>
  <c r="O31" i="11" s="1"/>
  <c r="U54" i="46"/>
  <c r="O49" i="53"/>
  <c r="O10" i="53" s="1"/>
  <c r="J54" i="46"/>
  <c r="J55" i="46"/>
  <c r="K56" i="46"/>
  <c r="U55" i="46"/>
  <c r="U56" i="46"/>
  <c r="J53" i="46"/>
  <c r="I54" i="46"/>
  <c r="I57" i="46"/>
  <c r="J57" i="46"/>
  <c r="M56" i="46"/>
  <c r="N57" i="46"/>
  <c r="P12" i="46"/>
  <c r="O34" i="46"/>
  <c r="O54" i="46" s="1"/>
  <c r="O36" i="46"/>
  <c r="O38" i="46"/>
  <c r="O35" i="46"/>
  <c r="O55" i="46" s="1"/>
  <c r="O37" i="46"/>
  <c r="Q17" i="46"/>
  <c r="P43" i="46"/>
  <c r="M18" i="37"/>
  <c r="M77" i="37"/>
  <c r="M13" i="37"/>
  <c r="C55" i="1"/>
  <c r="P56" i="1"/>
  <c r="N31" i="37"/>
  <c r="N26" i="37"/>
  <c r="I28" i="62"/>
  <c r="T25" i="11"/>
  <c r="T28" i="62" s="1"/>
  <c r="Q6" i="53"/>
  <c r="Q12" i="53" s="1"/>
  <c r="R7" i="53"/>
  <c r="R6" i="53" s="1"/>
  <c r="N46" i="40"/>
  <c r="B21" i="58"/>
  <c r="D22" i="58"/>
  <c r="B22" i="58" s="1"/>
  <c r="L29" i="46"/>
  <c r="L80" i="46"/>
  <c r="L39" i="46"/>
  <c r="L52" i="46"/>
  <c r="Q11" i="51"/>
  <c r="R26" i="32"/>
  <c r="R33" i="32"/>
  <c r="R10" i="77" s="1"/>
  <c r="S12" i="32"/>
  <c r="R19" i="32"/>
  <c r="I36" i="62"/>
  <c r="I34" i="62"/>
  <c r="I43" i="62"/>
  <c r="I38" i="62"/>
  <c r="U22" i="12"/>
  <c r="M22" i="12"/>
  <c r="AC70" i="37"/>
  <c r="AP70" i="37" s="1"/>
  <c r="AP68" i="37"/>
  <c r="P11" i="53"/>
  <c r="O41" i="53"/>
  <c r="O42" i="53" s="1"/>
  <c r="O24" i="53" s="1"/>
  <c r="R27" i="32"/>
  <c r="R34" i="32"/>
  <c r="R11" i="77" s="1"/>
  <c r="R17" i="77" s="1"/>
  <c r="S13" i="32"/>
  <c r="R20" i="32"/>
  <c r="M14" i="57"/>
  <c r="M30" i="57" s="1"/>
  <c r="P24" i="37"/>
  <c r="P26" i="37" s="1"/>
  <c r="P30" i="37"/>
  <c r="P32" i="37"/>
  <c r="P27" i="37"/>
  <c r="P29" i="37"/>
  <c r="N11" i="62"/>
  <c r="N16" i="62" s="1"/>
  <c r="P10" i="37"/>
  <c r="P19" i="26"/>
  <c r="P20" i="26"/>
  <c r="P32" i="26" s="1"/>
  <c r="P21" i="26"/>
  <c r="P33" i="26" s="1"/>
  <c r="P22" i="26"/>
  <c r="P34" i="26" s="1"/>
  <c r="P23" i="26"/>
  <c r="P35" i="26" s="1"/>
  <c r="P24" i="26"/>
  <c r="P36" i="26" s="1"/>
  <c r="P25" i="26"/>
  <c r="P37" i="26" s="1"/>
  <c r="P24" i="51"/>
  <c r="P26" i="51" s="1"/>
  <c r="P42" i="26"/>
  <c r="P43" i="26" s="1"/>
  <c r="P44" i="26" s="1"/>
  <c r="P44" i="51" s="1"/>
  <c r="I24" i="11"/>
  <c r="J19" i="28"/>
  <c r="I19" i="28"/>
  <c r="K19" i="28"/>
  <c r="L19" i="28"/>
  <c r="M19" i="28"/>
  <c r="N19" i="28"/>
  <c r="J23" i="13"/>
  <c r="K18" i="12"/>
  <c r="M66" i="46"/>
  <c r="M92" i="46"/>
  <c r="M52" i="51" s="1"/>
  <c r="M11" i="46"/>
  <c r="M41" i="51"/>
  <c r="G26" i="26"/>
  <c r="I19" i="26"/>
  <c r="J19" i="26"/>
  <c r="K19" i="26"/>
  <c r="L19" i="26"/>
  <c r="M19" i="26"/>
  <c r="AK19" i="26"/>
  <c r="H33" i="35"/>
  <c r="AI19" i="26"/>
  <c r="F33" i="35"/>
  <c r="AO66" i="37"/>
  <c r="AB67" i="37"/>
  <c r="N19" i="26"/>
  <c r="Q12" i="26"/>
  <c r="Q10" i="46" s="1"/>
  <c r="Q51" i="46" s="1"/>
  <c r="Q17" i="26"/>
  <c r="O62" i="46"/>
  <c r="P50" i="46"/>
  <c r="O88" i="46"/>
  <c r="K29" i="46"/>
  <c r="K80" i="46"/>
  <c r="O89" i="46"/>
  <c r="O49" i="51" s="1"/>
  <c r="O63" i="46"/>
  <c r="M47" i="35"/>
  <c r="AJ19" i="78"/>
  <c r="I50" i="34"/>
  <c r="I40" i="35"/>
  <c r="H22" i="58"/>
  <c r="J23" i="58"/>
  <c r="J90" i="46"/>
  <c r="M20" i="58"/>
  <c r="R20" i="58" s="1"/>
  <c r="P20" i="58" s="1"/>
  <c r="K19" i="58" s="1"/>
  <c r="O21" i="58"/>
  <c r="Q48" i="53" s="1"/>
  <c r="T20" i="58"/>
  <c r="I93" i="46"/>
  <c r="I53" i="51" s="1"/>
  <c r="I67" i="46"/>
  <c r="L68" i="46"/>
  <c r="J94" i="46"/>
  <c r="J54" i="51" s="1"/>
  <c r="U52" i="46"/>
  <c r="I52" i="46"/>
  <c r="K55" i="46"/>
  <c r="L53" i="46"/>
  <c r="L55" i="46"/>
  <c r="I53" i="46"/>
  <c r="L54" i="46"/>
  <c r="U57" i="46"/>
  <c r="M31" i="53"/>
  <c r="M34" i="53" s="1"/>
  <c r="M37" i="53" s="1"/>
  <c r="N54" i="46"/>
  <c r="N55" i="46"/>
  <c r="N33" i="35"/>
  <c r="AK19" i="77"/>
  <c r="AI19" i="77"/>
  <c r="L33" i="35"/>
  <c r="AO68" i="37"/>
  <c r="AB70" i="37"/>
  <c r="AO70" i="37" s="1"/>
  <c r="K31" i="57"/>
  <c r="K34" i="57" s="1"/>
  <c r="K37" i="57" s="1"/>
  <c r="C35" i="83"/>
  <c r="C34" i="85"/>
  <c r="B3" i="38"/>
  <c r="M49" i="40"/>
  <c r="M67" i="40"/>
  <c r="AG13" i="62"/>
  <c r="AE19" i="46"/>
  <c r="AE62" i="37"/>
  <c r="AE41" i="29"/>
  <c r="AE27" i="29"/>
  <c r="K19" i="78"/>
  <c r="J19" i="78"/>
  <c r="L19" i="78"/>
  <c r="I19" i="78"/>
  <c r="M19" i="78"/>
  <c r="N19" i="78"/>
  <c r="O19" i="78"/>
  <c r="AC67" i="37"/>
  <c r="AP66" i="37"/>
  <c r="Q12" i="51"/>
  <c r="X12" i="51" s="1"/>
  <c r="AL19" i="26"/>
  <c r="I33" i="35"/>
  <c r="AJ19" i="26"/>
  <c r="G33" i="35"/>
  <c r="L11" i="13"/>
  <c r="M35" i="11"/>
  <c r="U35" i="11"/>
  <c r="AJ19" i="77"/>
  <c r="M33" i="35"/>
  <c r="P19" i="77"/>
  <c r="M57" i="46"/>
  <c r="I94" i="46" l="1"/>
  <c r="I54" i="51" s="1"/>
  <c r="L95" i="46"/>
  <c r="L55" i="51" s="1"/>
  <c r="P41" i="28"/>
  <c r="P42" i="28" s="1"/>
  <c r="P43" i="28" s="1"/>
  <c r="P44" i="28" s="1"/>
  <c r="P45" i="51" s="1"/>
  <c r="P22" i="78"/>
  <c r="P34" i="78" s="1"/>
  <c r="P30" i="51"/>
  <c r="P16" i="46" s="1"/>
  <c r="P102" i="46" s="1"/>
  <c r="U33" i="57"/>
  <c r="P15" i="63"/>
  <c r="Q30" i="32"/>
  <c r="P19" i="78"/>
  <c r="S15" i="63"/>
  <c r="P49" i="37"/>
  <c r="Q12" i="77"/>
  <c r="J96" i="46"/>
  <c r="J56" i="51" s="1"/>
  <c r="K96" i="46"/>
  <c r="K56" i="51" s="1"/>
  <c r="V56" i="51" s="1"/>
  <c r="R12" i="53"/>
  <c r="T12" i="53" s="1"/>
  <c r="M67" i="46"/>
  <c r="M96" i="46"/>
  <c r="M56" i="51" s="1"/>
  <c r="O28" i="37"/>
  <c r="O33" i="37" s="1"/>
  <c r="M9" i="62"/>
  <c r="Q21" i="77"/>
  <c r="Q23" i="37"/>
  <c r="Q29" i="37" s="1"/>
  <c r="K91" i="46"/>
  <c r="K51" i="51" s="1"/>
  <c r="V51" i="51" s="1"/>
  <c r="P46" i="53"/>
  <c r="Q37" i="32"/>
  <c r="I10" i="83"/>
  <c r="B23" i="1"/>
  <c r="A3" i="82" s="1"/>
  <c r="O2" i="82" s="1"/>
  <c r="I24" i="1"/>
  <c r="R16" i="32"/>
  <c r="Q25" i="77"/>
  <c r="Q37" i="77" s="1"/>
  <c r="Q23" i="32"/>
  <c r="Q22" i="77"/>
  <c r="Q34" i="77" s="1"/>
  <c r="R11" i="26"/>
  <c r="Q25" i="51"/>
  <c r="X25" i="51" s="1"/>
  <c r="Q23" i="77"/>
  <c r="Q35" i="77" s="1"/>
  <c r="Q19" i="77"/>
  <c r="Q31" i="77" s="1"/>
  <c r="N54" i="37"/>
  <c r="L46" i="37"/>
  <c r="Q24" i="77"/>
  <c r="Q36" i="77" s="1"/>
  <c r="K92" i="46"/>
  <c r="K52" i="51" s="1"/>
  <c r="V52" i="51" s="1"/>
  <c r="O42" i="28"/>
  <c r="AF18" i="62"/>
  <c r="AC18" i="62"/>
  <c r="L75" i="37"/>
  <c r="J23" i="11" s="1"/>
  <c r="P20" i="51"/>
  <c r="N9" i="62" s="1"/>
  <c r="K74" i="46"/>
  <c r="M76" i="37"/>
  <c r="K24" i="11" s="1"/>
  <c r="N96" i="46"/>
  <c r="N56" i="51" s="1"/>
  <c r="W56" i="51" s="1"/>
  <c r="N47" i="46"/>
  <c r="M46" i="37"/>
  <c r="J59" i="46"/>
  <c r="O43" i="28"/>
  <c r="O44" i="28" s="1"/>
  <c r="O45" i="51" s="1"/>
  <c r="M74" i="46"/>
  <c r="O56" i="37"/>
  <c r="O53" i="37"/>
  <c r="O58" i="37"/>
  <c r="O55" i="37"/>
  <c r="O50" i="37"/>
  <c r="O52" i="37" s="1"/>
  <c r="R21" i="32"/>
  <c r="R28" i="32"/>
  <c r="R30" i="32" s="1"/>
  <c r="R35" i="32"/>
  <c r="S14" i="32"/>
  <c r="N31" i="51"/>
  <c r="N41" i="51" s="1"/>
  <c r="L10" i="11" s="1"/>
  <c r="W29" i="51"/>
  <c r="W31" i="51" s="1"/>
  <c r="W41" i="51" s="1"/>
  <c r="R29" i="32"/>
  <c r="R36" i="32"/>
  <c r="R11" i="78" s="1"/>
  <c r="R17" i="78" s="1"/>
  <c r="S15" i="32"/>
  <c r="R22" i="32"/>
  <c r="AA72" i="37"/>
  <c r="AN72" i="37" s="1"/>
  <c r="AN67" i="37"/>
  <c r="AE29" i="29"/>
  <c r="AG15" i="11" s="1"/>
  <c r="AG18" i="62" s="1"/>
  <c r="P31" i="37"/>
  <c r="P28" i="37"/>
  <c r="R12" i="77"/>
  <c r="N15" i="37"/>
  <c r="Q10" i="28"/>
  <c r="Q10" i="78"/>
  <c r="N57" i="37"/>
  <c r="P56" i="37"/>
  <c r="P58" i="37"/>
  <c r="P53" i="37"/>
  <c r="P50" i="37"/>
  <c r="P52" i="37" s="1"/>
  <c r="P55" i="37"/>
  <c r="P57" i="37" s="1"/>
  <c r="Q11" i="28"/>
  <c r="Q17" i="51" s="1"/>
  <c r="X17" i="51" s="1"/>
  <c r="Q11" i="78"/>
  <c r="Q17" i="78" s="1"/>
  <c r="U9" i="11"/>
  <c r="U9" i="62"/>
  <c r="N12" i="62"/>
  <c r="P22" i="28"/>
  <c r="P34" i="28" s="1"/>
  <c r="P36" i="37"/>
  <c r="P23" i="28"/>
  <c r="P35" i="28" s="1"/>
  <c r="P29" i="51"/>
  <c r="P31" i="51" s="1"/>
  <c r="P41" i="51" s="1"/>
  <c r="P21" i="28"/>
  <c r="P33" i="28" s="1"/>
  <c r="P25" i="28"/>
  <c r="P37" i="28" s="1"/>
  <c r="P20" i="28"/>
  <c r="P24" i="28"/>
  <c r="P36" i="28" s="1"/>
  <c r="X6" i="57"/>
  <c r="Y7" i="57"/>
  <c r="O44" i="46"/>
  <c r="O56" i="46" s="1"/>
  <c r="O45" i="46"/>
  <c r="O57" i="46" s="1"/>
  <c r="O46" i="46"/>
  <c r="O58" i="46" s="1"/>
  <c r="O42" i="46"/>
  <c r="L9" i="62"/>
  <c r="L9" i="11"/>
  <c r="W12" i="57"/>
  <c r="X12" i="57" s="1"/>
  <c r="P45" i="46"/>
  <c r="P46" i="46"/>
  <c r="P42" i="46"/>
  <c r="P44" i="46"/>
  <c r="G23" i="11"/>
  <c r="G26" i="62" s="1"/>
  <c r="I78" i="37"/>
  <c r="V25" i="57"/>
  <c r="V33" i="57"/>
  <c r="N40" i="37"/>
  <c r="N45" i="37"/>
  <c r="N77" i="37" s="1"/>
  <c r="L25" i="11" s="1"/>
  <c r="N42" i="37"/>
  <c r="N37" i="37"/>
  <c r="N39" i="37" s="1"/>
  <c r="N43" i="37"/>
  <c r="O21" i="28"/>
  <c r="O33" i="28" s="1"/>
  <c r="O25" i="28"/>
  <c r="O37" i="28" s="1"/>
  <c r="M12" i="62"/>
  <c r="O22" i="28"/>
  <c r="O34" i="28" s="1"/>
  <c r="O29" i="51"/>
  <c r="O31" i="51" s="1"/>
  <c r="O36" i="37"/>
  <c r="O23" i="28"/>
  <c r="O35" i="28" s="1"/>
  <c r="O20" i="28"/>
  <c r="O32" i="28" s="1"/>
  <c r="O24" i="28"/>
  <c r="O36" i="28" s="1"/>
  <c r="H3" i="34"/>
  <c r="AH3" i="5"/>
  <c r="I2" i="5" s="1"/>
  <c r="U11" i="13"/>
  <c r="O31" i="78"/>
  <c r="O38" i="78" s="1"/>
  <c r="O26" i="78"/>
  <c r="L26" i="78"/>
  <c r="L31" i="78"/>
  <c r="L38" i="78" s="1"/>
  <c r="N67" i="46"/>
  <c r="N93" i="46"/>
  <c r="N53" i="51" s="1"/>
  <c r="W53" i="51" s="1"/>
  <c r="M95" i="46"/>
  <c r="M55" i="51" s="1"/>
  <c r="M69" i="46"/>
  <c r="M11" i="13"/>
  <c r="N35" i="11"/>
  <c r="R23" i="37"/>
  <c r="R41" i="26"/>
  <c r="R25" i="51"/>
  <c r="R19" i="77"/>
  <c r="R20" i="77"/>
  <c r="R32" i="77" s="1"/>
  <c r="R21" i="77"/>
  <c r="R33" i="77" s="1"/>
  <c r="R22" i="77"/>
  <c r="R34" i="77" s="1"/>
  <c r="R23" i="77"/>
  <c r="R35" i="77" s="1"/>
  <c r="R24" i="77"/>
  <c r="R36" i="77" s="1"/>
  <c r="R25" i="77"/>
  <c r="R37" i="77" s="1"/>
  <c r="O31" i="53"/>
  <c r="AP67" i="37"/>
  <c r="AC72" i="37"/>
  <c r="AP72" i="37" s="1"/>
  <c r="P31" i="78"/>
  <c r="P38" i="78" s="1"/>
  <c r="N26" i="78"/>
  <c r="N31" i="78"/>
  <c r="N38" i="78" s="1"/>
  <c r="I31" i="78"/>
  <c r="I26" i="78"/>
  <c r="J26" i="78"/>
  <c r="J31" i="78"/>
  <c r="J38" i="78" s="1"/>
  <c r="AE26" i="46"/>
  <c r="AE83" i="46" s="1"/>
  <c r="AE28" i="46"/>
  <c r="AE85" i="46" s="1"/>
  <c r="AE27" i="46"/>
  <c r="AE84" i="46" s="1"/>
  <c r="AE103" i="46"/>
  <c r="N92" i="46"/>
  <c r="N52" i="51" s="1"/>
  <c r="W52" i="51" s="1"/>
  <c r="N66" i="46"/>
  <c r="N74" i="46" s="1"/>
  <c r="L92" i="46"/>
  <c r="L52" i="51" s="1"/>
  <c r="L66" i="46"/>
  <c r="L74" i="46" s="1"/>
  <c r="L67" i="46"/>
  <c r="L93" i="46"/>
  <c r="L53" i="51" s="1"/>
  <c r="L65" i="46"/>
  <c r="L91" i="46"/>
  <c r="L51" i="51" s="1"/>
  <c r="I64" i="46"/>
  <c r="I90" i="46"/>
  <c r="I59" i="46"/>
  <c r="H23" i="58"/>
  <c r="J24" i="58"/>
  <c r="Q50" i="46"/>
  <c r="P88" i="46"/>
  <c r="P62" i="46"/>
  <c r="Q89" i="46"/>
  <c r="Q49" i="51" s="1"/>
  <c r="X49" i="51" s="1"/>
  <c r="Q63" i="46"/>
  <c r="AO67" i="37"/>
  <c r="AB72" i="37"/>
  <c r="AO72" i="37" s="1"/>
  <c r="M31" i="26"/>
  <c r="M38" i="26" s="1"/>
  <c r="M26" i="26"/>
  <c r="K31" i="26"/>
  <c r="K38" i="26" s="1"/>
  <c r="K26" i="26"/>
  <c r="I31" i="26"/>
  <c r="I26" i="26"/>
  <c r="K10" i="62"/>
  <c r="K10" i="11"/>
  <c r="K23" i="13"/>
  <c r="K26" i="13" s="1"/>
  <c r="L18" i="12"/>
  <c r="O31" i="28"/>
  <c r="M26" i="28"/>
  <c r="M31" i="28"/>
  <c r="M38" i="28" s="1"/>
  <c r="K26" i="28"/>
  <c r="K31" i="28"/>
  <c r="K38" i="28" s="1"/>
  <c r="J31" i="28"/>
  <c r="J38" i="28" s="1"/>
  <c r="H14" i="11" s="1"/>
  <c r="H17" i="62" s="1"/>
  <c r="J26" i="28"/>
  <c r="P26" i="26"/>
  <c r="P31" i="26"/>
  <c r="P38" i="26" s="1"/>
  <c r="T13" i="32"/>
  <c r="S20" i="32"/>
  <c r="S27" i="32"/>
  <c r="S34" i="32"/>
  <c r="S11" i="26" s="1"/>
  <c r="T12" i="32"/>
  <c r="S19" i="32"/>
  <c r="S26" i="32"/>
  <c r="S33" i="32"/>
  <c r="S10" i="26" s="1"/>
  <c r="Q13" i="51"/>
  <c r="X11" i="51"/>
  <c r="X13" i="51" s="1"/>
  <c r="L90" i="46"/>
  <c r="L64" i="46"/>
  <c r="L59" i="46"/>
  <c r="R46" i="53"/>
  <c r="T6" i="53"/>
  <c r="N28" i="37"/>
  <c r="N33" i="37" s="1"/>
  <c r="C56" i="1"/>
  <c r="P57" i="1"/>
  <c r="C57" i="1" s="1"/>
  <c r="O66" i="46"/>
  <c r="O92" i="46"/>
  <c r="O52" i="51" s="1"/>
  <c r="N69" i="46"/>
  <c r="N95" i="46"/>
  <c r="N55" i="51" s="1"/>
  <c r="W55" i="51" s="1"/>
  <c r="M68" i="46"/>
  <c r="M94" i="46"/>
  <c r="M54" i="51" s="1"/>
  <c r="I95" i="46"/>
  <c r="I55" i="51" s="1"/>
  <c r="I69" i="46"/>
  <c r="J65" i="46"/>
  <c r="J91" i="46"/>
  <c r="J51" i="51" s="1"/>
  <c r="J67" i="46"/>
  <c r="J93" i="46"/>
  <c r="J53" i="51" s="1"/>
  <c r="O14" i="53"/>
  <c r="O30" i="53" s="1"/>
  <c r="R14" i="38"/>
  <c r="P31" i="11" s="1"/>
  <c r="S9" i="38"/>
  <c r="F20" i="58"/>
  <c r="Q32" i="77"/>
  <c r="Q27" i="37"/>
  <c r="Q30" i="37"/>
  <c r="Q32" i="37"/>
  <c r="O31" i="26"/>
  <c r="O38" i="26" s="1"/>
  <c r="O26" i="26"/>
  <c r="O11" i="37"/>
  <c r="O17" i="37"/>
  <c r="O19" i="37"/>
  <c r="O14" i="37"/>
  <c r="O16" i="37"/>
  <c r="W48" i="51"/>
  <c r="N18" i="37"/>
  <c r="N26" i="77"/>
  <c r="N31" i="77"/>
  <c r="N38" i="77" s="1"/>
  <c r="K31" i="77"/>
  <c r="K38" i="77" s="1"/>
  <c r="K26" i="77"/>
  <c r="I31" i="77"/>
  <c r="I26" i="77"/>
  <c r="O20" i="57"/>
  <c r="O20" i="53"/>
  <c r="M47" i="40"/>
  <c r="M50" i="40" s="1"/>
  <c r="AQ66" i="37"/>
  <c r="AD67" i="37"/>
  <c r="I23" i="11"/>
  <c r="K78" i="37"/>
  <c r="P26" i="77"/>
  <c r="P31" i="77"/>
  <c r="P38" i="77" s="1"/>
  <c r="M31" i="78"/>
  <c r="M38" i="78" s="1"/>
  <c r="M26" i="78"/>
  <c r="K31" i="78"/>
  <c r="K38" i="78" s="1"/>
  <c r="K26" i="78"/>
  <c r="AE66" i="37"/>
  <c r="AE68" i="37"/>
  <c r="AE69" i="37"/>
  <c r="AR69" i="37" s="1"/>
  <c r="AE71" i="37"/>
  <c r="AR71" i="37" s="1"/>
  <c r="I91" i="46"/>
  <c r="I51" i="51" s="1"/>
  <c r="I65" i="46"/>
  <c r="K93" i="46"/>
  <c r="K53" i="51" s="1"/>
  <c r="V53" i="51" s="1"/>
  <c r="K67" i="46"/>
  <c r="M21" i="58"/>
  <c r="R21" i="58" s="1"/>
  <c r="P21" i="58" s="1"/>
  <c r="O22" i="58"/>
  <c r="R48" i="53" s="1"/>
  <c r="T21" i="58"/>
  <c r="J50" i="51"/>
  <c r="AL19" i="28"/>
  <c r="I47" i="35"/>
  <c r="M31" i="57"/>
  <c r="M34" i="57" s="1"/>
  <c r="M37" i="57" s="1"/>
  <c r="O48" i="51"/>
  <c r="O11" i="62"/>
  <c r="O16" i="62" s="1"/>
  <c r="Q10" i="37"/>
  <c r="Q42" i="26"/>
  <c r="Q43" i="26" s="1"/>
  <c r="Q44" i="26" s="1"/>
  <c r="Q44" i="51" s="1"/>
  <c r="X44" i="51" s="1"/>
  <c r="Q19" i="26"/>
  <c r="Q20" i="26"/>
  <c r="Q32" i="26" s="1"/>
  <c r="Q21" i="26"/>
  <c r="Q33" i="26" s="1"/>
  <c r="Q22" i="26"/>
  <c r="Q34" i="26" s="1"/>
  <c r="Q23" i="26"/>
  <c r="Q35" i="26" s="1"/>
  <c r="Q24" i="26"/>
  <c r="Q36" i="26" s="1"/>
  <c r="Q25" i="26"/>
  <c r="Q24" i="51"/>
  <c r="N26" i="26"/>
  <c r="N31" i="26"/>
  <c r="N38" i="26" s="1"/>
  <c r="L26" i="26"/>
  <c r="L31" i="26"/>
  <c r="L38" i="26" s="1"/>
  <c r="J26" i="26"/>
  <c r="J31" i="26"/>
  <c r="J38" i="26" s="1"/>
  <c r="M23" i="46"/>
  <c r="M33" i="46"/>
  <c r="M101" i="46"/>
  <c r="J26" i="13"/>
  <c r="N31" i="28"/>
  <c r="N38" i="28" s="1"/>
  <c r="N26" i="28"/>
  <c r="L31" i="28"/>
  <c r="L38" i="28" s="1"/>
  <c r="L26" i="28"/>
  <c r="I26" i="28"/>
  <c r="I31" i="28"/>
  <c r="I27" i="62"/>
  <c r="T24" i="11"/>
  <c r="T27" i="62" s="1"/>
  <c r="P11" i="46"/>
  <c r="P14" i="37"/>
  <c r="P16" i="37"/>
  <c r="P11" i="37"/>
  <c r="P13" i="37" s="1"/>
  <c r="P17" i="37"/>
  <c r="P19" i="37"/>
  <c r="R12" i="51"/>
  <c r="P41" i="53"/>
  <c r="Q11" i="53"/>
  <c r="N22" i="12"/>
  <c r="S10" i="77"/>
  <c r="R11" i="51"/>
  <c r="R10" i="26"/>
  <c r="N49" i="40"/>
  <c r="N67" i="40"/>
  <c r="Q46" i="53"/>
  <c r="C35" i="85"/>
  <c r="C36" i="83"/>
  <c r="B3" i="40"/>
  <c r="M15" i="37"/>
  <c r="K25" i="11"/>
  <c r="R17" i="46"/>
  <c r="Q43" i="46"/>
  <c r="O93" i="46"/>
  <c r="O53" i="51" s="1"/>
  <c r="O67" i="46"/>
  <c r="Q12" i="46"/>
  <c r="P35" i="46"/>
  <c r="P55" i="46" s="1"/>
  <c r="P37" i="46"/>
  <c r="P34" i="46"/>
  <c r="P54" i="46" s="1"/>
  <c r="P36" i="46"/>
  <c r="P38" i="46"/>
  <c r="N94" i="46"/>
  <c r="N54" i="51" s="1"/>
  <c r="W54" i="51" s="1"/>
  <c r="N68" i="46"/>
  <c r="J69" i="46"/>
  <c r="J95" i="46"/>
  <c r="J55" i="51" s="1"/>
  <c r="I66" i="46"/>
  <c r="I92" i="46"/>
  <c r="I52" i="51" s="1"/>
  <c r="K68" i="46"/>
  <c r="K94" i="46"/>
  <c r="K54" i="51" s="1"/>
  <c r="V54" i="51" s="1"/>
  <c r="J92" i="46"/>
  <c r="J52" i="51" s="1"/>
  <c r="J66" i="46"/>
  <c r="J74" i="46" s="1"/>
  <c r="V31" i="11"/>
  <c r="E22" i="58"/>
  <c r="O11" i="57"/>
  <c r="N41" i="57"/>
  <c r="N42" i="57" s="1"/>
  <c r="N24" i="57" s="1"/>
  <c r="Q33" i="77"/>
  <c r="O26" i="51"/>
  <c r="M16" i="62"/>
  <c r="G38" i="53"/>
  <c r="K64" i="46"/>
  <c r="K90" i="46"/>
  <c r="K59" i="46"/>
  <c r="N33" i="46"/>
  <c r="N101" i="46"/>
  <c r="N23" i="46"/>
  <c r="R33" i="11"/>
  <c r="O31" i="77"/>
  <c r="O38" i="77" s="1"/>
  <c r="O26" i="77"/>
  <c r="M31" i="77"/>
  <c r="M38" i="77" s="1"/>
  <c r="M26" i="77"/>
  <c r="L26" i="77"/>
  <c r="L31" i="77"/>
  <c r="L38" i="77" s="1"/>
  <c r="J26" i="77"/>
  <c r="J31" i="77"/>
  <c r="J38" i="77" s="1"/>
  <c r="AK19" i="78"/>
  <c r="N47" i="35"/>
  <c r="O50" i="34"/>
  <c r="O40" i="35"/>
  <c r="AQ68" i="37"/>
  <c r="AD70" i="37"/>
  <c r="AQ70" i="37" s="1"/>
  <c r="P49" i="53"/>
  <c r="P10" i="53" s="1"/>
  <c r="P14" i="53" s="1"/>
  <c r="P30" i="53" s="1"/>
  <c r="P26" i="78" l="1"/>
  <c r="P56" i="46"/>
  <c r="P94" i="46" s="1"/>
  <c r="P54" i="51" s="1"/>
  <c r="S11" i="77"/>
  <c r="S17" i="77" s="1"/>
  <c r="N9" i="11"/>
  <c r="Q24" i="37"/>
  <c r="Q26" i="37" s="1"/>
  <c r="Q26" i="51"/>
  <c r="Q11" i="46" s="1"/>
  <c r="S16" i="32"/>
  <c r="I11" i="83"/>
  <c r="B24" i="1"/>
  <c r="A3" i="16" s="1"/>
  <c r="M2" i="16" s="1"/>
  <c r="I27" i="1"/>
  <c r="R23" i="32"/>
  <c r="N59" i="37"/>
  <c r="R11" i="28"/>
  <c r="R17" i="51" s="1"/>
  <c r="Q26" i="77"/>
  <c r="AQ26" i="77" s="1"/>
  <c r="R37" i="32"/>
  <c r="N20" i="37"/>
  <c r="P33" i="37"/>
  <c r="N15" i="63"/>
  <c r="L78" i="37"/>
  <c r="AH15" i="11"/>
  <c r="L14" i="11"/>
  <c r="L17" i="62" s="1"/>
  <c r="K27" i="62"/>
  <c r="L10" i="62"/>
  <c r="L38" i="62" s="1"/>
  <c r="P54" i="37"/>
  <c r="P59" i="37" s="1"/>
  <c r="O57" i="37"/>
  <c r="O26" i="28"/>
  <c r="P15" i="37"/>
  <c r="X24" i="51"/>
  <c r="X26" i="51" s="1"/>
  <c r="P57" i="46"/>
  <c r="P69" i="46" s="1"/>
  <c r="N44" i="37"/>
  <c r="N76" i="37" s="1"/>
  <c r="P58" i="46"/>
  <c r="P70" i="46" s="1"/>
  <c r="O38" i="28"/>
  <c r="M14" i="11" s="1"/>
  <c r="V11" i="62"/>
  <c r="V16" i="62" s="1"/>
  <c r="AP26" i="77"/>
  <c r="S12" i="77"/>
  <c r="L13" i="11"/>
  <c r="Q28" i="37"/>
  <c r="O70" i="46"/>
  <c r="O74" i="46" s="1"/>
  <c r="O96" i="46"/>
  <c r="O56" i="51" s="1"/>
  <c r="U10" i="11"/>
  <c r="U10" i="62"/>
  <c r="O69" i="46"/>
  <c r="O95" i="46"/>
  <c r="O55" i="51" s="1"/>
  <c r="O68" i="46"/>
  <c r="O94" i="46"/>
  <c r="O54" i="51" s="1"/>
  <c r="R13" i="51"/>
  <c r="J73" i="46"/>
  <c r="P53" i="46"/>
  <c r="P47" i="46"/>
  <c r="Z7" i="57"/>
  <c r="Y6" i="57"/>
  <c r="P32" i="28"/>
  <c r="P38" i="28" s="1"/>
  <c r="N14" i="11" s="1"/>
  <c r="N17" i="62" s="1"/>
  <c r="P26" i="28"/>
  <c r="Q49" i="37"/>
  <c r="Q22" i="78"/>
  <c r="Q34" i="78" s="1"/>
  <c r="Q41" i="28"/>
  <c r="Q19" i="78"/>
  <c r="Q23" i="78"/>
  <c r="Q35" i="78" s="1"/>
  <c r="Q30" i="51"/>
  <c r="Q20" i="78"/>
  <c r="Q32" i="78" s="1"/>
  <c r="Q24" i="78"/>
  <c r="Q36" i="78" s="1"/>
  <c r="Q21" i="78"/>
  <c r="Q33" i="78" s="1"/>
  <c r="Q25" i="78"/>
  <c r="Q37" i="78" s="1"/>
  <c r="S29" i="32"/>
  <c r="S36" i="32"/>
  <c r="T15" i="32"/>
  <c r="S22" i="32"/>
  <c r="Q38" i="77"/>
  <c r="AV38" i="77" s="1"/>
  <c r="N41" i="37"/>
  <c r="N75" i="37" s="1"/>
  <c r="L23" i="11" s="1"/>
  <c r="X46" i="57"/>
  <c r="X51" i="57" s="1"/>
  <c r="P37" i="37"/>
  <c r="P39" i="37" s="1"/>
  <c r="P43" i="37"/>
  <c r="P40" i="37"/>
  <c r="P45" i="37"/>
  <c r="P77" i="37" s="1"/>
  <c r="N25" i="11" s="1"/>
  <c r="P42" i="37"/>
  <c r="R19" i="78"/>
  <c r="R23" i="78"/>
  <c r="R35" i="78" s="1"/>
  <c r="R20" i="78"/>
  <c r="R32" i="78" s="1"/>
  <c r="R24" i="78"/>
  <c r="R36" i="78" s="1"/>
  <c r="R49" i="37"/>
  <c r="R21" i="78"/>
  <c r="R33" i="78" s="1"/>
  <c r="R25" i="78"/>
  <c r="R37" i="78" s="1"/>
  <c r="R30" i="51"/>
  <c r="R16" i="46" s="1"/>
  <c r="R102" i="46" s="1"/>
  <c r="R22" i="78"/>
  <c r="R34" i="78" s="1"/>
  <c r="R41" i="28"/>
  <c r="W46" i="57"/>
  <c r="W51" i="57" s="1"/>
  <c r="Q12" i="78"/>
  <c r="O43" i="37"/>
  <c r="O45" i="37"/>
  <c r="O77" i="37" s="1"/>
  <c r="O40" i="37"/>
  <c r="O37" i="37"/>
  <c r="O39" i="37" s="1"/>
  <c r="O42" i="37"/>
  <c r="O44" i="37" s="1"/>
  <c r="O47" i="46"/>
  <c r="O53" i="46"/>
  <c r="Q16" i="51"/>
  <c r="Q12" i="28"/>
  <c r="Q15" i="46" s="1"/>
  <c r="Q17" i="28"/>
  <c r="S35" i="32"/>
  <c r="S10" i="78" s="1"/>
  <c r="T14" i="32"/>
  <c r="S21" i="32"/>
  <c r="S28" i="32"/>
  <c r="O54" i="37"/>
  <c r="Y12" i="57"/>
  <c r="R10" i="28"/>
  <c r="R10" i="78"/>
  <c r="R12" i="78" s="1"/>
  <c r="S10" i="28"/>
  <c r="K20" i="58"/>
  <c r="Q49" i="53"/>
  <c r="Q10" i="53" s="1"/>
  <c r="Q14" i="53" s="1"/>
  <c r="Q30" i="53" s="1"/>
  <c r="F21" i="58"/>
  <c r="N31" i="57"/>
  <c r="K50" i="51"/>
  <c r="K97" i="46"/>
  <c r="G19" i="53"/>
  <c r="H36" i="53"/>
  <c r="H38" i="53" s="1"/>
  <c r="AU38" i="77"/>
  <c r="S33" i="11"/>
  <c r="AC33" i="11"/>
  <c r="N29" i="46"/>
  <c r="N80" i="46"/>
  <c r="N91" i="46" s="1"/>
  <c r="N51" i="51" s="1"/>
  <c r="W51" i="51" s="1"/>
  <c r="N39" i="46"/>
  <c r="N52" i="46"/>
  <c r="K73" i="46"/>
  <c r="K71" i="46"/>
  <c r="I22" i="11" s="1"/>
  <c r="O41" i="57"/>
  <c r="O42" i="57" s="1"/>
  <c r="O24" i="57" s="1"/>
  <c r="P11" i="57"/>
  <c r="P92" i="46"/>
  <c r="P52" i="51" s="1"/>
  <c r="P66" i="46"/>
  <c r="P67" i="46"/>
  <c r="P93" i="46"/>
  <c r="P53" i="51" s="1"/>
  <c r="R12" i="26"/>
  <c r="R10" i="46" s="1"/>
  <c r="R51" i="46" s="1"/>
  <c r="R17" i="26"/>
  <c r="S12" i="26"/>
  <c r="S10" i="46" s="1"/>
  <c r="S51" i="46" s="1"/>
  <c r="S17" i="26"/>
  <c r="O22" i="12"/>
  <c r="S23" i="37"/>
  <c r="S19" i="77"/>
  <c r="S20" i="77"/>
  <c r="S21" i="77"/>
  <c r="S22" i="77"/>
  <c r="S23" i="77"/>
  <c r="S24" i="77"/>
  <c r="S25" i="77"/>
  <c r="S41" i="26"/>
  <c r="S25" i="51"/>
  <c r="P33" i="46"/>
  <c r="P101" i="46"/>
  <c r="P23" i="46"/>
  <c r="I38" i="28"/>
  <c r="J14" i="11"/>
  <c r="AP38" i="28"/>
  <c r="M29" i="46"/>
  <c r="M80" i="46"/>
  <c r="M91" i="46" s="1"/>
  <c r="M51" i="51" s="1"/>
  <c r="M65" i="46"/>
  <c r="Q37" i="26"/>
  <c r="Q31" i="26"/>
  <c r="Q26" i="26"/>
  <c r="Q11" i="37"/>
  <c r="Q13" i="37" s="1"/>
  <c r="Q17" i="37"/>
  <c r="Q19" i="37"/>
  <c r="Q14" i="37"/>
  <c r="Q16" i="37"/>
  <c r="J97" i="46"/>
  <c r="M22" i="58"/>
  <c r="R22" i="58" s="1"/>
  <c r="P22" i="58" s="1"/>
  <c r="K21" i="58" s="1"/>
  <c r="O23" i="58"/>
  <c r="T22" i="58"/>
  <c r="N65" i="46"/>
  <c r="AR66" i="37"/>
  <c r="AE67" i="37"/>
  <c r="I26" i="62"/>
  <c r="T23" i="11"/>
  <c r="AD72" i="37"/>
  <c r="AQ72" i="37" s="1"/>
  <c r="AQ67" i="37"/>
  <c r="P20" i="57"/>
  <c r="P20" i="53"/>
  <c r="N47" i="40"/>
  <c r="N50" i="40" s="1"/>
  <c r="AO26" i="77"/>
  <c r="I38" i="77"/>
  <c r="AT38" i="77" s="1"/>
  <c r="O18" i="37"/>
  <c r="O13" i="37"/>
  <c r="M13" i="11"/>
  <c r="Q31" i="37"/>
  <c r="O34" i="53"/>
  <c r="O37" i="53" s="1"/>
  <c r="C36" i="85"/>
  <c r="C37" i="83"/>
  <c r="B3" i="58"/>
  <c r="T25" i="53"/>
  <c r="P18" i="65" s="1"/>
  <c r="L73" i="46"/>
  <c r="L71" i="46"/>
  <c r="J22" i="11" s="1"/>
  <c r="P42" i="53"/>
  <c r="P24" i="53" s="1"/>
  <c r="T27" i="32"/>
  <c r="T34" i="32"/>
  <c r="T11" i="77" s="1"/>
  <c r="T20" i="32"/>
  <c r="N13" i="11"/>
  <c r="I14" i="11"/>
  <c r="I17" i="62" s="1"/>
  <c r="K14" i="11"/>
  <c r="K17" i="62" s="1"/>
  <c r="L23" i="13"/>
  <c r="M18" i="12"/>
  <c r="U18" i="12"/>
  <c r="I13" i="11"/>
  <c r="K13" i="11"/>
  <c r="Q62" i="46"/>
  <c r="R50" i="46"/>
  <c r="Q88" i="46"/>
  <c r="H24" i="58"/>
  <c r="J25" i="58"/>
  <c r="I73" i="46"/>
  <c r="I71" i="46"/>
  <c r="G22" i="11" s="1"/>
  <c r="R26" i="77"/>
  <c r="R31" i="77"/>
  <c r="R38" i="77" s="1"/>
  <c r="O35" i="11"/>
  <c r="N11" i="13"/>
  <c r="O47" i="35"/>
  <c r="AL19" i="78"/>
  <c r="O11" i="46"/>
  <c r="O41" i="51"/>
  <c r="I74" i="46"/>
  <c r="P68" i="46"/>
  <c r="Q34" i="46"/>
  <c r="Q54" i="46" s="1"/>
  <c r="Q36" i="46"/>
  <c r="Q38" i="46"/>
  <c r="R12" i="46"/>
  <c r="Q35" i="46"/>
  <c r="Q55" i="46" s="1"/>
  <c r="Q37" i="46"/>
  <c r="R43" i="46"/>
  <c r="S17" i="46"/>
  <c r="K28" i="62"/>
  <c r="U25" i="11"/>
  <c r="M20" i="37"/>
  <c r="M75" i="37"/>
  <c r="R11" i="53"/>
  <c r="Q41" i="53"/>
  <c r="P18" i="37"/>
  <c r="N10" i="62"/>
  <c r="N10" i="11"/>
  <c r="M39" i="46"/>
  <c r="M52" i="46"/>
  <c r="H13" i="11"/>
  <c r="H16" i="11" s="1"/>
  <c r="J13" i="11"/>
  <c r="AP38" i="26"/>
  <c r="J57" i="51"/>
  <c r="AE70" i="37"/>
  <c r="AR70" i="37" s="1"/>
  <c r="AR68" i="37"/>
  <c r="J26" i="62"/>
  <c r="T9" i="38"/>
  <c r="S14" i="38"/>
  <c r="Q31" i="11" s="1"/>
  <c r="C37" i="85"/>
  <c r="C38" i="83"/>
  <c r="B3" i="74"/>
  <c r="L50" i="51"/>
  <c r="L57" i="51" s="1"/>
  <c r="L97" i="46"/>
  <c r="S11" i="51"/>
  <c r="T26" i="32"/>
  <c r="T33" i="32"/>
  <c r="T19" i="32"/>
  <c r="T11" i="26"/>
  <c r="AA11" i="26" s="1"/>
  <c r="S12" i="51"/>
  <c r="K36" i="62"/>
  <c r="K43" i="62"/>
  <c r="K34" i="62"/>
  <c r="K38" i="62"/>
  <c r="I38" i="26"/>
  <c r="P48" i="51"/>
  <c r="J71" i="46"/>
  <c r="H22" i="11" s="1"/>
  <c r="I50" i="51"/>
  <c r="I57" i="51" s="1"/>
  <c r="I97" i="46"/>
  <c r="I38" i="78"/>
  <c r="AO38" i="78" s="1"/>
  <c r="R24" i="37"/>
  <c r="R30" i="37"/>
  <c r="R32" i="37"/>
  <c r="R27" i="37"/>
  <c r="R29" i="37"/>
  <c r="AP38" i="78"/>
  <c r="W33" i="11"/>
  <c r="T15" i="63" l="1"/>
  <c r="S23" i="32"/>
  <c r="L16" i="11"/>
  <c r="L19" i="62" s="1"/>
  <c r="B27" i="1"/>
  <c r="A3" i="75" s="1"/>
  <c r="M2" i="75" s="1"/>
  <c r="I7" i="85"/>
  <c r="I28" i="1"/>
  <c r="S37" i="32"/>
  <c r="T16" i="32"/>
  <c r="O59" i="37"/>
  <c r="S30" i="32"/>
  <c r="P95" i="46"/>
  <c r="P55" i="51" s="1"/>
  <c r="Q18" i="37"/>
  <c r="L28" i="62"/>
  <c r="Q33" i="37"/>
  <c r="L34" i="62"/>
  <c r="L43" i="62"/>
  <c r="L36" i="62"/>
  <c r="P96" i="46"/>
  <c r="P56" i="51" s="1"/>
  <c r="K16" i="11"/>
  <c r="K19" i="62" s="1"/>
  <c r="Q38" i="26"/>
  <c r="O13" i="11" s="1"/>
  <c r="V13" i="11" s="1"/>
  <c r="P74" i="46"/>
  <c r="N78" i="37"/>
  <c r="L24" i="11"/>
  <c r="L27" i="62" s="1"/>
  <c r="N46" i="37"/>
  <c r="P44" i="37"/>
  <c r="P76" i="37" s="1"/>
  <c r="N24" i="11" s="1"/>
  <c r="N27" i="62" s="1"/>
  <c r="N16" i="11"/>
  <c r="N18" i="11" s="1"/>
  <c r="N21" i="62" s="1"/>
  <c r="O76" i="37"/>
  <c r="M24" i="11" s="1"/>
  <c r="U28" i="62"/>
  <c r="S13" i="51"/>
  <c r="L18" i="11"/>
  <c r="L21" i="62" s="1"/>
  <c r="Q15" i="37"/>
  <c r="Q20" i="37" s="1"/>
  <c r="S17" i="28"/>
  <c r="S16" i="51"/>
  <c r="O12" i="62"/>
  <c r="V12" i="62" s="1"/>
  <c r="Q21" i="28"/>
  <c r="Q33" i="28" s="1"/>
  <c r="Q25" i="28"/>
  <c r="Q37" i="28" s="1"/>
  <c r="Q36" i="37"/>
  <c r="Q22" i="28"/>
  <c r="Q34" i="28" s="1"/>
  <c r="Q42" i="28"/>
  <c r="Q43" i="28" s="1"/>
  <c r="Q44" i="28" s="1"/>
  <c r="Q45" i="51" s="1"/>
  <c r="X45" i="51" s="1"/>
  <c r="Q19" i="28"/>
  <c r="Q23" i="28"/>
  <c r="Q35" i="28" s="1"/>
  <c r="Q29" i="51"/>
  <c r="Q20" i="28"/>
  <c r="Q32" i="28" s="1"/>
  <c r="Q24" i="28"/>
  <c r="Q36" i="28" s="1"/>
  <c r="P41" i="37"/>
  <c r="U38" i="62"/>
  <c r="U43" i="62"/>
  <c r="U36" i="62"/>
  <c r="U34" i="62"/>
  <c r="Q45" i="46"/>
  <c r="Q57" i="46" s="1"/>
  <c r="Q46" i="46"/>
  <c r="Q58" i="46" s="1"/>
  <c r="Q42" i="46"/>
  <c r="Q44" i="46"/>
  <c r="Q56" i="46" s="1"/>
  <c r="W33" i="57"/>
  <c r="W25" i="57"/>
  <c r="X25" i="57"/>
  <c r="X33" i="57"/>
  <c r="Q16" i="46"/>
  <c r="Q102" i="46" s="1"/>
  <c r="X30" i="51"/>
  <c r="I16" i="11"/>
  <c r="I19" i="62" s="1"/>
  <c r="T35" i="32"/>
  <c r="AH10" i="28" s="1"/>
  <c r="T21" i="32"/>
  <c r="T28" i="32"/>
  <c r="X16" i="51"/>
  <c r="X18" i="51" s="1"/>
  <c r="X20" i="51" s="1"/>
  <c r="V9" i="11" s="1"/>
  <c r="Q18" i="51"/>
  <c r="Q20" i="51" s="1"/>
  <c r="O9" i="62" s="1"/>
  <c r="T22" i="32"/>
  <c r="T29" i="32"/>
  <c r="T36" i="32"/>
  <c r="T11" i="78" s="1"/>
  <c r="T17" i="78" s="1"/>
  <c r="T19" i="78" s="1"/>
  <c r="Q50" i="37"/>
  <c r="Q52" i="37" s="1"/>
  <c r="Q56" i="37"/>
  <c r="Q53" i="37"/>
  <c r="Q58" i="37"/>
  <c r="Q55" i="37"/>
  <c r="Z6" i="57"/>
  <c r="Z12" i="57" s="1"/>
  <c r="AA7" i="57"/>
  <c r="R17" i="28"/>
  <c r="R16" i="51"/>
  <c r="R18" i="51" s="1"/>
  <c r="R20" i="51" s="1"/>
  <c r="R12" i="28"/>
  <c r="R15" i="46" s="1"/>
  <c r="O41" i="37"/>
  <c r="O46" i="37" s="1"/>
  <c r="R56" i="37"/>
  <c r="R58" i="37"/>
  <c r="R53" i="37"/>
  <c r="R50" i="37"/>
  <c r="R52" i="37" s="1"/>
  <c r="R55" i="37"/>
  <c r="R57" i="37" s="1"/>
  <c r="R26" i="78"/>
  <c r="R31" i="78"/>
  <c r="R38" i="78" s="1"/>
  <c r="S11" i="78"/>
  <c r="S12" i="78" s="1"/>
  <c r="S11" i="28"/>
  <c r="Q31" i="78"/>
  <c r="Q38" i="78" s="1"/>
  <c r="AQ38" i="78" s="1"/>
  <c r="Q26" i="78"/>
  <c r="X33" i="11"/>
  <c r="R31" i="37"/>
  <c r="H25" i="62"/>
  <c r="H26" i="11"/>
  <c r="H29" i="62" s="1"/>
  <c r="G13" i="11"/>
  <c r="AO38" i="26"/>
  <c r="T17" i="77"/>
  <c r="AA11" i="77"/>
  <c r="AH10" i="77"/>
  <c r="T11" i="51"/>
  <c r="AH9" i="46"/>
  <c r="AI9" i="46" s="1"/>
  <c r="AJ9" i="46" s="1"/>
  <c r="AK9" i="46" s="1"/>
  <c r="AL9" i="46" s="1"/>
  <c r="AH10" i="26"/>
  <c r="T10" i="77"/>
  <c r="Q23" i="46"/>
  <c r="Q33" i="46"/>
  <c r="Q101" i="46"/>
  <c r="H18" i="11"/>
  <c r="H21" i="62" s="1"/>
  <c r="H19" i="62"/>
  <c r="N43" i="62"/>
  <c r="N36" i="62"/>
  <c r="N34" i="62"/>
  <c r="Q93" i="46"/>
  <c r="Q53" i="51" s="1"/>
  <c r="X53" i="51" s="1"/>
  <c r="Q67" i="46"/>
  <c r="AE12" i="51"/>
  <c r="O11" i="95" s="1"/>
  <c r="O11" i="97" s="1"/>
  <c r="H25" i="74"/>
  <c r="T10" i="26"/>
  <c r="T14" i="38"/>
  <c r="R31" i="11" s="1"/>
  <c r="W31" i="11" s="1"/>
  <c r="AA9" i="38"/>
  <c r="AA14" i="38" s="1"/>
  <c r="U13" i="11"/>
  <c r="J16" i="11"/>
  <c r="M64" i="46"/>
  <c r="M90" i="46"/>
  <c r="M59" i="46"/>
  <c r="R41" i="53"/>
  <c r="R42" i="53" s="1"/>
  <c r="R24" i="53" s="1"/>
  <c r="T11" i="53"/>
  <c r="T17" i="46"/>
  <c r="S43" i="46"/>
  <c r="S12" i="46"/>
  <c r="R35" i="46"/>
  <c r="R55" i="46" s="1"/>
  <c r="R37" i="46"/>
  <c r="R34" i="46"/>
  <c r="R54" i="46" s="1"/>
  <c r="R36" i="46"/>
  <c r="R38" i="46"/>
  <c r="M10" i="62"/>
  <c r="M10" i="11"/>
  <c r="N38" i="62"/>
  <c r="O11" i="13"/>
  <c r="P35" i="11"/>
  <c r="V35" i="11"/>
  <c r="H25" i="58"/>
  <c r="J26" i="58"/>
  <c r="S50" i="46"/>
  <c r="R88" i="46"/>
  <c r="R62" i="46"/>
  <c r="U23" i="13"/>
  <c r="M17" i="62"/>
  <c r="T26" i="62"/>
  <c r="AR67" i="37"/>
  <c r="AE72" i="37"/>
  <c r="AR72" i="37" s="1"/>
  <c r="N28" i="62"/>
  <c r="S37" i="77"/>
  <c r="S35" i="77"/>
  <c r="S33" i="77"/>
  <c r="S31" i="77"/>
  <c r="S26" i="77"/>
  <c r="Q42" i="53"/>
  <c r="Q24" i="53" s="1"/>
  <c r="P22" i="12"/>
  <c r="V22" i="12"/>
  <c r="S89" i="46"/>
  <c r="S49" i="51" s="1"/>
  <c r="S63" i="46"/>
  <c r="R63" i="46"/>
  <c r="R89" i="46"/>
  <c r="R49" i="51" s="1"/>
  <c r="Q11" i="57"/>
  <c r="P41" i="57"/>
  <c r="P42" i="57" s="1"/>
  <c r="P24" i="57" s="1"/>
  <c r="H19" i="53"/>
  <c r="H21" i="53" s="1"/>
  <c r="I36" i="53"/>
  <c r="I38" i="53" s="1"/>
  <c r="R26" i="37"/>
  <c r="K23" i="11"/>
  <c r="M78" i="37"/>
  <c r="Q66" i="46"/>
  <c r="Q92" i="46"/>
  <c r="Q52" i="51" s="1"/>
  <c r="X52" i="51" s="1"/>
  <c r="O31" i="57"/>
  <c r="O23" i="46"/>
  <c r="O33" i="46"/>
  <c r="O101" i="46"/>
  <c r="L26" i="62"/>
  <c r="G25" i="62"/>
  <c r="G26" i="11"/>
  <c r="G29" i="62" s="1"/>
  <c r="T22" i="11"/>
  <c r="Q48" i="51"/>
  <c r="N18" i="12"/>
  <c r="M23" i="13"/>
  <c r="AH11" i="26"/>
  <c r="T12" i="51"/>
  <c r="Y12" i="51" s="1"/>
  <c r="AH11" i="46"/>
  <c r="AI11" i="46" s="1"/>
  <c r="AJ11" i="46" s="1"/>
  <c r="AK11" i="46" s="1"/>
  <c r="AL11" i="46" s="1"/>
  <c r="AH11" i="77"/>
  <c r="P31" i="53"/>
  <c r="P34" i="53" s="1"/>
  <c r="P37" i="53" s="1"/>
  <c r="J25" i="62"/>
  <c r="J26" i="11"/>
  <c r="J29" i="62" s="1"/>
  <c r="M16" i="11"/>
  <c r="O15" i="37"/>
  <c r="M25" i="11"/>
  <c r="Q20" i="57"/>
  <c r="Q20" i="53"/>
  <c r="O47" i="40"/>
  <c r="O50" i="40" s="1"/>
  <c r="O24" i="58"/>
  <c r="T23" i="58"/>
  <c r="M23" i="58"/>
  <c r="R23" i="58" s="1"/>
  <c r="P23" i="58" s="1"/>
  <c r="K22" i="58" s="1"/>
  <c r="R49" i="53"/>
  <c r="R10" i="53" s="1"/>
  <c r="U14" i="11"/>
  <c r="U17" i="62" s="1"/>
  <c r="J17" i="62"/>
  <c r="G14" i="11"/>
  <c r="AO38" i="28"/>
  <c r="P29" i="46"/>
  <c r="P80" i="46"/>
  <c r="P91" i="46" s="1"/>
  <c r="P51" i="51" s="1"/>
  <c r="P65" i="46"/>
  <c r="P39" i="46"/>
  <c r="P52" i="46"/>
  <c r="P20" i="37"/>
  <c r="S36" i="77"/>
  <c r="S34" i="77"/>
  <c r="S32" i="77"/>
  <c r="S27" i="37"/>
  <c r="S29" i="37"/>
  <c r="S24" i="37"/>
  <c r="S26" i="37" s="1"/>
  <c r="S30" i="37"/>
  <c r="S32" i="37"/>
  <c r="Q11" i="62"/>
  <c r="Q16" i="62" s="1"/>
  <c r="S10" i="37"/>
  <c r="S42" i="26"/>
  <c r="S43" i="26" s="1"/>
  <c r="S44" i="26" s="1"/>
  <c r="S44" i="51" s="1"/>
  <c r="S19" i="26"/>
  <c r="S20" i="26"/>
  <c r="S32" i="26" s="1"/>
  <c r="S21" i="26"/>
  <c r="S33" i="26" s="1"/>
  <c r="S22" i="26"/>
  <c r="S34" i="26" s="1"/>
  <c r="S23" i="26"/>
  <c r="S35" i="26" s="1"/>
  <c r="S24" i="26"/>
  <c r="S36" i="26" s="1"/>
  <c r="S25" i="26"/>
  <c r="S37" i="26" s="1"/>
  <c r="S24" i="51"/>
  <c r="S26" i="51" s="1"/>
  <c r="P11" i="62"/>
  <c r="R10" i="37"/>
  <c r="R19" i="26"/>
  <c r="R20" i="26"/>
  <c r="R21" i="26"/>
  <c r="R22" i="26"/>
  <c r="R23" i="26"/>
  <c r="R24" i="26"/>
  <c r="R25" i="26"/>
  <c r="R24" i="51"/>
  <c r="R42" i="26"/>
  <c r="R43" i="26" s="1"/>
  <c r="R44" i="26" s="1"/>
  <c r="R44" i="51" s="1"/>
  <c r="F22" i="58"/>
  <c r="I26" i="11"/>
  <c r="I29" i="62" s="1"/>
  <c r="I25" i="62"/>
  <c r="N90" i="46"/>
  <c r="N64" i="46"/>
  <c r="N59" i="46"/>
  <c r="J33" i="63"/>
  <c r="G21" i="53"/>
  <c r="V50" i="51"/>
  <c r="V57" i="51" s="1"/>
  <c r="K57" i="51"/>
  <c r="T10" i="28" l="1"/>
  <c r="I8" i="85"/>
  <c r="B28" i="1"/>
  <c r="A3" i="97" s="1"/>
  <c r="S2" i="97" s="1"/>
  <c r="I29" i="1"/>
  <c r="Y46" i="57"/>
  <c r="Y51" i="57" s="1"/>
  <c r="Y33" i="57" s="1"/>
  <c r="T23" i="32"/>
  <c r="V9" i="62"/>
  <c r="T10" i="78"/>
  <c r="AA10" i="78" s="1"/>
  <c r="T37" i="32"/>
  <c r="T30" i="32"/>
  <c r="T41" i="28"/>
  <c r="Q54" i="37"/>
  <c r="U24" i="11"/>
  <c r="U27" i="62" s="1"/>
  <c r="K18" i="11"/>
  <c r="K21" i="62" s="1"/>
  <c r="T22" i="78"/>
  <c r="T34" i="78" s="1"/>
  <c r="T30" i="51"/>
  <c r="T16" i="46" s="1"/>
  <c r="T21" i="78"/>
  <c r="T33" i="78" s="1"/>
  <c r="T24" i="78"/>
  <c r="T36" i="78" s="1"/>
  <c r="T20" i="78"/>
  <c r="T32" i="78" s="1"/>
  <c r="AQ38" i="26"/>
  <c r="T25" i="78"/>
  <c r="T37" i="78" s="1"/>
  <c r="T49" i="37"/>
  <c r="T58" i="37" s="1"/>
  <c r="T23" i="78"/>
  <c r="T35" i="78" s="1"/>
  <c r="Q57" i="37"/>
  <c r="Q59" i="37" s="1"/>
  <c r="N19" i="62"/>
  <c r="L19" i="11"/>
  <c r="L32" i="11" s="1"/>
  <c r="Q95" i="46"/>
  <c r="Q55" i="51" s="1"/>
  <c r="X55" i="51" s="1"/>
  <c r="Q69" i="46"/>
  <c r="M27" i="62"/>
  <c r="O9" i="11"/>
  <c r="I18" i="11"/>
  <c r="I21" i="62" s="1"/>
  <c r="H19" i="11"/>
  <c r="H28" i="11" s="1"/>
  <c r="Q94" i="46"/>
  <c r="Q54" i="51" s="1"/>
  <c r="X54" i="51" s="1"/>
  <c r="Q68" i="46"/>
  <c r="Q70" i="46"/>
  <c r="Q74" i="46" s="1"/>
  <c r="Q96" i="46"/>
  <c r="Q56" i="51" s="1"/>
  <c r="X56" i="51" s="1"/>
  <c r="T17" i="28"/>
  <c r="T16" i="51"/>
  <c r="AA10" i="28"/>
  <c r="R21" i="28"/>
  <c r="R22" i="28"/>
  <c r="R34" i="28" s="1"/>
  <c r="P12" i="62"/>
  <c r="R25" i="28"/>
  <c r="R42" i="28"/>
  <c r="R43" i="28" s="1"/>
  <c r="R44" i="28" s="1"/>
  <c r="R45" i="51" s="1"/>
  <c r="R36" i="37"/>
  <c r="R19" i="28"/>
  <c r="R23" i="28"/>
  <c r="R29" i="51"/>
  <c r="R20" i="28"/>
  <c r="R32" i="28" s="1"/>
  <c r="R24" i="28"/>
  <c r="R36" i="28" s="1"/>
  <c r="AH10" i="78"/>
  <c r="AI10" i="28"/>
  <c r="Y25" i="57"/>
  <c r="Q47" i="46"/>
  <c r="Q53" i="46"/>
  <c r="Q65" i="46" s="1"/>
  <c r="Q31" i="51"/>
  <c r="Q41" i="51" s="1"/>
  <c r="X29" i="51"/>
  <c r="X31" i="51" s="1"/>
  <c r="X41" i="51" s="1"/>
  <c r="P9" i="62"/>
  <c r="P9" i="11"/>
  <c r="S17" i="51"/>
  <c r="S18" i="51" s="1"/>
  <c r="S20" i="51" s="1"/>
  <c r="S12" i="28"/>
  <c r="S15" i="46" s="1"/>
  <c r="AH11" i="28"/>
  <c r="AH11" i="78"/>
  <c r="P46" i="37"/>
  <c r="P75" i="37"/>
  <c r="Q43" i="37"/>
  <c r="Q45" i="37"/>
  <c r="Q77" i="37" s="1"/>
  <c r="O25" i="11" s="1"/>
  <c r="V25" i="11" s="1"/>
  <c r="Q40" i="37"/>
  <c r="Q37" i="37"/>
  <c r="Q39" i="37" s="1"/>
  <c r="Q42" i="37"/>
  <c r="Q44" i="37" s="1"/>
  <c r="T11" i="28"/>
  <c r="T17" i="51" s="1"/>
  <c r="Y17" i="51" s="1"/>
  <c r="R46" i="46"/>
  <c r="R58" i="46" s="1"/>
  <c r="R42" i="46"/>
  <c r="R44" i="46"/>
  <c r="R56" i="46" s="1"/>
  <c r="R45" i="46"/>
  <c r="R57" i="46" s="1"/>
  <c r="AB7" i="57"/>
  <c r="AA6" i="57"/>
  <c r="Z46" i="57" s="1"/>
  <c r="Z51" i="57" s="1"/>
  <c r="Q26" i="28"/>
  <c r="Q31" i="28"/>
  <c r="Q38" i="28" s="1"/>
  <c r="AQ38" i="28" s="1"/>
  <c r="S28" i="37"/>
  <c r="S17" i="78"/>
  <c r="Q12" i="62" s="1"/>
  <c r="AA11" i="78"/>
  <c r="R54" i="37"/>
  <c r="R59" i="37" s="1"/>
  <c r="S21" i="28"/>
  <c r="S33" i="28" s="1"/>
  <c r="S25" i="28"/>
  <c r="S37" i="28" s="1"/>
  <c r="S36" i="37"/>
  <c r="S22" i="28"/>
  <c r="S34" i="28" s="1"/>
  <c r="S19" i="28"/>
  <c r="S23" i="28"/>
  <c r="S35" i="28" s="1"/>
  <c r="S29" i="51"/>
  <c r="S20" i="28"/>
  <c r="S32" i="28" s="1"/>
  <c r="S24" i="28"/>
  <c r="S36" i="28" s="1"/>
  <c r="R31" i="53"/>
  <c r="T24" i="53"/>
  <c r="P31" i="57"/>
  <c r="R36" i="26"/>
  <c r="R32" i="26"/>
  <c r="S11" i="46"/>
  <c r="S31" i="37"/>
  <c r="N73" i="46"/>
  <c r="N71" i="46"/>
  <c r="L22" i="11" s="1"/>
  <c r="R37" i="26"/>
  <c r="R35" i="26"/>
  <c r="R33" i="26"/>
  <c r="R26" i="26"/>
  <c r="R31" i="26"/>
  <c r="P16" i="62"/>
  <c r="S31" i="26"/>
  <c r="S38" i="26" s="1"/>
  <c r="S26" i="26"/>
  <c r="S11" i="37"/>
  <c r="S13" i="37" s="1"/>
  <c r="S17" i="37"/>
  <c r="S19" i="37"/>
  <c r="S14" i="37"/>
  <c r="S16" i="37"/>
  <c r="P90" i="46"/>
  <c r="P64" i="46"/>
  <c r="P59" i="46"/>
  <c r="T14" i="11"/>
  <c r="T17" i="62" s="1"/>
  <c r="G17" i="62"/>
  <c r="R14" i="53"/>
  <c r="R30" i="53" s="1"/>
  <c r="T10" i="53"/>
  <c r="O25" i="58"/>
  <c r="T24" i="58"/>
  <c r="M24" i="58"/>
  <c r="R24" i="58" s="1"/>
  <c r="P24" i="58" s="1"/>
  <c r="K23" i="58" s="1"/>
  <c r="T31" i="78"/>
  <c r="R20" i="57"/>
  <c r="S20" i="57" s="1"/>
  <c r="T20" i="57" s="1"/>
  <c r="U20" i="57" s="1"/>
  <c r="V20" i="57" s="1"/>
  <c r="W20" i="57" s="1"/>
  <c r="X20" i="57" s="1"/>
  <c r="Y20" i="57" s="1"/>
  <c r="Z20" i="57" s="1"/>
  <c r="AA20" i="57" s="1"/>
  <c r="R20" i="53"/>
  <c r="T20" i="53" s="1"/>
  <c r="D54" i="40"/>
  <c r="D58" i="40" s="1"/>
  <c r="M19" i="62"/>
  <c r="M18" i="11"/>
  <c r="M21" i="62" s="1"/>
  <c r="AI11" i="26"/>
  <c r="N19" i="11"/>
  <c r="M26" i="13"/>
  <c r="T25" i="62"/>
  <c r="T26" i="11"/>
  <c r="T29" i="62" s="1"/>
  <c r="O39" i="46"/>
  <c r="O52" i="46"/>
  <c r="K26" i="62"/>
  <c r="U23" i="11"/>
  <c r="R28" i="37"/>
  <c r="R33" i="37" s="1"/>
  <c r="I19" i="53"/>
  <c r="J36" i="53"/>
  <c r="J38" i="53" s="1"/>
  <c r="Q41" i="57"/>
  <c r="Q42" i="57" s="1"/>
  <c r="Q24" i="57" s="1"/>
  <c r="R11" i="57"/>
  <c r="Q22" i="12"/>
  <c r="S38" i="77"/>
  <c r="S62" i="46"/>
  <c r="T50" i="46"/>
  <c r="S88" i="46"/>
  <c r="P11" i="13"/>
  <c r="Q35" i="11"/>
  <c r="M43" i="62"/>
  <c r="M36" i="62"/>
  <c r="M34" i="62"/>
  <c r="M38" i="62"/>
  <c r="T12" i="46"/>
  <c r="S34" i="46"/>
  <c r="S54" i="46" s="1"/>
  <c r="S36" i="46"/>
  <c r="S38" i="46"/>
  <c r="S35" i="46"/>
  <c r="S55" i="46" s="1"/>
  <c r="S37" i="46"/>
  <c r="V17" i="46"/>
  <c r="T43" i="46"/>
  <c r="AA43" i="46" s="1"/>
  <c r="M73" i="46"/>
  <c r="M71" i="46"/>
  <c r="K22" i="11" s="1"/>
  <c r="U16" i="11"/>
  <c r="T12" i="26"/>
  <c r="T10" i="46" s="1"/>
  <c r="T51" i="46" s="1"/>
  <c r="T17" i="26"/>
  <c r="AA10" i="26"/>
  <c r="Q39" i="46"/>
  <c r="Q52" i="46"/>
  <c r="AH27" i="26"/>
  <c r="AI10" i="26"/>
  <c r="Y11" i="51"/>
  <c r="T13" i="51"/>
  <c r="T23" i="37"/>
  <c r="T41" i="26"/>
  <c r="T25" i="51"/>
  <c r="Y25" i="51" s="1"/>
  <c r="T19" i="77"/>
  <c r="T20" i="77"/>
  <c r="T21" i="77"/>
  <c r="T22" i="77"/>
  <c r="T23" i="77"/>
  <c r="T24" i="77"/>
  <c r="T25" i="77"/>
  <c r="AA17" i="77"/>
  <c r="T13" i="11"/>
  <c r="G16" i="11"/>
  <c r="Y33" i="11"/>
  <c r="N50" i="51"/>
  <c r="N97" i="46"/>
  <c r="R26" i="51"/>
  <c r="R34" i="26"/>
  <c r="R14" i="37"/>
  <c r="R16" i="37"/>
  <c r="R11" i="37"/>
  <c r="R13" i="37" s="1"/>
  <c r="R17" i="37"/>
  <c r="R19" i="37"/>
  <c r="M28" i="62"/>
  <c r="O20" i="37"/>
  <c r="O75" i="37"/>
  <c r="AI11" i="77"/>
  <c r="AB11" i="77" s="1"/>
  <c r="N23" i="13"/>
  <c r="N26" i="13" s="1"/>
  <c r="O18" i="12"/>
  <c r="X48" i="51"/>
  <c r="O29" i="46"/>
  <c r="O80" i="46"/>
  <c r="O91" i="46" s="1"/>
  <c r="O51" i="51" s="1"/>
  <c r="O65" i="46"/>
  <c r="Q31" i="53"/>
  <c r="Q34" i="53" s="1"/>
  <c r="Q37" i="53" s="1"/>
  <c r="R48" i="51"/>
  <c r="H26" i="58"/>
  <c r="J27" i="58"/>
  <c r="V11" i="13"/>
  <c r="R92" i="46"/>
  <c r="R52" i="51" s="1"/>
  <c r="R66" i="46"/>
  <c r="R67" i="46"/>
  <c r="R93" i="46"/>
  <c r="R53" i="51" s="1"/>
  <c r="T41" i="53"/>
  <c r="H31" i="63"/>
  <c r="H36" i="63" s="1"/>
  <c r="M50" i="51"/>
  <c r="M57" i="51" s="1"/>
  <c r="M97" i="46"/>
  <c r="J19" i="62"/>
  <c r="J18" i="11"/>
  <c r="J21" i="62" s="1"/>
  <c r="AC31" i="11"/>
  <c r="S140" i="5"/>
  <c r="S142" i="5" s="1"/>
  <c r="H26" i="74"/>
  <c r="Q29" i="46"/>
  <c r="Q80" i="46"/>
  <c r="T12" i="77"/>
  <c r="AA10" i="77"/>
  <c r="AA12" i="77" s="1"/>
  <c r="AI10" i="77"/>
  <c r="AB10" i="77" s="1"/>
  <c r="AH27" i="77"/>
  <c r="T12" i="78" l="1"/>
  <c r="B29" i="1"/>
  <c r="A3" i="84" s="1"/>
  <c r="Q2" i="84" s="1"/>
  <c r="I9" i="85"/>
  <c r="I30" i="1"/>
  <c r="S33" i="37"/>
  <c r="T42" i="28"/>
  <c r="Q41" i="37"/>
  <c r="Q46" i="37" s="1"/>
  <c r="AB10" i="26"/>
  <c r="AB11" i="26"/>
  <c r="AF12" i="51" s="1"/>
  <c r="K19" i="11"/>
  <c r="K32" i="11" s="1"/>
  <c r="T56" i="37"/>
  <c r="L22" i="62"/>
  <c r="T50" i="37"/>
  <c r="T52" i="37" s="1"/>
  <c r="T55" i="37"/>
  <c r="Q76" i="37"/>
  <c r="O24" i="11" s="1"/>
  <c r="V24" i="11" s="1"/>
  <c r="AA11" i="28"/>
  <c r="AE17" i="51" s="1"/>
  <c r="O16" i="95" s="1"/>
  <c r="O16" i="97" s="1"/>
  <c r="T26" i="78"/>
  <c r="L34" i="11"/>
  <c r="L37" i="62" s="1"/>
  <c r="T53" i="37"/>
  <c r="H34" i="11"/>
  <c r="H37" i="62" s="1"/>
  <c r="H22" i="62"/>
  <c r="I19" i="11"/>
  <c r="I32" i="11" s="1"/>
  <c r="O14" i="11"/>
  <c r="O16" i="11" s="1"/>
  <c r="H32" i="11"/>
  <c r="H35" i="62" s="1"/>
  <c r="H52" i="62" s="1"/>
  <c r="Q91" i="46"/>
  <c r="Q51" i="51" s="1"/>
  <c r="X51" i="51" s="1"/>
  <c r="AB12" i="77"/>
  <c r="T16" i="11"/>
  <c r="T19" i="62" s="1"/>
  <c r="R69" i="46"/>
  <c r="R95" i="46"/>
  <c r="R55" i="51" s="1"/>
  <c r="R94" i="46"/>
  <c r="R54" i="51" s="1"/>
  <c r="R68" i="46"/>
  <c r="R70" i="46"/>
  <c r="R74" i="46" s="1"/>
  <c r="R96" i="46"/>
  <c r="R56" i="51" s="1"/>
  <c r="S19" i="78"/>
  <c r="S23" i="78"/>
  <c r="S30" i="51"/>
  <c r="S20" i="78"/>
  <c r="S24" i="78"/>
  <c r="S21" i="78"/>
  <c r="S25" i="78"/>
  <c r="S49" i="37"/>
  <c r="S22" i="78"/>
  <c r="S41" i="28"/>
  <c r="S42" i="28" s="1"/>
  <c r="S43" i="28" s="1"/>
  <c r="S44" i="28" s="1"/>
  <c r="S45" i="51" s="1"/>
  <c r="AA17" i="78"/>
  <c r="AI11" i="78"/>
  <c r="AH15" i="78" s="1"/>
  <c r="V11" i="78" s="1"/>
  <c r="V17" i="78" s="1"/>
  <c r="AH14" i="28"/>
  <c r="AJ10" i="28"/>
  <c r="AB10" i="28"/>
  <c r="AI10" i="78"/>
  <c r="R31" i="51"/>
  <c r="R41" i="51" s="1"/>
  <c r="R33" i="28"/>
  <c r="T12" i="28"/>
  <c r="T15" i="46" s="1"/>
  <c r="AH14" i="77"/>
  <c r="AI14" i="77" s="1"/>
  <c r="W10" i="77" s="1"/>
  <c r="S18" i="37"/>
  <c r="S45" i="37"/>
  <c r="S40" i="37"/>
  <c r="S37" i="37"/>
  <c r="S39" i="37" s="1"/>
  <c r="S42" i="37"/>
  <c r="S43" i="37"/>
  <c r="Z33" i="57"/>
  <c r="Z25" i="57"/>
  <c r="R53" i="46"/>
  <c r="R47" i="46"/>
  <c r="AH27" i="28"/>
  <c r="AI11" i="28"/>
  <c r="S45" i="46"/>
  <c r="S57" i="46" s="1"/>
  <c r="S46" i="46"/>
  <c r="S58" i="46" s="1"/>
  <c r="S70" i="46" s="1"/>
  <c r="S42" i="46"/>
  <c r="S44" i="46"/>
  <c r="S56" i="46" s="1"/>
  <c r="S94" i="46" s="1"/>
  <c r="S54" i="51" s="1"/>
  <c r="AH27" i="78"/>
  <c r="R35" i="28"/>
  <c r="R37" i="28"/>
  <c r="AE16" i="51"/>
  <c r="AA12" i="57"/>
  <c r="S31" i="28"/>
  <c r="S38" i="28" s="1"/>
  <c r="S26" i="28"/>
  <c r="Q9" i="62"/>
  <c r="Q9" i="11"/>
  <c r="AB6" i="57"/>
  <c r="AC7" i="57"/>
  <c r="P78" i="37"/>
  <c r="N23" i="11"/>
  <c r="N26" i="62" s="1"/>
  <c r="AA12" i="78"/>
  <c r="V10" i="62"/>
  <c r="V10" i="11"/>
  <c r="R31" i="28"/>
  <c r="R26" i="28"/>
  <c r="T18" i="51"/>
  <c r="T20" i="51" s="1"/>
  <c r="R9" i="11" s="1"/>
  <c r="Y16" i="51"/>
  <c r="Y18" i="51" s="1"/>
  <c r="O10" i="62"/>
  <c r="O28" i="62" s="1"/>
  <c r="O10" i="11"/>
  <c r="R42" i="37"/>
  <c r="R37" i="37"/>
  <c r="R39" i="37" s="1"/>
  <c r="R43" i="37"/>
  <c r="R40" i="37"/>
  <c r="R45" i="37"/>
  <c r="R77" i="37" s="1"/>
  <c r="P25" i="11" s="1"/>
  <c r="T36" i="37"/>
  <c r="T22" i="28"/>
  <c r="T29" i="51"/>
  <c r="T31" i="51" s="1"/>
  <c r="T19" i="28"/>
  <c r="T23" i="28"/>
  <c r="T35" i="28" s="1"/>
  <c r="AA17" i="28"/>
  <c r="T20" i="28"/>
  <c r="T24" i="28"/>
  <c r="R12" i="62"/>
  <c r="W12" i="62" s="1"/>
  <c r="AC12" i="62" s="1"/>
  <c r="T21" i="28"/>
  <c r="T33" i="28" s="1"/>
  <c r="T25" i="28"/>
  <c r="T37" i="28" s="1"/>
  <c r="J31" i="63"/>
  <c r="AJ11" i="77"/>
  <c r="AC11" i="77" s="1"/>
  <c r="AC17" i="77" s="1"/>
  <c r="R15" i="37"/>
  <c r="W50" i="51"/>
  <c r="W57" i="51" s="1"/>
  <c r="N57" i="51"/>
  <c r="AA23" i="37"/>
  <c r="AA41" i="26"/>
  <c r="AE25" i="51"/>
  <c r="T36" i="77"/>
  <c r="AA36" i="77" s="1"/>
  <c r="AA24" i="77"/>
  <c r="T34" i="77"/>
  <c r="AA34" i="77" s="1"/>
  <c r="AA22" i="77"/>
  <c r="T32" i="77"/>
  <c r="AA32" i="77" s="1"/>
  <c r="AA20" i="77"/>
  <c r="T24" i="37"/>
  <c r="T30" i="37"/>
  <c r="AA30" i="37" s="1"/>
  <c r="T32" i="37"/>
  <c r="AA32" i="37" s="1"/>
  <c r="T27" i="37"/>
  <c r="AA27" i="37" s="1"/>
  <c r="AN27" i="37" s="1"/>
  <c r="T29" i="37"/>
  <c r="Y13" i="51"/>
  <c r="AF11" i="51"/>
  <c r="I18" i="74"/>
  <c r="AJ10" i="26"/>
  <c r="AI27" i="26"/>
  <c r="AH14" i="26"/>
  <c r="Q64" i="46"/>
  <c r="Q90" i="46"/>
  <c r="Q59" i="46"/>
  <c r="H31" i="62"/>
  <c r="R11" i="62"/>
  <c r="T10" i="37"/>
  <c r="T19" i="26"/>
  <c r="T20" i="26"/>
  <c r="T21" i="26"/>
  <c r="T22" i="26"/>
  <c r="T23" i="26"/>
  <c r="T24" i="26"/>
  <c r="T25" i="26"/>
  <c r="T24" i="51"/>
  <c r="T42" i="26"/>
  <c r="T43" i="26" s="1"/>
  <c r="T44" i="26" s="1"/>
  <c r="T44" i="51" s="1"/>
  <c r="Y44" i="51" s="1"/>
  <c r="AA17" i="26"/>
  <c r="U19" i="62"/>
  <c r="U18" i="11"/>
  <c r="U21" i="62" s="1"/>
  <c r="K25" i="62"/>
  <c r="K26" i="11"/>
  <c r="K29" i="62" s="1"/>
  <c r="U22" i="11"/>
  <c r="S66" i="46"/>
  <c r="S92" i="46"/>
  <c r="S52" i="51" s="1"/>
  <c r="Q11" i="13"/>
  <c r="R35" i="11"/>
  <c r="W35" i="11" s="1"/>
  <c r="S48" i="51"/>
  <c r="J19" i="53"/>
  <c r="J21" i="53" s="1"/>
  <c r="K36" i="53"/>
  <c r="K38" i="53" s="1"/>
  <c r="AJ11" i="26"/>
  <c r="G12" i="12"/>
  <c r="E54" i="40"/>
  <c r="E58" i="40" s="1"/>
  <c r="O26" i="58"/>
  <c r="T25" i="58"/>
  <c r="M25" i="58"/>
  <c r="R25" i="58" s="1"/>
  <c r="P25" i="58" s="1"/>
  <c r="K24" i="58" s="1"/>
  <c r="H22" i="63"/>
  <c r="H26" i="63" s="1"/>
  <c r="H28" i="63" s="1"/>
  <c r="H38" i="63" s="1"/>
  <c r="T14" i="53"/>
  <c r="G10" i="19" s="1"/>
  <c r="P73" i="46"/>
  <c r="P71" i="46"/>
  <c r="N22" i="11" s="1"/>
  <c r="S15" i="37"/>
  <c r="Q13" i="11"/>
  <c r="R38" i="26"/>
  <c r="AJ10" i="77"/>
  <c r="AC10" i="77" s="1"/>
  <c r="AI27" i="77"/>
  <c r="L35" i="62"/>
  <c r="L52" i="62" s="1"/>
  <c r="L49" i="11"/>
  <c r="J19" i="11"/>
  <c r="H27" i="58"/>
  <c r="J28" i="58"/>
  <c r="Q31" i="57"/>
  <c r="V18" i="12"/>
  <c r="O23" i="13"/>
  <c r="V23" i="13" s="1"/>
  <c r="P18" i="12"/>
  <c r="AH15" i="77"/>
  <c r="M23" i="11"/>
  <c r="O78" i="37"/>
  <c r="T102" i="46"/>
  <c r="R18" i="37"/>
  <c r="R11" i="46"/>
  <c r="Z33" i="11"/>
  <c r="G19" i="62"/>
  <c r="G18" i="11"/>
  <c r="G21" i="62" s="1"/>
  <c r="T37" i="77"/>
  <c r="AA37" i="77" s="1"/>
  <c r="AA25" i="77"/>
  <c r="T35" i="77"/>
  <c r="AA35" i="77" s="1"/>
  <c r="AA23" i="77"/>
  <c r="T33" i="77"/>
  <c r="AA33" i="77" s="1"/>
  <c r="AA21" i="77"/>
  <c r="T26" i="77"/>
  <c r="AR26" i="77" s="1"/>
  <c r="T31" i="77"/>
  <c r="AA19" i="77"/>
  <c r="AA12" i="26"/>
  <c r="AE11" i="51"/>
  <c r="H18" i="74"/>
  <c r="T63" i="46"/>
  <c r="AA63" i="46" s="1"/>
  <c r="AA51" i="46"/>
  <c r="AA89" i="46" s="1"/>
  <c r="AE49" i="51" s="1"/>
  <c r="E25" i="95" s="1"/>
  <c r="E25" i="97" s="1"/>
  <c r="T89" i="46"/>
  <c r="T49" i="51" s="1"/>
  <c r="Y49" i="51" s="1"/>
  <c r="W17" i="46"/>
  <c r="V43" i="46"/>
  <c r="S93" i="46"/>
  <c r="S53" i="51" s="1"/>
  <c r="S67" i="46"/>
  <c r="V12" i="46"/>
  <c r="T35" i="46"/>
  <c r="T37" i="46"/>
  <c r="T34" i="46"/>
  <c r="T36" i="46"/>
  <c r="T38" i="46"/>
  <c r="V50" i="46"/>
  <c r="AA50" i="46"/>
  <c r="T88" i="46"/>
  <c r="T62" i="46"/>
  <c r="R22" i="12"/>
  <c r="S11" i="57"/>
  <c r="R41" i="57"/>
  <c r="AF11" i="57"/>
  <c r="I21" i="53"/>
  <c r="U26" i="62"/>
  <c r="O64" i="46"/>
  <c r="O90" i="46"/>
  <c r="O59" i="46"/>
  <c r="N32" i="11"/>
  <c r="N34" i="11"/>
  <c r="N37" i="62" s="1"/>
  <c r="N22" i="62"/>
  <c r="AH15" i="26"/>
  <c r="M19" i="11"/>
  <c r="H12" i="65"/>
  <c r="P12" i="65"/>
  <c r="T38" i="78"/>
  <c r="R34" i="53"/>
  <c r="R37" i="53" s="1"/>
  <c r="T37" i="53" s="1"/>
  <c r="T38" i="53" s="1"/>
  <c r="AK28" i="13" s="1"/>
  <c r="T30" i="53"/>
  <c r="P50" i="51"/>
  <c r="P57" i="51" s="1"/>
  <c r="P97" i="46"/>
  <c r="L25" i="62"/>
  <c r="L26" i="11"/>
  <c r="S23" i="46"/>
  <c r="S33" i="46"/>
  <c r="S101" i="46"/>
  <c r="AM16" i="12"/>
  <c r="H17" i="65"/>
  <c r="P17" i="65"/>
  <c r="P19" i="65" s="1"/>
  <c r="G31" i="57"/>
  <c r="T31" i="53"/>
  <c r="K22" i="62" l="1"/>
  <c r="B30" i="1"/>
  <c r="A3" i="76" s="1"/>
  <c r="N2" i="76" s="1"/>
  <c r="I10" i="85"/>
  <c r="I33" i="1"/>
  <c r="I25" i="74"/>
  <c r="T140" i="5" s="1"/>
  <c r="T142" i="5" s="1"/>
  <c r="T57" i="37"/>
  <c r="Q75" i="37"/>
  <c r="O23" i="11" s="1"/>
  <c r="AB12" i="26"/>
  <c r="K34" i="11"/>
  <c r="K37" i="62" s="1"/>
  <c r="AB11" i="28"/>
  <c r="AF17" i="51" s="1"/>
  <c r="P16" i="95" s="1"/>
  <c r="P16" i="97" s="1"/>
  <c r="AC11" i="26"/>
  <c r="J25" i="74" s="1"/>
  <c r="AC10" i="26"/>
  <c r="R9" i="62"/>
  <c r="I28" i="11"/>
  <c r="I31" i="62" s="1"/>
  <c r="H49" i="11"/>
  <c r="H36" i="11"/>
  <c r="H39" i="62" s="1"/>
  <c r="T43" i="28"/>
  <c r="T44" i="28" s="1"/>
  <c r="T45" i="51" s="1"/>
  <c r="Y45" i="51" s="1"/>
  <c r="AA12" i="28"/>
  <c r="I22" i="62"/>
  <c r="L36" i="11"/>
  <c r="L39" i="62" s="1"/>
  <c r="I34" i="11"/>
  <c r="I37" i="62" s="1"/>
  <c r="V14" i="11"/>
  <c r="V17" i="62" s="1"/>
  <c r="O17" i="62"/>
  <c r="AA26" i="77"/>
  <c r="V10" i="77"/>
  <c r="S96" i="46"/>
  <c r="S56" i="51" s="1"/>
  <c r="U19" i="11"/>
  <c r="U22" i="62" s="1"/>
  <c r="S74" i="46"/>
  <c r="S68" i="46"/>
  <c r="Y20" i="51"/>
  <c r="W9" i="62" s="1"/>
  <c r="T18" i="11"/>
  <c r="T21" i="62" s="1"/>
  <c r="AN30" i="37"/>
  <c r="G19" i="11"/>
  <c r="G32" i="11" s="1"/>
  <c r="S95" i="46"/>
  <c r="S55" i="51" s="1"/>
  <c r="S69" i="46"/>
  <c r="V20" i="78"/>
  <c r="V32" i="78" s="1"/>
  <c r="V24" i="78"/>
  <c r="V36" i="78" s="1"/>
  <c r="V21" i="78"/>
  <c r="V33" i="78" s="1"/>
  <c r="V23" i="78"/>
  <c r="V35" i="78" s="1"/>
  <c r="V49" i="37"/>
  <c r="V25" i="78"/>
  <c r="V37" i="78" s="1"/>
  <c r="V19" i="78"/>
  <c r="V41" i="28"/>
  <c r="V22" i="78"/>
  <c r="V34" i="78" s="1"/>
  <c r="Z30" i="51"/>
  <c r="V16" i="46" s="1"/>
  <c r="V102" i="46" s="1"/>
  <c r="T36" i="28"/>
  <c r="AA36" i="28" s="1"/>
  <c r="AA24" i="28"/>
  <c r="T31" i="28"/>
  <c r="AA31" i="28" s="1"/>
  <c r="T26" i="28"/>
  <c r="AA19" i="28"/>
  <c r="R44" i="37"/>
  <c r="R76" i="37" s="1"/>
  <c r="P24" i="11" s="1"/>
  <c r="V38" i="62"/>
  <c r="V36" i="62"/>
  <c r="V34" i="62"/>
  <c r="V43" i="62"/>
  <c r="AD7" i="57"/>
  <c r="AD6" i="57" s="1"/>
  <c r="AD46" i="57" s="1"/>
  <c r="AD51" i="57" s="1"/>
  <c r="AC6" i="57"/>
  <c r="AB12" i="57"/>
  <c r="AA37" i="28"/>
  <c r="AH15" i="28"/>
  <c r="O27" i="62"/>
  <c r="S41" i="37"/>
  <c r="V27" i="62"/>
  <c r="AA21" i="28"/>
  <c r="AI27" i="78"/>
  <c r="AH14" i="78"/>
  <c r="AB10" i="78"/>
  <c r="V10" i="28"/>
  <c r="AI14" i="28"/>
  <c r="S34" i="78"/>
  <c r="AA34" i="78" s="1"/>
  <c r="AA22" i="78"/>
  <c r="S36" i="78"/>
  <c r="AA36" i="78" s="1"/>
  <c r="AA24" i="78"/>
  <c r="S31" i="78"/>
  <c r="S26" i="78"/>
  <c r="AA19" i="78"/>
  <c r="T32" i="28"/>
  <c r="AA32" i="28" s="1"/>
  <c r="AA20" i="28"/>
  <c r="AE18" i="51"/>
  <c r="O15" i="95"/>
  <c r="AA23" i="28"/>
  <c r="S47" i="46"/>
  <c r="S53" i="46"/>
  <c r="S65" i="46" s="1"/>
  <c r="AA33" i="28"/>
  <c r="AF16" i="51"/>
  <c r="AJ11" i="78"/>
  <c r="AC11" i="78" s="1"/>
  <c r="AC17" i="78" s="1"/>
  <c r="S53" i="37"/>
  <c r="AA53" i="37" s="1"/>
  <c r="S58" i="37"/>
  <c r="S56" i="37"/>
  <c r="AA56" i="37" s="1"/>
  <c r="S55" i="37"/>
  <c r="S50" i="37"/>
  <c r="S32" i="78"/>
  <c r="AA32" i="78" s="1"/>
  <c r="AA20" i="78"/>
  <c r="AB20" i="57"/>
  <c r="V28" i="62"/>
  <c r="AA36" i="37"/>
  <c r="AE29" i="51"/>
  <c r="T34" i="28"/>
  <c r="AA34" i="28" s="1"/>
  <c r="AA22" i="28"/>
  <c r="O38" i="62"/>
  <c r="O34" i="62"/>
  <c r="O43" i="62"/>
  <c r="O36" i="62"/>
  <c r="R38" i="28"/>
  <c r="P14" i="11" s="1"/>
  <c r="P17" i="62" s="1"/>
  <c r="AA35" i="28"/>
  <c r="AJ11" i="28"/>
  <c r="Y29" i="51"/>
  <c r="AI27" i="28"/>
  <c r="AI15" i="78"/>
  <c r="AJ15" i="78" s="1"/>
  <c r="X11" i="78" s="1"/>
  <c r="X17" i="78" s="1"/>
  <c r="X19" i="78" s="1"/>
  <c r="AE30" i="51"/>
  <c r="AA49" i="37"/>
  <c r="AA41" i="28"/>
  <c r="AA42" i="28" s="1"/>
  <c r="S37" i="78"/>
  <c r="AA37" i="78" s="1"/>
  <c r="AA25" i="78"/>
  <c r="S16" i="46"/>
  <c r="Y30" i="51"/>
  <c r="S31" i="51"/>
  <c r="S41" i="51" s="1"/>
  <c r="K28" i="11"/>
  <c r="T37" i="37"/>
  <c r="T43" i="37"/>
  <c r="AA43" i="37" s="1"/>
  <c r="T40" i="37"/>
  <c r="AA40" i="37" s="1"/>
  <c r="T45" i="37"/>
  <c r="AA45" i="37" s="1"/>
  <c r="T42" i="37"/>
  <c r="R41" i="37"/>
  <c r="R75" i="37" s="1"/>
  <c r="AA25" i="28"/>
  <c r="AA46" i="57"/>
  <c r="AA51" i="57" s="1"/>
  <c r="S44" i="37"/>
  <c r="T45" i="46"/>
  <c r="AA45" i="46" s="1"/>
  <c r="T46" i="46"/>
  <c r="AA46" i="46" s="1"/>
  <c r="T42" i="46"/>
  <c r="T44" i="46"/>
  <c r="AA44" i="46" s="1"/>
  <c r="AC10" i="28"/>
  <c r="AJ10" i="78"/>
  <c r="AK10" i="28"/>
  <c r="AB11" i="78"/>
  <c r="S33" i="78"/>
  <c r="AA33" i="78" s="1"/>
  <c r="AA21" i="78"/>
  <c r="S35" i="78"/>
  <c r="AA35" i="78" s="1"/>
  <c r="AA23" i="78"/>
  <c r="AC23" i="37"/>
  <c r="AC19" i="77"/>
  <c r="AC20" i="77"/>
  <c r="AC32" i="77" s="1"/>
  <c r="AC21" i="77"/>
  <c r="AC33" i="77" s="1"/>
  <c r="AC22" i="77"/>
  <c r="AC34" i="77" s="1"/>
  <c r="AC23" i="77"/>
  <c r="AC35" i="77" s="1"/>
  <c r="AC24" i="77"/>
  <c r="AC36" i="77" s="1"/>
  <c r="AC25" i="77"/>
  <c r="AC37" i="77" s="1"/>
  <c r="AC41" i="26"/>
  <c r="AG25" i="51"/>
  <c r="H14" i="66"/>
  <c r="G15" i="19"/>
  <c r="G16" i="19" s="1"/>
  <c r="G27" i="19" s="1"/>
  <c r="G17" i="79"/>
  <c r="N35" i="62"/>
  <c r="N52" i="62" s="1"/>
  <c r="N36" i="11"/>
  <c r="N39" i="62" s="1"/>
  <c r="N49" i="11"/>
  <c r="O73" i="46"/>
  <c r="O71" i="46"/>
  <c r="M22" i="11" s="1"/>
  <c r="AF41" i="57"/>
  <c r="I31" i="63"/>
  <c r="I36" i="63" s="1"/>
  <c r="W22" i="12"/>
  <c r="AC22" i="12"/>
  <c r="V62" i="46"/>
  <c r="W50" i="46"/>
  <c r="V88" i="46"/>
  <c r="G34" i="57"/>
  <c r="G37" i="57" s="1"/>
  <c r="V24" i="53"/>
  <c r="U17" i="65"/>
  <c r="W17" i="65" s="1"/>
  <c r="H19" i="65"/>
  <c r="S39" i="46"/>
  <c r="S52" i="46"/>
  <c r="L29" i="62"/>
  <c r="L28" i="11"/>
  <c r="T34" i="53"/>
  <c r="T54" i="37"/>
  <c r="T59" i="37" s="1"/>
  <c r="V20" i="53"/>
  <c r="U12" i="65"/>
  <c r="AI15" i="26"/>
  <c r="V11" i="26"/>
  <c r="O50" i="51"/>
  <c r="O57" i="51" s="1"/>
  <c r="O97" i="46"/>
  <c r="AA88" i="46"/>
  <c r="W11" i="13"/>
  <c r="AA38" i="46"/>
  <c r="AA34" i="46"/>
  <c r="T54" i="46"/>
  <c r="AA35" i="46"/>
  <c r="T55" i="46"/>
  <c r="O10" i="95"/>
  <c r="AE13" i="51"/>
  <c r="T38" i="77"/>
  <c r="AW38" i="77" s="1"/>
  <c r="AA31" i="77"/>
  <c r="AA38" i="77" s="1"/>
  <c r="AA33" i="11"/>
  <c r="AD33" i="11" s="1"/>
  <c r="R33" i="46"/>
  <c r="R101" i="46"/>
  <c r="R23" i="46"/>
  <c r="AI15" i="77"/>
  <c r="W11" i="77" s="1"/>
  <c r="V11" i="77"/>
  <c r="V17" i="77" s="1"/>
  <c r="O19" i="62"/>
  <c r="O18" i="11"/>
  <c r="O21" i="62" s="1"/>
  <c r="P13" i="11"/>
  <c r="S20" i="37"/>
  <c r="H42" i="63"/>
  <c r="H46" i="63"/>
  <c r="H12" i="12"/>
  <c r="F54" i="40"/>
  <c r="F58" i="40" s="1"/>
  <c r="AK11" i="26"/>
  <c r="P11" i="95"/>
  <c r="P11" i="97" s="1"/>
  <c r="AC12" i="51"/>
  <c r="Z12" i="51"/>
  <c r="AA12" i="51" s="1"/>
  <c r="AB12" i="51" s="1"/>
  <c r="K35" i="62"/>
  <c r="K52" i="62" s="1"/>
  <c r="K49" i="11"/>
  <c r="K19" i="53"/>
  <c r="L36" i="53"/>
  <c r="L38" i="53" s="1"/>
  <c r="R42" i="57"/>
  <c r="R24" i="57" s="1"/>
  <c r="I35" i="62"/>
  <c r="I52" i="62" s="1"/>
  <c r="I49" i="11"/>
  <c r="AA42" i="26"/>
  <c r="AA43" i="26" s="1"/>
  <c r="AA44" i="26" s="1"/>
  <c r="AE44" i="51" s="1"/>
  <c r="AE24" i="51"/>
  <c r="T26" i="51"/>
  <c r="Y24" i="51"/>
  <c r="Y26" i="51" s="1"/>
  <c r="T36" i="26"/>
  <c r="AA36" i="26" s="1"/>
  <c r="AA24" i="26"/>
  <c r="T34" i="26"/>
  <c r="AA34" i="26" s="1"/>
  <c r="AA22" i="26"/>
  <c r="T32" i="26"/>
  <c r="AA32" i="26" s="1"/>
  <c r="AA20" i="26"/>
  <c r="T14" i="37"/>
  <c r="AA14" i="37" s="1"/>
  <c r="T16" i="37"/>
  <c r="T11" i="37"/>
  <c r="T17" i="37"/>
  <c r="AA17" i="37" s="1"/>
  <c r="T19" i="37"/>
  <c r="AA10" i="37"/>
  <c r="Q73" i="46"/>
  <c r="Q71" i="46"/>
  <c r="O22" i="11" s="1"/>
  <c r="P10" i="95"/>
  <c r="AC11" i="51"/>
  <c r="AF13" i="51"/>
  <c r="Z11" i="51"/>
  <c r="T31" i="37"/>
  <c r="AA29" i="37"/>
  <c r="AN32" i="37"/>
  <c r="T26" i="37"/>
  <c r="AA24" i="37"/>
  <c r="R20" i="37"/>
  <c r="AJ14" i="77"/>
  <c r="S29" i="46"/>
  <c r="S80" i="46"/>
  <c r="M22" i="62"/>
  <c r="M32" i="11"/>
  <c r="M49" i="11" s="1"/>
  <c r="M34" i="11"/>
  <c r="S41" i="57"/>
  <c r="T11" i="57"/>
  <c r="AA62" i="46"/>
  <c r="T48" i="51"/>
  <c r="AA36" i="46"/>
  <c r="AA37" i="46"/>
  <c r="V34" i="46"/>
  <c r="V54" i="46" s="1"/>
  <c r="V36" i="46"/>
  <c r="V38" i="46"/>
  <c r="W12" i="46"/>
  <c r="V35" i="46"/>
  <c r="V55" i="46" s="1"/>
  <c r="V37" i="46"/>
  <c r="X17" i="46"/>
  <c r="W43" i="46"/>
  <c r="S135" i="5"/>
  <c r="S137" i="5" s="1"/>
  <c r="H19" i="74"/>
  <c r="P10" i="62"/>
  <c r="P10" i="11"/>
  <c r="M26" i="62"/>
  <c r="P23" i="13"/>
  <c r="Q18" i="12"/>
  <c r="J29" i="58"/>
  <c r="H28" i="58"/>
  <c r="J28" i="11"/>
  <c r="J32" i="11"/>
  <c r="J34" i="11"/>
  <c r="J22" i="62"/>
  <c r="AC12" i="77"/>
  <c r="AJ27" i="77"/>
  <c r="AK10" i="77"/>
  <c r="N25" i="62"/>
  <c r="N26" i="11"/>
  <c r="O27" i="58"/>
  <c r="T26" i="58"/>
  <c r="M26" i="58"/>
  <c r="R26" i="58" s="1"/>
  <c r="P26" i="58" s="1"/>
  <c r="K25" i="58" s="1"/>
  <c r="I26" i="74"/>
  <c r="R11" i="13"/>
  <c r="AC35" i="11"/>
  <c r="U25" i="62"/>
  <c r="U26" i="11"/>
  <c r="U29" i="62" s="1"/>
  <c r="T37" i="26"/>
  <c r="AA37" i="26" s="1"/>
  <c r="AA25" i="26"/>
  <c r="T35" i="26"/>
  <c r="AA35" i="26" s="1"/>
  <c r="AA23" i="26"/>
  <c r="T33" i="26"/>
  <c r="AA33" i="26" s="1"/>
  <c r="AA21" i="26"/>
  <c r="T26" i="26"/>
  <c r="T31" i="26"/>
  <c r="AA19" i="26"/>
  <c r="R16" i="62"/>
  <c r="W11" i="62"/>
  <c r="Q50" i="51"/>
  <c r="Q97" i="46"/>
  <c r="AI14" i="26"/>
  <c r="W10" i="26" s="1"/>
  <c r="V10" i="26"/>
  <c r="AK10" i="26"/>
  <c r="AJ27" i="26"/>
  <c r="T135" i="5"/>
  <c r="T137" i="5" s="1"/>
  <c r="I19" i="74"/>
  <c r="O25" i="95"/>
  <c r="O25" i="97" s="1"/>
  <c r="K11" i="35"/>
  <c r="AK11" i="77"/>
  <c r="AG12" i="51" l="1"/>
  <c r="Q11" i="95" s="1"/>
  <c r="Q11" i="97" s="1"/>
  <c r="AC46" i="57"/>
  <c r="AC51" i="57" s="1"/>
  <c r="AN45" i="37"/>
  <c r="AC20" i="57"/>
  <c r="AD20" i="57" s="1"/>
  <c r="AB46" i="57"/>
  <c r="AB51" i="57" s="1"/>
  <c r="AB33" i="57" s="1"/>
  <c r="V12" i="77"/>
  <c r="I13" i="85"/>
  <c r="I14" i="83"/>
  <c r="B33" i="1"/>
  <c r="A3" i="63" s="1"/>
  <c r="T2" i="63" s="1"/>
  <c r="I34" i="1"/>
  <c r="K36" i="11"/>
  <c r="K39" i="62" s="1"/>
  <c r="AC12" i="26"/>
  <c r="AC10" i="46" s="1"/>
  <c r="AC51" i="46" s="1"/>
  <c r="Q78" i="37"/>
  <c r="AB12" i="28"/>
  <c r="J18" i="74"/>
  <c r="J19" i="74" s="1"/>
  <c r="AD10" i="26"/>
  <c r="K18" i="74" s="1"/>
  <c r="AG11" i="51"/>
  <c r="AG13" i="51" s="1"/>
  <c r="AC17" i="26"/>
  <c r="AC10" i="37" s="1"/>
  <c r="AK11" i="28"/>
  <c r="AB30" i="51"/>
  <c r="X16" i="46" s="1"/>
  <c r="X102" i="46" s="1"/>
  <c r="X22" i="78"/>
  <c r="X34" i="78" s="1"/>
  <c r="X41" i="28"/>
  <c r="H38" i="11"/>
  <c r="H46" i="11" s="1"/>
  <c r="H49" i="62" s="1"/>
  <c r="AJ27" i="28"/>
  <c r="T57" i="46"/>
  <c r="T95" i="46" s="1"/>
  <c r="T55" i="51" s="1"/>
  <c r="Y55" i="51" s="1"/>
  <c r="I36" i="11"/>
  <c r="I39" i="62" s="1"/>
  <c r="AA43" i="28"/>
  <c r="AA44" i="28" s="1"/>
  <c r="AE45" i="51" s="1"/>
  <c r="X49" i="37"/>
  <c r="X50" i="37" s="1"/>
  <c r="X52" i="37" s="1"/>
  <c r="W9" i="11"/>
  <c r="V16" i="11"/>
  <c r="V18" i="11" s="1"/>
  <c r="V21" i="62" s="1"/>
  <c r="AK15" i="78"/>
  <c r="Y11" i="78" s="1"/>
  <c r="Y17" i="78" s="1"/>
  <c r="Y19" i="78" s="1"/>
  <c r="X24" i="78"/>
  <c r="X36" i="78" s="1"/>
  <c r="X20" i="78"/>
  <c r="X32" i="78" s="1"/>
  <c r="X25" i="78"/>
  <c r="X37" i="78" s="1"/>
  <c r="X21" i="78"/>
  <c r="X33" i="78" s="1"/>
  <c r="X23" i="78"/>
  <c r="X35" i="78" s="1"/>
  <c r="AC11" i="28"/>
  <c r="AG17" i="51" s="1"/>
  <c r="Q16" i="95" s="1"/>
  <c r="Q16" i="97" s="1"/>
  <c r="AN40" i="37"/>
  <c r="AN74" i="37"/>
  <c r="AN43" i="37"/>
  <c r="G28" i="11"/>
  <c r="G31" i="62" s="1"/>
  <c r="T19" i="11"/>
  <c r="T28" i="11" s="1"/>
  <c r="AA26" i="26"/>
  <c r="AE20" i="51"/>
  <c r="AC9" i="62" s="1"/>
  <c r="G22" i="62"/>
  <c r="T58" i="46"/>
  <c r="T96" i="46" s="1"/>
  <c r="T56" i="51" s="1"/>
  <c r="Y56" i="51" s="1"/>
  <c r="T56" i="46"/>
  <c r="T68" i="46" s="1"/>
  <c r="AA68" i="46" s="1"/>
  <c r="G34" i="11"/>
  <c r="G37" i="62" s="1"/>
  <c r="G56" i="62" s="1"/>
  <c r="U28" i="11"/>
  <c r="U31" i="62" s="1"/>
  <c r="S91" i="46"/>
  <c r="S51" i="51" s="1"/>
  <c r="AC13" i="51"/>
  <c r="K31" i="62"/>
  <c r="W17" i="77"/>
  <c r="W23" i="37" s="1"/>
  <c r="W12" i="77"/>
  <c r="AL10" i="28"/>
  <c r="AD10" i="28"/>
  <c r="AK10" i="78"/>
  <c r="AD10" i="78" s="1"/>
  <c r="T47" i="46"/>
  <c r="T53" i="46"/>
  <c r="AA53" i="46" s="1"/>
  <c r="AA42" i="46"/>
  <c r="AA47" i="46" s="1"/>
  <c r="AA25" i="57"/>
  <c r="AA33" i="57"/>
  <c r="O30" i="95"/>
  <c r="O30" i="97" s="1"/>
  <c r="K13" i="35"/>
  <c r="AA38" i="28"/>
  <c r="S52" i="37"/>
  <c r="AA50" i="37"/>
  <c r="AN53" i="37"/>
  <c r="P15" i="95"/>
  <c r="AF18" i="51"/>
  <c r="AF20" i="51" s="1"/>
  <c r="AA26" i="78"/>
  <c r="Z16" i="51"/>
  <c r="V17" i="28"/>
  <c r="AI15" i="28"/>
  <c r="W11" i="28" s="1"/>
  <c r="AA17" i="51" s="1"/>
  <c r="V11" i="28"/>
  <c r="Z17" i="51" s="1"/>
  <c r="AD25" i="57"/>
  <c r="AD33" i="57"/>
  <c r="T38" i="28"/>
  <c r="AC10" i="78"/>
  <c r="AC12" i="78" s="1"/>
  <c r="AJ27" i="78"/>
  <c r="Q10" i="62"/>
  <c r="Q10" i="11"/>
  <c r="K12" i="35"/>
  <c r="O29" i="95"/>
  <c r="AE31" i="51"/>
  <c r="S57" i="37"/>
  <c r="S76" i="37" s="1"/>
  <c r="Q24" i="11" s="1"/>
  <c r="AA55" i="37"/>
  <c r="AK11" i="78"/>
  <c r="AL11" i="78" s="1"/>
  <c r="AE11" i="78" s="1"/>
  <c r="AE17" i="78" s="1"/>
  <c r="AE21" i="78" s="1"/>
  <c r="AE33" i="78" s="1"/>
  <c r="O15" i="97"/>
  <c r="O17" i="97" s="1"/>
  <c r="O17" i="95"/>
  <c r="AB12" i="78"/>
  <c r="R46" i="37"/>
  <c r="V56" i="37"/>
  <c r="V53" i="37"/>
  <c r="V58" i="37"/>
  <c r="V55" i="37"/>
  <c r="V50" i="37"/>
  <c r="V52" i="37" s="1"/>
  <c r="AC17" i="28"/>
  <c r="AG16" i="51"/>
  <c r="T44" i="37"/>
  <c r="AA42" i="37"/>
  <c r="T39" i="37"/>
  <c r="AA37" i="37"/>
  <c r="Y31" i="51"/>
  <c r="W11" i="78"/>
  <c r="W17" i="78" s="1"/>
  <c r="AB17" i="78" s="1"/>
  <c r="AN56" i="37"/>
  <c r="AC19" i="78"/>
  <c r="AC23" i="78"/>
  <c r="AC35" i="78" s="1"/>
  <c r="AG30" i="51"/>
  <c r="AC20" i="78"/>
  <c r="AC32" i="78" s="1"/>
  <c r="AC24" i="78"/>
  <c r="AC36" i="78" s="1"/>
  <c r="AC21" i="78"/>
  <c r="AC33" i="78" s="1"/>
  <c r="AC25" i="78"/>
  <c r="AC37" i="78" s="1"/>
  <c r="AC49" i="37"/>
  <c r="AC22" i="78"/>
  <c r="AC34" i="78" s="1"/>
  <c r="AC41" i="28"/>
  <c r="S38" i="78"/>
  <c r="AA31" i="78"/>
  <c r="AA38" i="78" s="1"/>
  <c r="AI14" i="78"/>
  <c r="AJ14" i="78" s="1"/>
  <c r="AK14" i="78" s="1"/>
  <c r="AL14" i="78" s="1"/>
  <c r="V10" i="78"/>
  <c r="V12" i="78" s="1"/>
  <c r="S46" i="37"/>
  <c r="AC12" i="57"/>
  <c r="AD12" i="57" s="1"/>
  <c r="AA26" i="28"/>
  <c r="Y41" i="51"/>
  <c r="W10" i="62" s="1"/>
  <c r="S102" i="46"/>
  <c r="AA16" i="46"/>
  <c r="AA102" i="46" s="1"/>
  <c r="S77" i="37"/>
  <c r="Q25" i="11" s="1"/>
  <c r="AA58" i="37"/>
  <c r="AN58" i="37" s="1"/>
  <c r="W10" i="28"/>
  <c r="AJ14" i="28"/>
  <c r="AC33" i="57"/>
  <c r="AC25" i="57"/>
  <c r="V31" i="78"/>
  <c r="V38" i="78" s="1"/>
  <c r="V26" i="78"/>
  <c r="AC30" i="51"/>
  <c r="Y16" i="46" s="1"/>
  <c r="AL11" i="77"/>
  <c r="AE11" i="77" s="1"/>
  <c r="AE17" i="77" s="1"/>
  <c r="W17" i="26"/>
  <c r="U140" i="5"/>
  <c r="U142" i="5" s="1"/>
  <c r="J26" i="74"/>
  <c r="O28" i="58"/>
  <c r="M27" i="58"/>
  <c r="R27" i="58" s="1"/>
  <c r="P27" i="58" s="1"/>
  <c r="K26" i="58" s="1"/>
  <c r="T27" i="58"/>
  <c r="G32" i="19"/>
  <c r="G36" i="92"/>
  <c r="G37" i="92" s="1"/>
  <c r="J37" i="62"/>
  <c r="U34" i="11"/>
  <c r="U37" i="62" s="1"/>
  <c r="J31" i="62"/>
  <c r="O26" i="62"/>
  <c r="Q23" i="13"/>
  <c r="Q26" i="13" s="1"/>
  <c r="R23" i="13"/>
  <c r="V23" i="11"/>
  <c r="X12" i="46"/>
  <c r="W35" i="46"/>
  <c r="W55" i="46" s="1"/>
  <c r="W37" i="46"/>
  <c r="W34" i="46"/>
  <c r="W54" i="46" s="1"/>
  <c r="W36" i="46"/>
  <c r="W38" i="46"/>
  <c r="Y48" i="51"/>
  <c r="M35" i="62"/>
  <c r="M52" i="62" s="1"/>
  <c r="M36" i="11"/>
  <c r="M39" i="62" s="1"/>
  <c r="AK14" i="77"/>
  <c r="AL14" i="77" s="1"/>
  <c r="P10" i="97"/>
  <c r="P12" i="97" s="1"/>
  <c r="P12" i="95"/>
  <c r="AN17" i="37"/>
  <c r="T18" i="37"/>
  <c r="AA16" i="37"/>
  <c r="O24" i="95"/>
  <c r="AE26" i="51"/>
  <c r="K10" i="35"/>
  <c r="R31" i="57"/>
  <c r="K21" i="53"/>
  <c r="AL11" i="26"/>
  <c r="I12" i="12"/>
  <c r="T12" i="12" s="1"/>
  <c r="G54" i="40"/>
  <c r="G58" i="40" s="1"/>
  <c r="P16" i="11"/>
  <c r="K33" i="63"/>
  <c r="AE33" i="11"/>
  <c r="T67" i="46"/>
  <c r="AA67" i="46" s="1"/>
  <c r="AA55" i="46"/>
  <c r="AA93" i="46" s="1"/>
  <c r="AE53" i="51" s="1"/>
  <c r="E29" i="95" s="1"/>
  <c r="E29" i="97" s="1"/>
  <c r="T93" i="46"/>
  <c r="T53" i="51" s="1"/>
  <c r="Y53" i="51" s="1"/>
  <c r="T92" i="46"/>
  <c r="T52" i="51" s="1"/>
  <c r="Y52" i="51" s="1"/>
  <c r="AA54" i="46"/>
  <c r="AA92" i="46" s="1"/>
  <c r="AE52" i="51" s="1"/>
  <c r="E28" i="95" s="1"/>
  <c r="E28" i="97" s="1"/>
  <c r="T66" i="46"/>
  <c r="AE48" i="51"/>
  <c r="S42" i="57"/>
  <c r="S24" i="57" s="1"/>
  <c r="AJ15" i="26"/>
  <c r="X11" i="26" s="1"/>
  <c r="G38" i="57"/>
  <c r="Z48" i="51"/>
  <c r="X22" i="12"/>
  <c r="M26" i="11"/>
  <c r="V22" i="11"/>
  <c r="M25" i="62"/>
  <c r="G18" i="79"/>
  <c r="AC30" i="37"/>
  <c r="AP30" i="37" s="1"/>
  <c r="AC32" i="37"/>
  <c r="AP32" i="37" s="1"/>
  <c r="AC24" i="37"/>
  <c r="AC26" i="37" s="1"/>
  <c r="AC27" i="37"/>
  <c r="AP27" i="37" s="1"/>
  <c r="AC29" i="37"/>
  <c r="AC63" i="46"/>
  <c r="AC89" i="46"/>
  <c r="AG49" i="51" s="1"/>
  <c r="G25" i="95" s="1"/>
  <c r="G25" i="97" s="1"/>
  <c r="AD17" i="26"/>
  <c r="AL10" i="26"/>
  <c r="AK27" i="26"/>
  <c r="W16" i="62"/>
  <c r="AC11" i="62"/>
  <c r="AC16" i="62" s="1"/>
  <c r="AD11" i="77"/>
  <c r="AD17" i="77" s="1"/>
  <c r="V12" i="26"/>
  <c r="V10" i="46" s="1"/>
  <c r="V51" i="46" s="1"/>
  <c r="V17" i="26"/>
  <c r="AJ14" i="26"/>
  <c r="X10" i="26" s="1"/>
  <c r="X50" i="51"/>
  <c r="X57" i="51" s="1"/>
  <c r="Q57" i="51"/>
  <c r="T38" i="26"/>
  <c r="AA31" i="26"/>
  <c r="AA38" i="26" s="1"/>
  <c r="AC11" i="13"/>
  <c r="P11" i="66" s="1"/>
  <c r="J35" i="63"/>
  <c r="I19" i="19"/>
  <c r="I20" i="19" s="1"/>
  <c r="N29" i="62"/>
  <c r="N28" i="11"/>
  <c r="AL10" i="77"/>
  <c r="AE10" i="77" s="1"/>
  <c r="AK27" i="77"/>
  <c r="AD10" i="77"/>
  <c r="J35" i="62"/>
  <c r="J52" i="62" s="1"/>
  <c r="U32" i="11"/>
  <c r="J36" i="11"/>
  <c r="J39" i="62" s="1"/>
  <c r="J49" i="11"/>
  <c r="J30" i="58"/>
  <c r="H29" i="58"/>
  <c r="P26" i="13"/>
  <c r="P27" i="62"/>
  <c r="P43" i="62"/>
  <c r="P36" i="62"/>
  <c r="P34" i="62"/>
  <c r="P38" i="62"/>
  <c r="P28" i="62"/>
  <c r="G35" i="62"/>
  <c r="G52" i="62" s="1"/>
  <c r="T32" i="11"/>
  <c r="G49" i="11"/>
  <c r="Y17" i="46"/>
  <c r="X43" i="46"/>
  <c r="V93" i="46"/>
  <c r="Z53" i="51" s="1"/>
  <c r="V67" i="46"/>
  <c r="V66" i="46"/>
  <c r="V92" i="46"/>
  <c r="Z52" i="51" s="1"/>
  <c r="U11" i="57"/>
  <c r="T41" i="57"/>
  <c r="M37" i="62"/>
  <c r="X10" i="77"/>
  <c r="P23" i="11"/>
  <c r="R78" i="37"/>
  <c r="T28" i="37"/>
  <c r="T33" i="37" s="1"/>
  <c r="AA26" i="37"/>
  <c r="AN29" i="37"/>
  <c r="AA31" i="37"/>
  <c r="AN31" i="37" s="1"/>
  <c r="AA11" i="51"/>
  <c r="Z13" i="51"/>
  <c r="O25" i="62"/>
  <c r="O26" i="11"/>
  <c r="O29" i="62" s="1"/>
  <c r="T77" i="37"/>
  <c r="AA19" i="37"/>
  <c r="T13" i="37"/>
  <c r="AA11" i="37"/>
  <c r="AN14" i="37"/>
  <c r="T11" i="46"/>
  <c r="T41" i="51"/>
  <c r="L19" i="53"/>
  <c r="L21" i="53" s="1"/>
  <c r="M36" i="53"/>
  <c r="M38" i="53" s="1"/>
  <c r="AD11" i="26"/>
  <c r="G9" i="79"/>
  <c r="H10" i="66"/>
  <c r="H15" i="66" s="1"/>
  <c r="H43" i="63"/>
  <c r="H32" i="65" s="1"/>
  <c r="O19" i="11"/>
  <c r="V23" i="37"/>
  <c r="V19" i="77"/>
  <c r="V20" i="77"/>
  <c r="V21" i="77"/>
  <c r="V22" i="77"/>
  <c r="V23" i="77"/>
  <c r="V24" i="77"/>
  <c r="V25" i="77"/>
  <c r="V41" i="26"/>
  <c r="Z25" i="51"/>
  <c r="AJ15" i="77"/>
  <c r="X11" i="77" s="1"/>
  <c r="X17" i="77" s="1"/>
  <c r="R29" i="46"/>
  <c r="R80" i="46"/>
  <c r="R91" i="46" s="1"/>
  <c r="R51" i="51" s="1"/>
  <c r="R65" i="46"/>
  <c r="R39" i="46"/>
  <c r="R52" i="46"/>
  <c r="O10" i="97"/>
  <c r="O12" i="97" s="1"/>
  <c r="O12" i="95"/>
  <c r="W11" i="26"/>
  <c r="W12" i="26" s="1"/>
  <c r="W10" i="46" s="1"/>
  <c r="W51" i="46" s="1"/>
  <c r="L31" i="62"/>
  <c r="L38" i="11"/>
  <c r="S64" i="46"/>
  <c r="S90" i="46"/>
  <c r="S59" i="46"/>
  <c r="X50" i="46"/>
  <c r="W88" i="46"/>
  <c r="W62" i="46"/>
  <c r="Q25" i="95"/>
  <c r="Q25" i="97" s="1"/>
  <c r="M11" i="35"/>
  <c r="AC26" i="77"/>
  <c r="AC31" i="77"/>
  <c r="AC38" i="77" s="1"/>
  <c r="U135" i="5"/>
  <c r="U137" i="5" s="1"/>
  <c r="AE11" i="62"/>
  <c r="AE16" i="62" s="1"/>
  <c r="X31" i="78"/>
  <c r="X55" i="37"/>
  <c r="W23" i="13" l="1"/>
  <c r="AK27" i="28"/>
  <c r="Q10" i="95"/>
  <c r="O19" i="97"/>
  <c r="AB25" i="57"/>
  <c r="K38" i="11"/>
  <c r="K42" i="11" s="1"/>
  <c r="K10" i="13" s="1"/>
  <c r="AC20" i="26"/>
  <c r="AC32" i="26" s="1"/>
  <c r="AA57" i="46"/>
  <c r="AA95" i="46" s="1"/>
  <c r="AE55" i="51" s="1"/>
  <c r="E31" i="95" s="1"/>
  <c r="E31" i="97" s="1"/>
  <c r="I35" i="1"/>
  <c r="B34" i="1"/>
  <c r="A3" i="65" s="1"/>
  <c r="N2" i="65" s="1"/>
  <c r="I14" i="85"/>
  <c r="I15" i="83"/>
  <c r="AC24" i="26"/>
  <c r="AC36" i="26" s="1"/>
  <c r="AC19" i="26"/>
  <c r="AC31" i="26" s="1"/>
  <c r="AF20" i="57"/>
  <c r="Q12" i="65" s="1"/>
  <c r="Y22" i="78"/>
  <c r="Y49" i="37"/>
  <c r="Y50" i="37" s="1"/>
  <c r="Y52" i="37" s="1"/>
  <c r="AH11" i="51"/>
  <c r="R10" i="95" s="1"/>
  <c r="W21" i="77"/>
  <c r="W33" i="77" s="1"/>
  <c r="AC23" i="26"/>
  <c r="AC35" i="26" s="1"/>
  <c r="V12" i="28"/>
  <c r="V15" i="46" s="1"/>
  <c r="V44" i="46" s="1"/>
  <c r="V56" i="46" s="1"/>
  <c r="AE20" i="78"/>
  <c r="AE32" i="78" s="1"/>
  <c r="AC22" i="26"/>
  <c r="AC34" i="26" s="1"/>
  <c r="AC42" i="26"/>
  <c r="AC43" i="26" s="1"/>
  <c r="AC44" i="26" s="1"/>
  <c r="AG44" i="51" s="1"/>
  <c r="AD11" i="28"/>
  <c r="AH17" i="51" s="1"/>
  <c r="R16" i="95" s="1"/>
  <c r="R16" i="97" s="1"/>
  <c r="AE11" i="26"/>
  <c r="AI12" i="51" s="1"/>
  <c r="S11" i="95" s="1"/>
  <c r="S11" i="97" s="1"/>
  <c r="AL11" i="28"/>
  <c r="AE10" i="26"/>
  <c r="AE17" i="26" s="1"/>
  <c r="AG24" i="51"/>
  <c r="Q24" i="95" s="1"/>
  <c r="AC25" i="26"/>
  <c r="AC37" i="26" s="1"/>
  <c r="AC21" i="26"/>
  <c r="AC33" i="26" s="1"/>
  <c r="T69" i="46"/>
  <c r="AA69" i="46" s="1"/>
  <c r="AI30" i="51"/>
  <c r="S30" i="95" s="1"/>
  <c r="S30" i="97" s="1"/>
  <c r="AE19" i="78"/>
  <c r="AE31" i="78" s="1"/>
  <c r="AE24" i="78"/>
  <c r="AE36" i="78" s="1"/>
  <c r="H41" i="62"/>
  <c r="H42" i="11"/>
  <c r="H10" i="13" s="1"/>
  <c r="AE23" i="78"/>
  <c r="AE35" i="78" s="1"/>
  <c r="X58" i="37"/>
  <c r="Y25" i="78"/>
  <c r="Y37" i="78" s="1"/>
  <c r="Y21" i="78"/>
  <c r="Y33" i="78" s="1"/>
  <c r="X56" i="37"/>
  <c r="X57" i="37" s="1"/>
  <c r="T22" i="62"/>
  <c r="Y24" i="78"/>
  <c r="Y36" i="78" s="1"/>
  <c r="Y20" i="78"/>
  <c r="Y32" i="78" s="1"/>
  <c r="AE41" i="28"/>
  <c r="AE22" i="78"/>
  <c r="AE34" i="78" s="1"/>
  <c r="AE49" i="37"/>
  <c r="AE50" i="37" s="1"/>
  <c r="AE52" i="37" s="1"/>
  <c r="X53" i="37"/>
  <c r="X54" i="37" s="1"/>
  <c r="W25" i="77"/>
  <c r="W37" i="77" s="1"/>
  <c r="Y41" i="28"/>
  <c r="Y23" i="78"/>
  <c r="Y35" i="78" s="1"/>
  <c r="AE25" i="78"/>
  <c r="AE37" i="78" s="1"/>
  <c r="I38" i="11"/>
  <c r="I41" i="62" s="1"/>
  <c r="P9" i="63"/>
  <c r="O19" i="95"/>
  <c r="X26" i="78"/>
  <c r="V19" i="62"/>
  <c r="AC12" i="28"/>
  <c r="AC15" i="46" s="1"/>
  <c r="AC45" i="46" s="1"/>
  <c r="AD11" i="78"/>
  <c r="AD17" i="78" s="1"/>
  <c r="AD19" i="78" s="1"/>
  <c r="V54" i="37"/>
  <c r="Z18" i="51"/>
  <c r="Z20" i="51" s="1"/>
  <c r="X9" i="62" s="1"/>
  <c r="AC9" i="11"/>
  <c r="J9" i="63" s="1"/>
  <c r="K14" i="35"/>
  <c r="K16" i="35" s="1"/>
  <c r="T76" i="37"/>
  <c r="T82" i="37" s="1"/>
  <c r="V57" i="37"/>
  <c r="T34" i="11"/>
  <c r="T37" i="62" s="1"/>
  <c r="W10" i="11"/>
  <c r="G36" i="11"/>
  <c r="G39" i="62" s="1"/>
  <c r="G53" i="11"/>
  <c r="T70" i="46"/>
  <c r="AA70" i="46" s="1"/>
  <c r="AA58" i="46"/>
  <c r="AA96" i="46" s="1"/>
  <c r="AE56" i="51" s="1"/>
  <c r="E32" i="95" s="1"/>
  <c r="E32" i="97" s="1"/>
  <c r="AA56" i="46"/>
  <c r="AA94" i="46" s="1"/>
  <c r="AE54" i="51" s="1"/>
  <c r="E30" i="95" s="1"/>
  <c r="E30" i="97" s="1"/>
  <c r="Q27" i="62"/>
  <c r="X10" i="78"/>
  <c r="X12" i="78" s="1"/>
  <c r="T94" i="46"/>
  <c r="T54" i="51" s="1"/>
  <c r="Y54" i="51" s="1"/>
  <c r="W10" i="78"/>
  <c r="W12" i="78" s="1"/>
  <c r="AE41" i="51"/>
  <c r="AC10" i="11" s="1"/>
  <c r="J10" i="63" s="1"/>
  <c r="AL27" i="77"/>
  <c r="AA25" i="51"/>
  <c r="W23" i="77"/>
  <c r="W35" i="77" s="1"/>
  <c r="W19" i="77"/>
  <c r="W31" i="77" s="1"/>
  <c r="Q28" i="62"/>
  <c r="W24" i="77"/>
  <c r="W36" i="77" s="1"/>
  <c r="W20" i="77"/>
  <c r="W32" i="77" s="1"/>
  <c r="W41" i="26"/>
  <c r="W42" i="26" s="1"/>
  <c r="W43" i="26" s="1"/>
  <c r="W44" i="26" s="1"/>
  <c r="AA44" i="51" s="1"/>
  <c r="W22" i="77"/>
  <c r="W34" i="77" s="1"/>
  <c r="AD9" i="11"/>
  <c r="K9" i="63" s="1"/>
  <c r="Q9" i="63"/>
  <c r="AD9" i="62"/>
  <c r="AN55" i="37"/>
  <c r="AA57" i="37"/>
  <c r="AN57" i="37" s="1"/>
  <c r="O31" i="95"/>
  <c r="O29" i="97"/>
  <c r="O31" i="97" s="1"/>
  <c r="R14" i="11"/>
  <c r="R17" i="62" s="1"/>
  <c r="AR38" i="28"/>
  <c r="AJ15" i="28"/>
  <c r="AK15" i="28" s="1"/>
  <c r="Y11" i="28" s="1"/>
  <c r="AC17" i="51" s="1"/>
  <c r="S54" i="37"/>
  <c r="AA52" i="37"/>
  <c r="AD17" i="28"/>
  <c r="AH16" i="51"/>
  <c r="AE12" i="77"/>
  <c r="AK14" i="28"/>
  <c r="AL14" i="28" s="1"/>
  <c r="AC31" i="78"/>
  <c r="AC38" i="78" s="1"/>
  <c r="AC26" i="78"/>
  <c r="AF33" i="57"/>
  <c r="P15" i="97"/>
  <c r="P17" i="97" s="1"/>
  <c r="P19" i="97" s="1"/>
  <c r="P17" i="95"/>
  <c r="P19" i="95" s="1"/>
  <c r="AE10" i="28"/>
  <c r="AL10" i="78"/>
  <c r="AL27" i="78" s="1"/>
  <c r="H44" i="63"/>
  <c r="H38" i="65" s="1"/>
  <c r="X10" i="28"/>
  <c r="AC58" i="37"/>
  <c r="AP58" i="37" s="1"/>
  <c r="AC50" i="37"/>
  <c r="AC52" i="37" s="1"/>
  <c r="AC55" i="37"/>
  <c r="AC53" i="37"/>
  <c r="AP53" i="37" s="1"/>
  <c r="AC56" i="37"/>
  <c r="AP56" i="37" s="1"/>
  <c r="T41" i="37"/>
  <c r="T46" i="37" s="1"/>
  <c r="AA39" i="37"/>
  <c r="AG18" i="51"/>
  <c r="AG20" i="51" s="1"/>
  <c r="Q15" i="95"/>
  <c r="I12" i="65"/>
  <c r="AF25" i="57"/>
  <c r="V45" i="46"/>
  <c r="V57" i="46" s="1"/>
  <c r="V46" i="46"/>
  <c r="V58" i="46" s="1"/>
  <c r="AD12" i="77"/>
  <c r="Y10" i="77"/>
  <c r="W17" i="28"/>
  <c r="AA16" i="51"/>
  <c r="AA18" i="51" s="1"/>
  <c r="W12" i="28"/>
  <c r="W15" i="46" s="1"/>
  <c r="AR38" i="78"/>
  <c r="Q14" i="11"/>
  <c r="Q30" i="95"/>
  <c r="Q30" i="97" s="1"/>
  <c r="AC16" i="46"/>
  <c r="AC102" i="46" s="1"/>
  <c r="M13" i="35"/>
  <c r="W49" i="37"/>
  <c r="W22" i="78"/>
  <c r="W34" i="78" s="1"/>
  <c r="AA30" i="51"/>
  <c r="W16" i="46" s="1"/>
  <c r="W102" i="46" s="1"/>
  <c r="W19" i="78"/>
  <c r="W23" i="78"/>
  <c r="W41" i="28"/>
  <c r="W20" i="78"/>
  <c r="W24" i="78"/>
  <c r="W36" i="78" s="1"/>
  <c r="W21" i="78"/>
  <c r="W25" i="78"/>
  <c r="AA44" i="37"/>
  <c r="AN44" i="37" s="1"/>
  <c r="AN42" i="37"/>
  <c r="AC36" i="37"/>
  <c r="AP74" i="37" s="1"/>
  <c r="AC22" i="28"/>
  <c r="AC34" i="28" s="1"/>
  <c r="AC42" i="28"/>
  <c r="AC19" i="28"/>
  <c r="AC23" i="28"/>
  <c r="AC35" i="28" s="1"/>
  <c r="AG29" i="51"/>
  <c r="AC20" i="28"/>
  <c r="AC32" i="28" s="1"/>
  <c r="AC24" i="28"/>
  <c r="AC36" i="28" s="1"/>
  <c r="AE12" i="62"/>
  <c r="AC21" i="28"/>
  <c r="AC33" i="28" s="1"/>
  <c r="AC25" i="28"/>
  <c r="AC37" i="28" s="1"/>
  <c r="Q38" i="62"/>
  <c r="Q34" i="62"/>
  <c r="Q43" i="62"/>
  <c r="Q36" i="62"/>
  <c r="X12" i="62"/>
  <c r="V21" i="28"/>
  <c r="V33" i="28" s="1"/>
  <c r="V25" i="28"/>
  <c r="V37" i="28" s="1"/>
  <c r="V36" i="37"/>
  <c r="V22" i="28"/>
  <c r="V34" i="28" s="1"/>
  <c r="V42" i="28"/>
  <c r="V43" i="28" s="1"/>
  <c r="V44" i="28" s="1"/>
  <c r="Z45" i="51" s="1"/>
  <c r="V19" i="28"/>
  <c r="V23" i="28"/>
  <c r="V35" i="28" s="1"/>
  <c r="Z29" i="51"/>
  <c r="Z31" i="51" s="1"/>
  <c r="V20" i="28"/>
  <c r="V32" i="28" s="1"/>
  <c r="V24" i="28"/>
  <c r="V36" i="28" s="1"/>
  <c r="AK27" i="78"/>
  <c r="W63" i="46"/>
  <c r="W89" i="46"/>
  <c r="AA49" i="51" s="1"/>
  <c r="X23" i="37"/>
  <c r="X19" i="77"/>
  <c r="X20" i="77"/>
  <c r="X32" i="77" s="1"/>
  <c r="X21" i="77"/>
  <c r="X33" i="77" s="1"/>
  <c r="X22" i="77"/>
  <c r="X34" i="77" s="1"/>
  <c r="X23" i="77"/>
  <c r="X35" i="77" s="1"/>
  <c r="X24" i="77"/>
  <c r="X36" i="77" s="1"/>
  <c r="X25" i="77"/>
  <c r="X37" i="77" s="1"/>
  <c r="X41" i="26"/>
  <c r="AB25" i="51"/>
  <c r="X12" i="26"/>
  <c r="X10" i="46" s="1"/>
  <c r="X51" i="46" s="1"/>
  <c r="X17" i="26"/>
  <c r="L18" i="74"/>
  <c r="X38" i="78"/>
  <c r="AC11" i="37"/>
  <c r="AC13" i="37" s="1"/>
  <c r="AC14" i="37"/>
  <c r="AP14" i="37" s="1"/>
  <c r="AC16" i="37"/>
  <c r="AC17" i="37"/>
  <c r="AP17" i="37" s="1"/>
  <c r="AC19" i="37"/>
  <c r="AA48" i="51"/>
  <c r="S50" i="51"/>
  <c r="S57" i="51" s="1"/>
  <c r="S97" i="46"/>
  <c r="L42" i="11"/>
  <c r="L46" i="11"/>
  <c r="L49" i="62" s="1"/>
  <c r="L41" i="62"/>
  <c r="R90" i="46"/>
  <c r="R64" i="46"/>
  <c r="R59" i="46"/>
  <c r="V37" i="77"/>
  <c r="V35" i="77"/>
  <c r="V33" i="77"/>
  <c r="V31" i="77"/>
  <c r="V26" i="77"/>
  <c r="V27" i="37"/>
  <c r="V29" i="37"/>
  <c r="V24" i="37"/>
  <c r="V30" i="37"/>
  <c r="V32" i="37"/>
  <c r="O22" i="62"/>
  <c r="O28" i="11"/>
  <c r="O32" i="11"/>
  <c r="O34" i="11"/>
  <c r="G11" i="79"/>
  <c r="M19" i="53"/>
  <c r="M21" i="53" s="1"/>
  <c r="N36" i="53"/>
  <c r="N38" i="53" s="1"/>
  <c r="R10" i="62"/>
  <c r="R10" i="11"/>
  <c r="T15" i="37"/>
  <c r="AA13" i="37"/>
  <c r="R25" i="11"/>
  <c r="T83" i="37"/>
  <c r="AA13" i="51"/>
  <c r="AB11" i="51"/>
  <c r="AB13" i="51" s="1"/>
  <c r="X12" i="77"/>
  <c r="U41" i="57"/>
  <c r="U42" i="57" s="1"/>
  <c r="U24" i="57" s="1"/>
  <c r="V11" i="57"/>
  <c r="V19" i="11"/>
  <c r="X11" i="62"/>
  <c r="V10" i="37"/>
  <c r="V19" i="26"/>
  <c r="V20" i="26"/>
  <c r="V21" i="26"/>
  <c r="V22" i="26"/>
  <c r="V23" i="26"/>
  <c r="V24" i="26"/>
  <c r="V25" i="26"/>
  <c r="V42" i="26"/>
  <c r="V43" i="26" s="1"/>
  <c r="V44" i="26" s="1"/>
  <c r="Z44" i="51" s="1"/>
  <c r="Z24" i="51"/>
  <c r="Z26" i="51" s="1"/>
  <c r="AD23" i="37"/>
  <c r="AD19" i="77"/>
  <c r="AD20" i="77"/>
  <c r="AD32" i="77" s="1"/>
  <c r="AD21" i="77"/>
  <c r="AD33" i="77" s="1"/>
  <c r="AD22" i="77"/>
  <c r="AD34" i="77" s="1"/>
  <c r="AD23" i="77"/>
  <c r="AD35" i="77" s="1"/>
  <c r="AD24" i="77"/>
  <c r="AD36" i="77" s="1"/>
  <c r="AD25" i="77"/>
  <c r="AD37" i="77" s="1"/>
  <c r="AD41" i="26"/>
  <c r="AH25" i="51"/>
  <c r="AF11" i="62"/>
  <c r="AF16" i="62" s="1"/>
  <c r="AD10" i="37"/>
  <c r="AH24" i="51"/>
  <c r="AD19" i="26"/>
  <c r="AD20" i="26"/>
  <c r="AD32" i="26" s="1"/>
  <c r="AD21" i="26"/>
  <c r="AD33" i="26" s="1"/>
  <c r="AD22" i="26"/>
  <c r="AD34" i="26" s="1"/>
  <c r="AD23" i="26"/>
  <c r="AD35" i="26" s="1"/>
  <c r="AD24" i="26"/>
  <c r="AD36" i="26" s="1"/>
  <c r="AD25" i="26"/>
  <c r="AD37" i="26" s="1"/>
  <c r="AD42" i="26"/>
  <c r="Q10" i="97"/>
  <c r="Q12" i="97" s="1"/>
  <c r="Q12" i="95"/>
  <c r="M29" i="62"/>
  <c r="M28" i="11"/>
  <c r="Y22" i="12"/>
  <c r="G19" i="57"/>
  <c r="H36" i="57"/>
  <c r="H38" i="57" s="1"/>
  <c r="AK15" i="26"/>
  <c r="Y11" i="26" s="1"/>
  <c r="S31" i="57"/>
  <c r="AA66" i="46"/>
  <c r="AF33" i="11"/>
  <c r="L33" i="63"/>
  <c r="Y10" i="78"/>
  <c r="Y12" i="78" s="1"/>
  <c r="P18" i="11"/>
  <c r="P21" i="62" s="1"/>
  <c r="P19" i="62"/>
  <c r="J12" i="12"/>
  <c r="H54" i="40"/>
  <c r="H58" i="40" s="1"/>
  <c r="AA18" i="37"/>
  <c r="AN16" i="37"/>
  <c r="W92" i="46"/>
  <c r="AA52" i="51" s="1"/>
  <c r="W66" i="46"/>
  <c r="W67" i="46"/>
  <c r="W93" i="46"/>
  <c r="AA53" i="51" s="1"/>
  <c r="V26" i="62"/>
  <c r="J38" i="11"/>
  <c r="M28" i="58"/>
  <c r="R28" i="58" s="1"/>
  <c r="P28" i="58" s="1"/>
  <c r="K27" i="58" s="1"/>
  <c r="O29" i="58"/>
  <c r="T28" i="58"/>
  <c r="Y31" i="78"/>
  <c r="X62" i="46"/>
  <c r="Y50" i="46"/>
  <c r="X88" i="46"/>
  <c r="S73" i="46"/>
  <c r="S71" i="46"/>
  <c r="Q22" i="11" s="1"/>
  <c r="T31" i="62"/>
  <c r="AK15" i="77"/>
  <c r="Y11" i="77" s="1"/>
  <c r="V36" i="77"/>
  <c r="V34" i="77"/>
  <c r="V32" i="77"/>
  <c r="H31" i="66"/>
  <c r="G43" i="79"/>
  <c r="AH12" i="51"/>
  <c r="R11" i="95" s="1"/>
  <c r="R11" i="97" s="1"/>
  <c r="K25" i="74"/>
  <c r="T33" i="46"/>
  <c r="T101" i="46"/>
  <c r="T23" i="46"/>
  <c r="AA11" i="46"/>
  <c r="AA101" i="46" s="1"/>
  <c r="AN19" i="37"/>
  <c r="AA77" i="37"/>
  <c r="AN77" i="37" s="1"/>
  <c r="AA28" i="37"/>
  <c r="AN26" i="37"/>
  <c r="P26" i="62"/>
  <c r="AC17" i="46"/>
  <c r="Y43" i="46"/>
  <c r="AB43" i="46" s="1"/>
  <c r="T35" i="62"/>
  <c r="T52" i="62" s="1"/>
  <c r="T49" i="11"/>
  <c r="J31" i="58"/>
  <c r="H30" i="58"/>
  <c r="U35" i="62"/>
  <c r="U52" i="62" s="1"/>
  <c r="U36" i="11"/>
  <c r="U49" i="11"/>
  <c r="N31" i="62"/>
  <c r="N38" i="11"/>
  <c r="K45" i="62"/>
  <c r="K55" i="62" s="1"/>
  <c r="H22" i="87"/>
  <c r="J11" i="66"/>
  <c r="I10" i="79"/>
  <c r="R13" i="11"/>
  <c r="AR38" i="26"/>
  <c r="AK14" i="26"/>
  <c r="AL14" i="26" s="1"/>
  <c r="V89" i="46"/>
  <c r="V63" i="46"/>
  <c r="AL27" i="26"/>
  <c r="V135" i="5"/>
  <c r="V137" i="5" s="1"/>
  <c r="K19" i="74"/>
  <c r="AD12" i="26"/>
  <c r="AD10" i="46" s="1"/>
  <c r="AD51" i="46" s="1"/>
  <c r="AP29" i="37"/>
  <c r="AC31" i="37"/>
  <c r="AP31" i="37" s="1"/>
  <c r="AC28" i="37"/>
  <c r="AP26" i="37"/>
  <c r="V26" i="11"/>
  <c r="V29" i="62" s="1"/>
  <c r="V25" i="62"/>
  <c r="E24" i="95"/>
  <c r="W24" i="37"/>
  <c r="W26" i="37" s="1"/>
  <c r="W30" i="37"/>
  <c r="W32" i="37"/>
  <c r="W27" i="37"/>
  <c r="W29" i="37"/>
  <c r="O26" i="95"/>
  <c r="O24" i="97"/>
  <c r="O26" i="97" s="1"/>
  <c r="W43" i="62"/>
  <c r="W36" i="62"/>
  <c r="W34" i="62"/>
  <c r="AC10" i="62"/>
  <c r="W38" i="62"/>
  <c r="T42" i="57"/>
  <c r="T24" i="57" s="1"/>
  <c r="Y12" i="46"/>
  <c r="X34" i="46"/>
  <c r="X54" i="46" s="1"/>
  <c r="X36" i="46"/>
  <c r="X38" i="46"/>
  <c r="X35" i="46"/>
  <c r="X55" i="46" s="1"/>
  <c r="X37" i="46"/>
  <c r="Y11" i="62"/>
  <c r="Y16" i="62" s="1"/>
  <c r="W10" i="37"/>
  <c r="AA24" i="51"/>
  <c r="W19" i="26"/>
  <c r="W20" i="26"/>
  <c r="W32" i="26" s="1"/>
  <c r="W21" i="26"/>
  <c r="W33" i="26" s="1"/>
  <c r="W22" i="26"/>
  <c r="W34" i="26" s="1"/>
  <c r="W23" i="26"/>
  <c r="W35" i="26" s="1"/>
  <c r="W24" i="26"/>
  <c r="W36" i="26" s="1"/>
  <c r="W25" i="26"/>
  <c r="W37" i="26" s="1"/>
  <c r="AE23" i="37"/>
  <c r="AE19" i="77"/>
  <c r="AE20" i="77"/>
  <c r="AE32" i="77" s="1"/>
  <c r="AE21" i="77"/>
  <c r="AE33" i="77" s="1"/>
  <c r="AE22" i="77"/>
  <c r="AE34" i="77" s="1"/>
  <c r="AE23" i="77"/>
  <c r="AE35" i="77" s="1"/>
  <c r="AE24" i="77"/>
  <c r="AE36" i="77" s="1"/>
  <c r="AE25" i="77"/>
  <c r="AE37" i="77" s="1"/>
  <c r="AE41" i="26"/>
  <c r="AI25" i="51"/>
  <c r="AB49" i="37"/>
  <c r="AF30" i="51"/>
  <c r="AB41" i="28"/>
  <c r="Y102" i="46"/>
  <c r="Y34" i="78"/>
  <c r="Y58" i="37"/>
  <c r="Y53" i="37"/>
  <c r="AL27" i="28" l="1"/>
  <c r="K43" i="11"/>
  <c r="K44" i="11" s="1"/>
  <c r="K52" i="11"/>
  <c r="K41" i="62"/>
  <c r="K46" i="11"/>
  <c r="K49" i="62" s="1"/>
  <c r="H43" i="11"/>
  <c r="H44" i="11" s="1"/>
  <c r="H47" i="62" s="1"/>
  <c r="I15" i="85"/>
  <c r="I38" i="1"/>
  <c r="I16" i="83"/>
  <c r="B35" i="1"/>
  <c r="A3" i="66" s="1"/>
  <c r="N2" i="66" s="1"/>
  <c r="Y56" i="37"/>
  <c r="Y55" i="37"/>
  <c r="AE12" i="26"/>
  <c r="AE10" i="46" s="1"/>
  <c r="AE51" i="46" s="1"/>
  <c r="AE63" i="46" s="1"/>
  <c r="V42" i="46"/>
  <c r="V53" i="46" s="1"/>
  <c r="H52" i="11"/>
  <c r="AC38" i="26"/>
  <c r="AE13" i="11" s="1"/>
  <c r="L13" i="63" s="1"/>
  <c r="AC26" i="26"/>
  <c r="AI11" i="51"/>
  <c r="AI13" i="51" s="1"/>
  <c r="H45" i="62"/>
  <c r="H55" i="62" s="1"/>
  <c r="AE38" i="78"/>
  <c r="O13" i="35"/>
  <c r="AE58" i="37"/>
  <c r="AR58" i="37" s="1"/>
  <c r="AE16" i="46"/>
  <c r="AE102" i="46" s="1"/>
  <c r="AD25" i="78"/>
  <c r="AD37" i="78" s="1"/>
  <c r="AE11" i="28"/>
  <c r="AI17" i="51" s="1"/>
  <c r="S16" i="95" s="1"/>
  <c r="S16" i="97" s="1"/>
  <c r="P35" i="63"/>
  <c r="M10" i="35"/>
  <c r="AD12" i="78"/>
  <c r="S8" i="5"/>
  <c r="S150" i="5" s="1"/>
  <c r="L25" i="74"/>
  <c r="W140" i="5" s="1"/>
  <c r="W142" i="5" s="1"/>
  <c r="AG26" i="51"/>
  <c r="AC11" i="46" s="1"/>
  <c r="AD12" i="28"/>
  <c r="AD15" i="46" s="1"/>
  <c r="AD46" i="46" s="1"/>
  <c r="T8" i="5"/>
  <c r="T150" i="5" s="1"/>
  <c r="I46" i="11"/>
  <c r="I49" i="62" s="1"/>
  <c r="I42" i="11"/>
  <c r="I10" i="13" s="1"/>
  <c r="AE56" i="37"/>
  <c r="AR56" i="37" s="1"/>
  <c r="AD20" i="78"/>
  <c r="AD32" i="78" s="1"/>
  <c r="AE55" i="37"/>
  <c r="AR55" i="37" s="1"/>
  <c r="AA26" i="51"/>
  <c r="W11" i="46" s="1"/>
  <c r="AD41" i="28"/>
  <c r="AD42" i="28" s="1"/>
  <c r="AD43" i="28" s="1"/>
  <c r="AD44" i="28" s="1"/>
  <c r="AH45" i="51" s="1"/>
  <c r="AE53" i="37"/>
  <c r="AR53" i="37" s="1"/>
  <c r="K18" i="35"/>
  <c r="AD49" i="37"/>
  <c r="AD58" i="37" s="1"/>
  <c r="AQ58" i="37" s="1"/>
  <c r="X59" i="37"/>
  <c r="AE26" i="78"/>
  <c r="K19" i="35"/>
  <c r="Y26" i="78"/>
  <c r="AH30" i="51"/>
  <c r="R30" i="95" s="1"/>
  <c r="R30" i="97" s="1"/>
  <c r="AD21" i="78"/>
  <c r="AD33" i="78" s="1"/>
  <c r="AD23" i="78"/>
  <c r="AD35" i="78" s="1"/>
  <c r="AD22" i="78"/>
  <c r="AD34" i="78" s="1"/>
  <c r="AD24" i="78"/>
  <c r="AD36" i="78" s="1"/>
  <c r="V59" i="37"/>
  <c r="R24" i="11"/>
  <c r="AC24" i="11" s="1"/>
  <c r="AE10" i="78"/>
  <c r="AE12" i="78" s="1"/>
  <c r="G38" i="11"/>
  <c r="G41" i="62" s="1"/>
  <c r="AC44" i="46"/>
  <c r="AA74" i="46"/>
  <c r="AB24" i="78"/>
  <c r="P10" i="63"/>
  <c r="AC43" i="28"/>
  <c r="AC44" i="28" s="1"/>
  <c r="AG45" i="51" s="1"/>
  <c r="AC42" i="46"/>
  <c r="AC53" i="46" s="1"/>
  <c r="O33" i="97"/>
  <c r="O43" i="97" s="1"/>
  <c r="AC46" i="46"/>
  <c r="AB16" i="46"/>
  <c r="AB102" i="46" s="1"/>
  <c r="T74" i="46"/>
  <c r="X11" i="28"/>
  <c r="AB17" i="51" s="1"/>
  <c r="X9" i="11"/>
  <c r="K17" i="35"/>
  <c r="T36" i="11"/>
  <c r="T39" i="62" s="1"/>
  <c r="I45" i="62"/>
  <c r="I55" i="62" s="1"/>
  <c r="AB22" i="78"/>
  <c r="AB34" i="78"/>
  <c r="W38" i="77"/>
  <c r="W26" i="77"/>
  <c r="AA20" i="51"/>
  <c r="Y9" i="11" s="1"/>
  <c r="O33" i="95"/>
  <c r="O43" i="95" s="1"/>
  <c r="W42" i="28"/>
  <c r="W43" i="28" s="1"/>
  <c r="W44" i="28" s="1"/>
  <c r="AA45" i="51" s="1"/>
  <c r="W31" i="37"/>
  <c r="AB36" i="78"/>
  <c r="AE9" i="11"/>
  <c r="L9" i="63" s="1"/>
  <c r="R9" i="63"/>
  <c r="AE9" i="62"/>
  <c r="W28" i="37"/>
  <c r="AC40" i="37"/>
  <c r="AP40" i="37" s="1"/>
  <c r="AC42" i="37"/>
  <c r="AC43" i="37"/>
  <c r="AP43" i="37" s="1"/>
  <c r="AC37" i="37"/>
  <c r="AC39" i="37" s="1"/>
  <c r="AC45" i="37"/>
  <c r="AP45" i="37" s="1"/>
  <c r="W33" i="78"/>
  <c r="AB33" i="78" s="1"/>
  <c r="AB21" i="78"/>
  <c r="W35" i="78"/>
  <c r="AB35" i="78" s="1"/>
  <c r="AB23" i="78"/>
  <c r="W58" i="37"/>
  <c r="AB58" i="37" s="1"/>
  <c r="AO58" i="37" s="1"/>
  <c r="W53" i="37"/>
  <c r="AB53" i="37" s="1"/>
  <c r="AO53" i="37" s="1"/>
  <c r="W50" i="37"/>
  <c r="W52" i="37" s="1"/>
  <c r="W55" i="37"/>
  <c r="W56" i="37"/>
  <c r="AB56" i="37" s="1"/>
  <c r="AO56" i="37" s="1"/>
  <c r="Q17" i="62"/>
  <c r="Q16" i="11"/>
  <c r="AC14" i="11"/>
  <c r="W14" i="11"/>
  <c r="W17" i="62" s="1"/>
  <c r="W19" i="28"/>
  <c r="W23" i="28"/>
  <c r="W35" i="28" s="1"/>
  <c r="Y12" i="62"/>
  <c r="W20" i="28"/>
  <c r="W32" i="28" s="1"/>
  <c r="W24" i="28"/>
  <c r="W36" i="28" s="1"/>
  <c r="W36" i="37"/>
  <c r="W21" i="28"/>
  <c r="W33" i="28" s="1"/>
  <c r="W25" i="28"/>
  <c r="W37" i="28" s="1"/>
  <c r="AA29" i="51"/>
  <c r="AA31" i="51" s="1"/>
  <c r="W22" i="28"/>
  <c r="W34" i="28" s="1"/>
  <c r="V70" i="46"/>
  <c r="V74" i="46" s="1"/>
  <c r="V96" i="46"/>
  <c r="Z56" i="51" s="1"/>
  <c r="AD31" i="78"/>
  <c r="AC54" i="37"/>
  <c r="AP52" i="37"/>
  <c r="AE17" i="28"/>
  <c r="AI16" i="51"/>
  <c r="AH29" i="51"/>
  <c r="AD22" i="28"/>
  <c r="AD34" i="28" s="1"/>
  <c r="AF12" i="62"/>
  <c r="AD19" i="28"/>
  <c r="AD23" i="28"/>
  <c r="AD35" i="28" s="1"/>
  <c r="AD36" i="37"/>
  <c r="AD20" i="28"/>
  <c r="AD32" i="28" s="1"/>
  <c r="AD24" i="28"/>
  <c r="AD36" i="28" s="1"/>
  <c r="AD21" i="28"/>
  <c r="AD33" i="28" s="1"/>
  <c r="AD25" i="28"/>
  <c r="AD37" i="28" s="1"/>
  <c r="AC26" i="28"/>
  <c r="AC31" i="28"/>
  <c r="AC38" i="28" s="1"/>
  <c r="AE14" i="11" s="1"/>
  <c r="L14" i="63" s="1"/>
  <c r="W26" i="78"/>
  <c r="W31" i="78"/>
  <c r="AB31" i="78" s="1"/>
  <c r="AB19" i="78"/>
  <c r="V69" i="46"/>
  <c r="V95" i="46"/>
  <c r="Z55" i="51" s="1"/>
  <c r="V12" i="65"/>
  <c r="AH20" i="57"/>
  <c r="Q15" i="97"/>
  <c r="Q17" i="97" s="1"/>
  <c r="Q17" i="95"/>
  <c r="Q19" i="95" s="1"/>
  <c r="AA54" i="37"/>
  <c r="AN52" i="37"/>
  <c r="Q19" i="97"/>
  <c r="V40" i="37"/>
  <c r="V37" i="37"/>
  <c r="V39" i="37" s="1"/>
  <c r="V42" i="37"/>
  <c r="V43" i="37"/>
  <c r="V45" i="37"/>
  <c r="W32" i="78"/>
  <c r="AB32" i="78" s="1"/>
  <c r="AB20" i="78"/>
  <c r="W45" i="46"/>
  <c r="W57" i="46" s="1"/>
  <c r="W46" i="46"/>
  <c r="W58" i="46" s="1"/>
  <c r="W42" i="46"/>
  <c r="W44" i="46"/>
  <c r="W56" i="46" s="1"/>
  <c r="V94" i="46"/>
  <c r="Z54" i="51" s="1"/>
  <c r="V68" i="46"/>
  <c r="AB16" i="51"/>
  <c r="X17" i="28"/>
  <c r="S59" i="37"/>
  <c r="S75" i="37"/>
  <c r="Y10" i="26"/>
  <c r="Y17" i="26" s="1"/>
  <c r="P19" i="11"/>
  <c r="P22" i="62" s="1"/>
  <c r="V31" i="28"/>
  <c r="V38" i="28" s="1"/>
  <c r="X14" i="11" s="1"/>
  <c r="X17" i="62" s="1"/>
  <c r="V26" i="28"/>
  <c r="M12" i="35"/>
  <c r="M14" i="35" s="1"/>
  <c r="Q29" i="95"/>
  <c r="AG31" i="51"/>
  <c r="W37" i="78"/>
  <c r="AB37" i="78" s="1"/>
  <c r="AB25" i="78"/>
  <c r="V47" i="46"/>
  <c r="Q18" i="65"/>
  <c r="I18" i="65"/>
  <c r="AN39" i="37"/>
  <c r="AA41" i="37"/>
  <c r="AP55" i="37"/>
  <c r="AC57" i="37"/>
  <c r="AP57" i="37" s="1"/>
  <c r="Y10" i="28"/>
  <c r="R15" i="95"/>
  <c r="AH18" i="51"/>
  <c r="Y17" i="77"/>
  <c r="Y12" i="77"/>
  <c r="K38" i="12"/>
  <c r="K47" i="62"/>
  <c r="AR52" i="37"/>
  <c r="W26" i="26"/>
  <c r="W31" i="26"/>
  <c r="W38" i="26" s="1"/>
  <c r="X66" i="46"/>
  <c r="X92" i="46"/>
  <c r="AB52" i="51" s="1"/>
  <c r="AC43" i="62"/>
  <c r="AC36" i="62"/>
  <c r="AC34" i="62"/>
  <c r="AC38" i="62"/>
  <c r="E24" i="97"/>
  <c r="AP28" i="37"/>
  <c r="AC33" i="37"/>
  <c r="AP33" i="37" s="1"/>
  <c r="Y57" i="37"/>
  <c r="Y54" i="37"/>
  <c r="P30" i="95"/>
  <c r="P30" i="97" s="1"/>
  <c r="L13" i="35"/>
  <c r="S25" i="95"/>
  <c r="S25" i="97" s="1"/>
  <c r="O11" i="35"/>
  <c r="AE26" i="77"/>
  <c r="AE31" i="77"/>
  <c r="AE38" i="77" s="1"/>
  <c r="X93" i="46"/>
  <c r="AB53" i="51" s="1"/>
  <c r="X67" i="46"/>
  <c r="AC12" i="46"/>
  <c r="Y35" i="46"/>
  <c r="Y37" i="46"/>
  <c r="Y34" i="46"/>
  <c r="Y36" i="46"/>
  <c r="Y38" i="46"/>
  <c r="Z49" i="51"/>
  <c r="R16" i="11"/>
  <c r="W13" i="11"/>
  <c r="AC13" i="11"/>
  <c r="N41" i="62"/>
  <c r="N42" i="11"/>
  <c r="N46" i="11"/>
  <c r="N49" i="62" s="1"/>
  <c r="U31" i="57"/>
  <c r="T29" i="46"/>
  <c r="T80" i="46"/>
  <c r="T65" i="46"/>
  <c r="AA65" i="46" s="1"/>
  <c r="AA23" i="46"/>
  <c r="AA29" i="46" s="1"/>
  <c r="T39" i="46"/>
  <c r="AA33" i="46"/>
  <c r="AA39" i="46" s="1"/>
  <c r="T52" i="46"/>
  <c r="V140" i="5"/>
  <c r="V142" i="5" s="1"/>
  <c r="K26" i="74"/>
  <c r="G45" i="79"/>
  <c r="AC50" i="46"/>
  <c r="Y88" i="46"/>
  <c r="AB50" i="46"/>
  <c r="Y62" i="46"/>
  <c r="AB62" i="46" s="1"/>
  <c r="Y38" i="78"/>
  <c r="K12" i="12"/>
  <c r="I54" i="40"/>
  <c r="I58" i="40" s="1"/>
  <c r="G21" i="57"/>
  <c r="Z22" i="12"/>
  <c r="R10" i="97"/>
  <c r="R12" i="97" s="1"/>
  <c r="R12" i="95"/>
  <c r="AD26" i="26"/>
  <c r="AD31" i="26"/>
  <c r="AD38" i="26" s="1"/>
  <c r="AD14" i="37"/>
  <c r="AQ14" i="37" s="1"/>
  <c r="AD16" i="37"/>
  <c r="AD11" i="37"/>
  <c r="AD13" i="37" s="1"/>
  <c r="AD17" i="37"/>
  <c r="AQ17" i="37" s="1"/>
  <c r="AD19" i="37"/>
  <c r="R25" i="95"/>
  <c r="R25" i="97" s="1"/>
  <c r="N11" i="35"/>
  <c r="AD26" i="77"/>
  <c r="AD31" i="77"/>
  <c r="AD38" i="77" s="1"/>
  <c r="V11" i="46"/>
  <c r="Z41" i="51"/>
  <c r="V37" i="26"/>
  <c r="V35" i="26"/>
  <c r="V33" i="26"/>
  <c r="V31" i="26"/>
  <c r="V26" i="26"/>
  <c r="V11" i="37"/>
  <c r="V17" i="37"/>
  <c r="V19" i="37"/>
  <c r="V14" i="37"/>
  <c r="V16" i="37"/>
  <c r="R28" i="62"/>
  <c r="W25" i="11"/>
  <c r="W28" i="62" s="1"/>
  <c r="AC25" i="11"/>
  <c r="T20" i="37"/>
  <c r="T75" i="37"/>
  <c r="R43" i="62"/>
  <c r="R36" i="62"/>
  <c r="R34" i="62"/>
  <c r="R38" i="62"/>
  <c r="O35" i="62"/>
  <c r="O52" i="62" s="1"/>
  <c r="O36" i="11"/>
  <c r="O39" i="62" s="1"/>
  <c r="O49" i="11"/>
  <c r="V32" i="11"/>
  <c r="V31" i="37"/>
  <c r="R73" i="46"/>
  <c r="R71" i="46"/>
  <c r="P22" i="11" s="1"/>
  <c r="L10" i="13"/>
  <c r="L45" i="62"/>
  <c r="L55" i="62" s="1"/>
  <c r="L43" i="11"/>
  <c r="L44" i="11" s="1"/>
  <c r="L52" i="11"/>
  <c r="AP19" i="37"/>
  <c r="AC18" i="37"/>
  <c r="AP16" i="37"/>
  <c r="AP13" i="37"/>
  <c r="AC15" i="37"/>
  <c r="S10" i="95"/>
  <c r="X89" i="46"/>
  <c r="AB49" i="51" s="1"/>
  <c r="X63" i="46"/>
  <c r="X27" i="37"/>
  <c r="X29" i="37"/>
  <c r="X24" i="37"/>
  <c r="X26" i="37" s="1"/>
  <c r="X30" i="37"/>
  <c r="X32" i="37"/>
  <c r="AE30" i="37"/>
  <c r="AR30" i="37" s="1"/>
  <c r="AE32" i="37"/>
  <c r="AR32" i="37" s="1"/>
  <c r="AE24" i="37"/>
  <c r="AE26" i="37" s="1"/>
  <c r="AE27" i="37"/>
  <c r="AR27" i="37" s="1"/>
  <c r="AE29" i="37"/>
  <c r="W14" i="37"/>
  <c r="W16" i="37"/>
  <c r="W11" i="37"/>
  <c r="W13" i="37" s="1"/>
  <c r="W17" i="37"/>
  <c r="W19" i="37"/>
  <c r="T31" i="57"/>
  <c r="AD63" i="46"/>
  <c r="AD89" i="46"/>
  <c r="AH49" i="51" s="1"/>
  <c r="H25" i="95" s="1"/>
  <c r="H25" i="97" s="1"/>
  <c r="H13" i="87"/>
  <c r="O13" i="87" s="1"/>
  <c r="N10" i="79"/>
  <c r="Q10" i="79"/>
  <c r="P13" i="87" s="1"/>
  <c r="U39" i="62"/>
  <c r="U38" i="11"/>
  <c r="J32" i="58"/>
  <c r="H31" i="58"/>
  <c r="AD17" i="46"/>
  <c r="AC43" i="46"/>
  <c r="AN28" i="37"/>
  <c r="AA33" i="37"/>
  <c r="AN33" i="37" s="1"/>
  <c r="G48" i="79"/>
  <c r="H32" i="66"/>
  <c r="H9" i="65" s="1"/>
  <c r="Q25" i="62"/>
  <c r="AB48" i="51"/>
  <c r="Q24" i="97"/>
  <c r="Q26" i="97" s="1"/>
  <c r="Q26" i="95"/>
  <c r="M29" i="58"/>
  <c r="R29" i="58" s="1"/>
  <c r="P29" i="58" s="1"/>
  <c r="K28" i="58" s="1"/>
  <c r="O30" i="58"/>
  <c r="T29" i="58"/>
  <c r="J41" i="62"/>
  <c r="J42" i="11"/>
  <c r="J46" i="11"/>
  <c r="J49" i="62" s="1"/>
  <c r="AN18" i="37"/>
  <c r="AA76" i="37"/>
  <c r="AN76" i="37" s="1"/>
  <c r="W10" i="63"/>
  <c r="S9" i="5"/>
  <c r="S151" i="5" s="1"/>
  <c r="P40" i="63"/>
  <c r="P33" i="63"/>
  <c r="P31" i="63"/>
  <c r="M33" i="63"/>
  <c r="AG33" i="11"/>
  <c r="I36" i="57"/>
  <c r="I38" i="57" s="1"/>
  <c r="H19" i="57"/>
  <c r="H21" i="57" s="1"/>
  <c r="M31" i="62"/>
  <c r="M38" i="11"/>
  <c r="AH13" i="51"/>
  <c r="AD43" i="26"/>
  <c r="AD44" i="26" s="1"/>
  <c r="AH44" i="51" s="1"/>
  <c r="R24" i="95"/>
  <c r="N10" i="35"/>
  <c r="AH26" i="51"/>
  <c r="AD24" i="37"/>
  <c r="AD26" i="37" s="1"/>
  <c r="AD30" i="37"/>
  <c r="AQ30" i="37" s="1"/>
  <c r="AD32" i="37"/>
  <c r="AQ32" i="37" s="1"/>
  <c r="AD27" i="37"/>
  <c r="AQ27" i="37" s="1"/>
  <c r="AD29" i="37"/>
  <c r="V36" i="26"/>
  <c r="V34" i="26"/>
  <c r="V32" i="26"/>
  <c r="X16" i="62"/>
  <c r="V22" i="62"/>
  <c r="V28" i="11"/>
  <c r="W11" i="57"/>
  <c r="V41" i="57"/>
  <c r="AN13" i="37"/>
  <c r="AA15" i="37"/>
  <c r="N19" i="53"/>
  <c r="O36" i="53"/>
  <c r="O38" i="53" s="1"/>
  <c r="G22" i="79"/>
  <c r="G12" i="79"/>
  <c r="G41" i="79"/>
  <c r="O37" i="62"/>
  <c r="V34" i="11"/>
  <c r="V37" i="62" s="1"/>
  <c r="O31" i="62"/>
  <c r="V26" i="37"/>
  <c r="V38" i="77"/>
  <c r="R50" i="51"/>
  <c r="R57" i="51" s="1"/>
  <c r="R97" i="46"/>
  <c r="W135" i="5"/>
  <c r="W137" i="5" s="1"/>
  <c r="X137" i="5" s="1"/>
  <c r="L19" i="74"/>
  <c r="AG11" i="62"/>
  <c r="AG16" i="62" s="1"/>
  <c r="AE10" i="37"/>
  <c r="AE42" i="26"/>
  <c r="AE43" i="26" s="1"/>
  <c r="AE44" i="26" s="1"/>
  <c r="AI44" i="51" s="1"/>
  <c r="AE19" i="26"/>
  <c r="AE20" i="26"/>
  <c r="AE32" i="26" s="1"/>
  <c r="AE21" i="26"/>
  <c r="AE33" i="26" s="1"/>
  <c r="AE22" i="26"/>
  <c r="AE34" i="26" s="1"/>
  <c r="AE23" i="26"/>
  <c r="AE35" i="26" s="1"/>
  <c r="AE24" i="26"/>
  <c r="AE36" i="26" s="1"/>
  <c r="AE25" i="26"/>
  <c r="AE37" i="26" s="1"/>
  <c r="AI24" i="51"/>
  <c r="Z11" i="62"/>
  <c r="Z16" i="62" s="1"/>
  <c r="X10" i="37"/>
  <c r="X19" i="26"/>
  <c r="X20" i="26"/>
  <c r="X32" i="26" s="1"/>
  <c r="X21" i="26"/>
  <c r="X33" i="26" s="1"/>
  <c r="X22" i="26"/>
  <c r="X34" i="26" s="1"/>
  <c r="X23" i="26"/>
  <c r="X35" i="26" s="1"/>
  <c r="X24" i="26"/>
  <c r="X36" i="26" s="1"/>
  <c r="X25" i="26"/>
  <c r="X37" i="26" s="1"/>
  <c r="X42" i="26"/>
  <c r="X43" i="26" s="1"/>
  <c r="X44" i="26" s="1"/>
  <c r="AB44" i="51" s="1"/>
  <c r="AB24" i="51"/>
  <c r="AB26" i="51" s="1"/>
  <c r="X31" i="77"/>
  <c r="X38" i="77" s="1"/>
  <c r="X26" i="77"/>
  <c r="K46" i="62" l="1"/>
  <c r="H32" i="12"/>
  <c r="H38" i="12"/>
  <c r="AE89" i="46"/>
  <c r="AI49" i="51" s="1"/>
  <c r="I25" i="95" s="1"/>
  <c r="I25" i="97" s="1"/>
  <c r="K32" i="12"/>
  <c r="H46" i="62"/>
  <c r="AB55" i="37"/>
  <c r="AB57" i="37" s="1"/>
  <c r="AO57" i="37" s="1"/>
  <c r="L26" i="74"/>
  <c r="I39" i="1"/>
  <c r="I19" i="83"/>
  <c r="B38" i="1"/>
  <c r="A3" i="11" s="1"/>
  <c r="I18" i="85"/>
  <c r="AE54" i="37"/>
  <c r="AR54" i="37" s="1"/>
  <c r="AD45" i="46"/>
  <c r="AG41" i="51"/>
  <c r="AE10" i="11" s="1"/>
  <c r="L10" i="63" s="1"/>
  <c r="I43" i="11"/>
  <c r="I44" i="11" s="1"/>
  <c r="I47" i="62" s="1"/>
  <c r="AD55" i="37"/>
  <c r="AC77" i="37"/>
  <c r="AE25" i="11" s="1"/>
  <c r="AB18" i="51"/>
  <c r="AB20" i="51" s="1"/>
  <c r="Z9" i="11" s="1"/>
  <c r="AD56" i="37"/>
  <c r="AQ56" i="37" s="1"/>
  <c r="AE57" i="37"/>
  <c r="AR57" i="37" s="1"/>
  <c r="AE12" i="28"/>
  <c r="AE15" i="46" s="1"/>
  <c r="U8" i="5"/>
  <c r="U150" i="5" s="1"/>
  <c r="AD44" i="46"/>
  <c r="E12" i="35"/>
  <c r="E40" i="95" s="1"/>
  <c r="E40" i="97" s="1"/>
  <c r="AD42" i="46"/>
  <c r="AD53" i="46" s="1"/>
  <c r="I52" i="11"/>
  <c r="AQ74" i="37"/>
  <c r="AD50" i="37"/>
  <c r="AD52" i="37" s="1"/>
  <c r="AQ52" i="37" s="1"/>
  <c r="AA41" i="51"/>
  <c r="Y10" i="11" s="1"/>
  <c r="AD53" i="37"/>
  <c r="AQ53" i="37" s="1"/>
  <c r="N13" i="35"/>
  <c r="AD16" i="46"/>
  <c r="AD102" i="46" s="1"/>
  <c r="AD38" i="78"/>
  <c r="AD26" i="78"/>
  <c r="W24" i="11"/>
  <c r="W27" i="62" s="1"/>
  <c r="R27" i="62"/>
  <c r="G46" i="11"/>
  <c r="G49" i="62" s="1"/>
  <c r="E10" i="35"/>
  <c r="E38" i="95" s="1"/>
  <c r="E16" i="35"/>
  <c r="E44" i="95" s="1"/>
  <c r="E44" i="97" s="1"/>
  <c r="E14" i="35"/>
  <c r="E42" i="95" s="1"/>
  <c r="E42" i="97" s="1"/>
  <c r="G42" i="11"/>
  <c r="G45" i="62" s="1"/>
  <c r="G55" i="62" s="1"/>
  <c r="E11" i="35"/>
  <c r="E39" i="95" s="1"/>
  <c r="E39" i="97" s="1"/>
  <c r="W33" i="37"/>
  <c r="Y9" i="62"/>
  <c r="E15" i="35"/>
  <c r="E43" i="95" s="1"/>
  <c r="E43" i="97" s="1"/>
  <c r="E13" i="35"/>
  <c r="E41" i="95" s="1"/>
  <c r="E41" i="97" s="1"/>
  <c r="T38" i="11"/>
  <c r="T41" i="62" s="1"/>
  <c r="K20" i="35"/>
  <c r="AC47" i="46"/>
  <c r="X12" i="28"/>
  <c r="X15" i="46" s="1"/>
  <c r="X45" i="46" s="1"/>
  <c r="X57" i="46" s="1"/>
  <c r="AB50" i="37"/>
  <c r="Y59" i="37"/>
  <c r="W57" i="37"/>
  <c r="G46" i="79"/>
  <c r="AE16" i="11"/>
  <c r="AE18" i="11" s="1"/>
  <c r="AE19" i="11" s="1"/>
  <c r="Y13" i="11"/>
  <c r="AB26" i="78"/>
  <c r="Y12" i="26"/>
  <c r="Y10" i="46" s="1"/>
  <c r="Y51" i="46" s="1"/>
  <c r="Y63" i="46" s="1"/>
  <c r="AB63" i="46" s="1"/>
  <c r="O38" i="11"/>
  <c r="O42" i="11" s="1"/>
  <c r="V44" i="37"/>
  <c r="AH20" i="51"/>
  <c r="AF9" i="11" s="1"/>
  <c r="M9" i="63" s="1"/>
  <c r="P34" i="11"/>
  <c r="P37" i="62" s="1"/>
  <c r="P32" i="11"/>
  <c r="P35" i="62" s="1"/>
  <c r="P52" i="62" s="1"/>
  <c r="AB38" i="78"/>
  <c r="W16" i="11"/>
  <c r="W18" i="11" s="1"/>
  <c r="W21" i="62" s="1"/>
  <c r="M19" i="35"/>
  <c r="M16" i="35"/>
  <c r="M17" i="35"/>
  <c r="M18" i="35"/>
  <c r="AC16" i="51"/>
  <c r="AC18" i="51" s="1"/>
  <c r="AC20" i="51" s="1"/>
  <c r="Y17" i="28"/>
  <c r="AB17" i="28" s="1"/>
  <c r="Y12" i="28"/>
  <c r="Y15" i="46" s="1"/>
  <c r="W96" i="46"/>
  <c r="AA56" i="51" s="1"/>
  <c r="W70" i="46"/>
  <c r="W74" i="46" s="1"/>
  <c r="AN54" i="37"/>
  <c r="AA59" i="37"/>
  <c r="AN59" i="37" s="1"/>
  <c r="N12" i="35"/>
  <c r="AH31" i="51"/>
  <c r="AH41" i="51" s="1"/>
  <c r="R29" i="95"/>
  <c r="AP54" i="37"/>
  <c r="AC59" i="37"/>
  <c r="AP59" i="37" s="1"/>
  <c r="J14" i="63"/>
  <c r="AC17" i="62"/>
  <c r="W15" i="37"/>
  <c r="X28" i="37"/>
  <c r="AN41" i="37"/>
  <c r="AA46" i="37"/>
  <c r="AN46" i="37" s="1"/>
  <c r="W69" i="46"/>
  <c r="W95" i="46"/>
  <c r="AA55" i="51" s="1"/>
  <c r="W38" i="78"/>
  <c r="AD31" i="28"/>
  <c r="AD38" i="28" s="1"/>
  <c r="AD26" i="28"/>
  <c r="S15" i="95"/>
  <c r="AI18" i="51"/>
  <c r="AI20" i="51" s="1"/>
  <c r="W43" i="37"/>
  <c r="W40" i="37"/>
  <c r="W45" i="37"/>
  <c r="W77" i="37" s="1"/>
  <c r="Y25" i="11" s="1"/>
  <c r="W42" i="37"/>
  <c r="W37" i="37"/>
  <c r="W39" i="37" s="1"/>
  <c r="Q18" i="11"/>
  <c r="Q21" i="62" s="1"/>
  <c r="Q19" i="62"/>
  <c r="W54" i="37"/>
  <c r="AB52" i="37"/>
  <c r="AC41" i="37"/>
  <c r="AC75" i="37" s="1"/>
  <c r="AP39" i="37"/>
  <c r="AE17" i="62"/>
  <c r="V18" i="65"/>
  <c r="AH25" i="57"/>
  <c r="Q31" i="95"/>
  <c r="Q33" i="95" s="1"/>
  <c r="Q43" i="95" s="1"/>
  <c r="Q29" i="97"/>
  <c r="Q31" i="97" s="1"/>
  <c r="Q33" i="97" s="1"/>
  <c r="Q43" i="97" s="1"/>
  <c r="X19" i="28"/>
  <c r="X23" i="28"/>
  <c r="AB29" i="51"/>
  <c r="AB31" i="51" s="1"/>
  <c r="AB41" i="51" s="1"/>
  <c r="X20" i="28"/>
  <c r="X24" i="28"/>
  <c r="Z12" i="62"/>
  <c r="X21" i="28"/>
  <c r="X25" i="28"/>
  <c r="X36" i="37"/>
  <c r="X22" i="28"/>
  <c r="X42" i="28"/>
  <c r="W94" i="46"/>
  <c r="AA54" i="51" s="1"/>
  <c r="W68" i="46"/>
  <c r="AG12" i="62"/>
  <c r="AE21" i="28"/>
  <c r="AE33" i="28" s="1"/>
  <c r="AE25" i="28"/>
  <c r="AE37" i="28" s="1"/>
  <c r="AE36" i="37"/>
  <c r="AR74" i="37" s="1"/>
  <c r="AE22" i="28"/>
  <c r="AE34" i="28" s="1"/>
  <c r="AE42" i="28"/>
  <c r="AE19" i="28"/>
  <c r="AE23" i="28"/>
  <c r="AE35" i="28" s="1"/>
  <c r="AI29" i="51"/>
  <c r="AE20" i="28"/>
  <c r="AE32" i="28" s="1"/>
  <c r="AE24" i="28"/>
  <c r="AE36" i="28" s="1"/>
  <c r="W31" i="28"/>
  <c r="W38" i="28" s="1"/>
  <c r="W26" i="28"/>
  <c r="X142" i="5"/>
  <c r="X143" i="5" s="1"/>
  <c r="V146" i="5" s="1"/>
  <c r="V24" i="5" s="1"/>
  <c r="R15" i="97"/>
  <c r="R17" i="97" s="1"/>
  <c r="R19" i="97" s="1"/>
  <c r="R17" i="95"/>
  <c r="R19" i="95" s="1"/>
  <c r="Q23" i="11"/>
  <c r="S78" i="37"/>
  <c r="W47" i="46"/>
  <c r="W53" i="46"/>
  <c r="V41" i="37"/>
  <c r="AQ55" i="37"/>
  <c r="R14" i="63"/>
  <c r="AD37" i="37"/>
  <c r="AD39" i="37" s="1"/>
  <c r="AD43" i="37"/>
  <c r="AQ43" i="37" s="1"/>
  <c r="AD40" i="37"/>
  <c r="AQ40" i="37" s="1"/>
  <c r="AD45" i="37"/>
  <c r="AQ45" i="37" s="1"/>
  <c r="AD42" i="37"/>
  <c r="AC44" i="37"/>
  <c r="AP44" i="37" s="1"/>
  <c r="AP42" i="37"/>
  <c r="S24" i="95"/>
  <c r="AI26" i="51"/>
  <c r="O10" i="35"/>
  <c r="L16" i="63"/>
  <c r="R13" i="63"/>
  <c r="N21" i="53"/>
  <c r="W41" i="57"/>
  <c r="W42" i="57" s="1"/>
  <c r="W24" i="57" s="1"/>
  <c r="X11" i="57"/>
  <c r="V31" i="62"/>
  <c r="AD11" i="46"/>
  <c r="R24" i="97"/>
  <c r="R26" i="97" s="1"/>
  <c r="R26" i="95"/>
  <c r="I19" i="57"/>
  <c r="I21" i="57" s="1"/>
  <c r="J36" i="57"/>
  <c r="J38" i="57" s="1"/>
  <c r="M30" i="58"/>
  <c r="R30" i="58" s="1"/>
  <c r="P30" i="58" s="1"/>
  <c r="K29" i="58" s="1"/>
  <c r="O31" i="58"/>
  <c r="T30" i="58"/>
  <c r="J33" i="58"/>
  <c r="H32" i="58"/>
  <c r="S12" i="95"/>
  <c r="S10" i="97"/>
  <c r="S12" i="97" s="1"/>
  <c r="AP15" i="37"/>
  <c r="AC20" i="37"/>
  <c r="AP20" i="37" s="1"/>
  <c r="L38" i="12"/>
  <c r="L47" i="62"/>
  <c r="L32" i="12"/>
  <c r="L46" i="62"/>
  <c r="P25" i="62"/>
  <c r="P26" i="11"/>
  <c r="R23" i="11"/>
  <c r="T78" i="37"/>
  <c r="T81" i="37"/>
  <c r="AC28" i="62"/>
  <c r="J25" i="63"/>
  <c r="V77" i="37"/>
  <c r="V13" i="37"/>
  <c r="X10" i="62"/>
  <c r="X10" i="11"/>
  <c r="AQ16" i="37"/>
  <c r="AD18" i="37"/>
  <c r="AF13" i="11"/>
  <c r="L12" i="12"/>
  <c r="U12" i="12" s="1"/>
  <c r="J54" i="40"/>
  <c r="J58" i="40" s="1"/>
  <c r="AC23" i="46"/>
  <c r="AC33" i="46"/>
  <c r="AC101" i="46"/>
  <c r="AC48" i="51"/>
  <c r="T90" i="46"/>
  <c r="AA52" i="46"/>
  <c r="T64" i="46"/>
  <c r="T59" i="46"/>
  <c r="AC16" i="11"/>
  <c r="J13" i="63"/>
  <c r="R19" i="62"/>
  <c r="R18" i="11"/>
  <c r="R21" i="62" s="1"/>
  <c r="AB38" i="46"/>
  <c r="AB34" i="46"/>
  <c r="Y54" i="46"/>
  <c r="AB35" i="46"/>
  <c r="Y55" i="46"/>
  <c r="W33" i="46"/>
  <c r="W101" i="46"/>
  <c r="W23" i="46"/>
  <c r="AC11" i="12"/>
  <c r="AC27" i="62"/>
  <c r="J24" i="63"/>
  <c r="Y23" i="37"/>
  <c r="Y19" i="77"/>
  <c r="Y20" i="77"/>
  <c r="Y21" i="77"/>
  <c r="Y22" i="77"/>
  <c r="Y23" i="77"/>
  <c r="Y24" i="77"/>
  <c r="Y25" i="77"/>
  <c r="Y41" i="26"/>
  <c r="Y42" i="26" s="1"/>
  <c r="AC25" i="51"/>
  <c r="AB17" i="77"/>
  <c r="X11" i="37"/>
  <c r="X13" i="37" s="1"/>
  <c r="X17" i="37"/>
  <c r="X19" i="37"/>
  <c r="X14" i="37"/>
  <c r="X16" i="37"/>
  <c r="X11" i="46"/>
  <c r="X31" i="26"/>
  <c r="X38" i="26" s="1"/>
  <c r="Z13" i="11" s="1"/>
  <c r="X26" i="26"/>
  <c r="AE26" i="26"/>
  <c r="AE31" i="26"/>
  <c r="AE38" i="26" s="1"/>
  <c r="AG13" i="11" s="1"/>
  <c r="AE11" i="37"/>
  <c r="AE13" i="37" s="1"/>
  <c r="AE14" i="37"/>
  <c r="AR14" i="37" s="1"/>
  <c r="AE16" i="37"/>
  <c r="AE17" i="37"/>
  <c r="AR17" i="37" s="1"/>
  <c r="AE19" i="37"/>
  <c r="V28" i="37"/>
  <c r="V33" i="37" s="1"/>
  <c r="O19" i="53"/>
  <c r="O21" i="53" s="1"/>
  <c r="P36" i="53"/>
  <c r="P38" i="53" s="1"/>
  <c r="AN15" i="37"/>
  <c r="AA20" i="37"/>
  <c r="AN20" i="37" s="1"/>
  <c r="AA75" i="37"/>
  <c r="AD31" i="37"/>
  <c r="AQ31" i="37" s="1"/>
  <c r="AQ29" i="37"/>
  <c r="AQ26" i="37"/>
  <c r="AD28" i="37"/>
  <c r="M41" i="62"/>
  <c r="M42" i="11"/>
  <c r="M46" i="11"/>
  <c r="M49" i="62" s="1"/>
  <c r="AH33" i="11"/>
  <c r="N33" i="63"/>
  <c r="J10" i="13"/>
  <c r="J43" i="11"/>
  <c r="J44" i="11" s="1"/>
  <c r="J45" i="62"/>
  <c r="J55" i="62" s="1"/>
  <c r="J52" i="11"/>
  <c r="V19" i="53"/>
  <c r="U9" i="65"/>
  <c r="H14" i="65"/>
  <c r="AE17" i="46"/>
  <c r="AE43" i="46" s="1"/>
  <c r="AD43" i="46"/>
  <c r="U42" i="11"/>
  <c r="U41" i="62"/>
  <c r="U46" i="11"/>
  <c r="U49" i="62" s="1"/>
  <c r="AA11" i="62"/>
  <c r="AA16" i="62" s="1"/>
  <c r="Y10" i="37"/>
  <c r="AC24" i="51"/>
  <c r="Y19" i="26"/>
  <c r="Y20" i="26"/>
  <c r="Y32" i="26" s="1"/>
  <c r="AB32" i="26" s="1"/>
  <c r="Y21" i="26"/>
  <c r="Y33" i="26" s="1"/>
  <c r="AB33" i="26" s="1"/>
  <c r="Y22" i="26"/>
  <c r="Y34" i="26" s="1"/>
  <c r="AB34" i="26" s="1"/>
  <c r="Y23" i="26"/>
  <c r="Y35" i="26" s="1"/>
  <c r="AB35" i="26" s="1"/>
  <c r="Y24" i="26"/>
  <c r="Y36" i="26" s="1"/>
  <c r="AB36" i="26" s="1"/>
  <c r="Y25" i="26"/>
  <c r="Y37" i="26" s="1"/>
  <c r="AB37" i="26" s="1"/>
  <c r="AB17" i="26"/>
  <c r="W18" i="37"/>
  <c r="AR29" i="37"/>
  <c r="AE31" i="37"/>
  <c r="AR31" i="37" s="1"/>
  <c r="AE28" i="37"/>
  <c r="AR26" i="37"/>
  <c r="X31" i="37"/>
  <c r="AP18" i="37"/>
  <c r="V35" i="62"/>
  <c r="V52" i="62" s="1"/>
  <c r="V36" i="11"/>
  <c r="V39" i="62" s="1"/>
  <c r="V49" i="11"/>
  <c r="V42" i="57"/>
  <c r="V24" i="57" s="1"/>
  <c r="V18" i="37"/>
  <c r="V38" i="26"/>
  <c r="X13" i="11" s="1"/>
  <c r="V23" i="46"/>
  <c r="V33" i="46"/>
  <c r="V101" i="46"/>
  <c r="AQ19" i="37"/>
  <c r="AD15" i="37"/>
  <c r="AQ13" i="37"/>
  <c r="AA22" i="12"/>
  <c r="AB88" i="46"/>
  <c r="AD50" i="46"/>
  <c r="AC62" i="46"/>
  <c r="AC88" i="46"/>
  <c r="AA80" i="46"/>
  <c r="AA91" i="46" s="1"/>
  <c r="AE51" i="51" s="1"/>
  <c r="E27" i="95" s="1"/>
  <c r="E27" i="97" s="1"/>
  <c r="T91" i="46"/>
  <c r="T51" i="51" s="1"/>
  <c r="Y51" i="51" s="1"/>
  <c r="N10" i="13"/>
  <c r="N43" i="11"/>
  <c r="N44" i="11" s="1"/>
  <c r="N45" i="62"/>
  <c r="N55" i="62" s="1"/>
  <c r="N52" i="11"/>
  <c r="AB36" i="46"/>
  <c r="AB37" i="46"/>
  <c r="AC34" i="46"/>
  <c r="AC54" i="46" s="1"/>
  <c r="AC36" i="46"/>
  <c r="AC56" i="46" s="1"/>
  <c r="AC38" i="46"/>
  <c r="AC58" i="46" s="1"/>
  <c r="AD12" i="46"/>
  <c r="AC35" i="46"/>
  <c r="AC55" i="46" s="1"/>
  <c r="AC37" i="46"/>
  <c r="AC57" i="46" s="1"/>
  <c r="AB51" i="46" l="1"/>
  <c r="AB89" i="46" s="1"/>
  <c r="AF49" i="51" s="1"/>
  <c r="F25" i="95" s="1"/>
  <c r="F25" i="97" s="1"/>
  <c r="AO55" i="37"/>
  <c r="AE10" i="62"/>
  <c r="AG2" i="11"/>
  <c r="R2" i="11"/>
  <c r="R10" i="63"/>
  <c r="Z9" i="62"/>
  <c r="B39" i="1"/>
  <c r="A3" i="62" s="1"/>
  <c r="I20" i="83"/>
  <c r="I40" i="1"/>
  <c r="I19" i="85"/>
  <c r="Y43" i="26"/>
  <c r="Y44" i="26" s="1"/>
  <c r="AC44" i="51" s="1"/>
  <c r="Y89" i="46"/>
  <c r="AC49" i="51" s="1"/>
  <c r="I38" i="12"/>
  <c r="I46" i="62"/>
  <c r="I32" i="12"/>
  <c r="X33" i="37"/>
  <c r="AD57" i="37"/>
  <c r="AQ57" i="37" s="1"/>
  <c r="AP77" i="37"/>
  <c r="AE43" i="28"/>
  <c r="AE44" i="28" s="1"/>
  <c r="AI45" i="51" s="1"/>
  <c r="AE59" i="37"/>
  <c r="AR59" i="37" s="1"/>
  <c r="AE44" i="46"/>
  <c r="AE45" i="46"/>
  <c r="AE46" i="46"/>
  <c r="AE42" i="46"/>
  <c r="AE53" i="46" s="1"/>
  <c r="AC76" i="37"/>
  <c r="AE24" i="11" s="1"/>
  <c r="Y10" i="62"/>
  <c r="Y38" i="62" s="1"/>
  <c r="AD54" i="37"/>
  <c r="AQ54" i="37" s="1"/>
  <c r="AF9" i="62"/>
  <c r="AF14" i="11"/>
  <c r="M14" i="63" s="1"/>
  <c r="P14" i="63"/>
  <c r="V14" i="63" s="1"/>
  <c r="AD47" i="46"/>
  <c r="N14" i="35"/>
  <c r="N17" i="35" s="1"/>
  <c r="T42" i="11"/>
  <c r="T45" i="62" s="1"/>
  <c r="T46" i="11"/>
  <c r="T49" i="62" s="1"/>
  <c r="O41" i="62"/>
  <c r="G43" i="11"/>
  <c r="G44" i="11" s="1"/>
  <c r="G47" i="62" s="1"/>
  <c r="G10" i="13"/>
  <c r="AE19" i="62"/>
  <c r="G52" i="11"/>
  <c r="O46" i="11"/>
  <c r="O49" i="62" s="1"/>
  <c r="E17" i="35"/>
  <c r="AD77" i="37"/>
  <c r="AF25" i="11" s="1"/>
  <c r="X44" i="46"/>
  <c r="X56" i="46" s="1"/>
  <c r="X94" i="46" s="1"/>
  <c r="AB54" i="51" s="1"/>
  <c r="V46" i="37"/>
  <c r="X42" i="46"/>
  <c r="X46" i="46"/>
  <c r="X58" i="46" s="1"/>
  <c r="X96" i="46" s="1"/>
  <c r="AB56" i="51" s="1"/>
  <c r="X43" i="28"/>
  <c r="X44" i="28" s="1"/>
  <c r="AB45" i="51" s="1"/>
  <c r="W59" i="37"/>
  <c r="V76" i="37"/>
  <c r="X24" i="11" s="1"/>
  <c r="W41" i="37"/>
  <c r="W75" i="37" s="1"/>
  <c r="Y23" i="11" s="1"/>
  <c r="Y14" i="11"/>
  <c r="Y17" i="62" s="1"/>
  <c r="P49" i="11"/>
  <c r="P36" i="11"/>
  <c r="P39" i="62" s="1"/>
  <c r="G12" i="35"/>
  <c r="G40" i="95" s="1"/>
  <c r="G40" i="97" s="1"/>
  <c r="G16" i="35"/>
  <c r="G44" i="95" s="1"/>
  <c r="G44" i="97" s="1"/>
  <c r="W44" i="37"/>
  <c r="W76" i="37" s="1"/>
  <c r="Y24" i="11" s="1"/>
  <c r="W19" i="62"/>
  <c r="S9" i="63"/>
  <c r="G11" i="35"/>
  <c r="G39" i="95" s="1"/>
  <c r="G39" i="97" s="1"/>
  <c r="M20" i="35"/>
  <c r="G13" i="35"/>
  <c r="G41" i="95" s="1"/>
  <c r="G41" i="97" s="1"/>
  <c r="AC26" i="51"/>
  <c r="Y11" i="46" s="1"/>
  <c r="T84" i="37"/>
  <c r="G14" i="35"/>
  <c r="G42" i="95" s="1"/>
  <c r="G42" i="97" s="1"/>
  <c r="G10" i="35"/>
  <c r="G38" i="95" s="1"/>
  <c r="G15" i="35"/>
  <c r="G43" i="95" s="1"/>
  <c r="G43" i="97" s="1"/>
  <c r="AG9" i="62"/>
  <c r="AG9" i="11"/>
  <c r="N9" i="63" s="1"/>
  <c r="T9" i="63"/>
  <c r="AB20" i="26"/>
  <c r="S29" i="95"/>
  <c r="AI31" i="51"/>
  <c r="AI41" i="51" s="1"/>
  <c r="O12" i="35"/>
  <c r="O14" i="35" s="1"/>
  <c r="AB36" i="37"/>
  <c r="AB42" i="28"/>
  <c r="AB43" i="28" s="1"/>
  <c r="AB44" i="28" s="1"/>
  <c r="AF45" i="51" s="1"/>
  <c r="AF29" i="51"/>
  <c r="X37" i="28"/>
  <c r="X32" i="28"/>
  <c r="AC29" i="51"/>
  <c r="AC31" i="51" s="1"/>
  <c r="Y22" i="28"/>
  <c r="Y34" i="28" s="1"/>
  <c r="AA12" i="62"/>
  <c r="AD12" i="62" s="1"/>
  <c r="Y19" i="28"/>
  <c r="AB19" i="28" s="1"/>
  <c r="Y23" i="28"/>
  <c r="Y35" i="28" s="1"/>
  <c r="Y36" i="37"/>
  <c r="Y20" i="28"/>
  <c r="Y32" i="28" s="1"/>
  <c r="Y24" i="28"/>
  <c r="Y36" i="28" s="1"/>
  <c r="Y42" i="28"/>
  <c r="Y43" i="28" s="1"/>
  <c r="Y44" i="28" s="1"/>
  <c r="AC45" i="51" s="1"/>
  <c r="Y21" i="28"/>
  <c r="Y33" i="28" s="1"/>
  <c r="Y25" i="28"/>
  <c r="Y37" i="28" s="1"/>
  <c r="W19" i="11"/>
  <c r="W22" i="62" s="1"/>
  <c r="X18" i="37"/>
  <c r="AE37" i="37"/>
  <c r="AE39" i="37" s="1"/>
  <c r="AE45" i="37"/>
  <c r="AR45" i="37" s="1"/>
  <c r="AE40" i="37"/>
  <c r="AR40" i="37" s="1"/>
  <c r="AE42" i="37"/>
  <c r="AE43" i="37"/>
  <c r="AR43" i="37" s="1"/>
  <c r="X33" i="28"/>
  <c r="AP41" i="37"/>
  <c r="AC46" i="37"/>
  <c r="AP46" i="37" s="1"/>
  <c r="Q19" i="11"/>
  <c r="S15" i="97"/>
  <c r="S17" i="97" s="1"/>
  <c r="S19" i="97" s="1"/>
  <c r="S17" i="95"/>
  <c r="S19" i="95" s="1"/>
  <c r="AA9" i="62"/>
  <c r="AA9" i="11"/>
  <c r="AQ42" i="37"/>
  <c r="AD44" i="37"/>
  <c r="AQ44" i="37" s="1"/>
  <c r="AQ39" i="37"/>
  <c r="AD41" i="37"/>
  <c r="Q26" i="62"/>
  <c r="Q26" i="11"/>
  <c r="Q29" i="62" s="1"/>
  <c r="AE31" i="28"/>
  <c r="AE38" i="28" s="1"/>
  <c r="AG14" i="11" s="1"/>
  <c r="AG16" i="11" s="1"/>
  <c r="AE26" i="28"/>
  <c r="X34" i="28"/>
  <c r="X35" i="28"/>
  <c r="AO52" i="37"/>
  <c r="AB54" i="37"/>
  <c r="R31" i="95"/>
  <c r="R33" i="95" s="1"/>
  <c r="R43" i="95" s="1"/>
  <c r="R29" i="97"/>
  <c r="R31" i="97" s="1"/>
  <c r="R33" i="97" s="1"/>
  <c r="R43" i="97" s="1"/>
  <c r="X45" i="37"/>
  <c r="X77" i="37" s="1"/>
  <c r="Z25" i="11" s="1"/>
  <c r="X40" i="37"/>
  <c r="X37" i="37"/>
  <c r="X42" i="37"/>
  <c r="X43" i="37"/>
  <c r="X36" i="28"/>
  <c r="X31" i="28"/>
  <c r="X26" i="28"/>
  <c r="X95" i="46"/>
  <c r="AB55" i="51" s="1"/>
  <c r="X69" i="46"/>
  <c r="Y42" i="46"/>
  <c r="Y44" i="46"/>
  <c r="Y45" i="46"/>
  <c r="Y46" i="46"/>
  <c r="AC69" i="46"/>
  <c r="AC95" i="46"/>
  <c r="AG55" i="51" s="1"/>
  <c r="G31" i="95" s="1"/>
  <c r="G31" i="97" s="1"/>
  <c r="AE12" i="46"/>
  <c r="AD35" i="46"/>
  <c r="AD55" i="46" s="1"/>
  <c r="AD37" i="46"/>
  <c r="AD57" i="46" s="1"/>
  <c r="AD34" i="46"/>
  <c r="AD54" i="46" s="1"/>
  <c r="AD36" i="46"/>
  <c r="AD56" i="46" s="1"/>
  <c r="AD38" i="46"/>
  <c r="AD58" i="46" s="1"/>
  <c r="AF48" i="51"/>
  <c r="U9" i="5"/>
  <c r="U151" i="5" s="1"/>
  <c r="R35" i="63"/>
  <c r="R31" i="63"/>
  <c r="R40" i="63"/>
  <c r="R33" i="63"/>
  <c r="AD22" i="12"/>
  <c r="AQ15" i="37"/>
  <c r="AD20" i="37"/>
  <c r="AQ20" i="37" s="1"/>
  <c r="V39" i="46"/>
  <c r="V52" i="46"/>
  <c r="V31" i="57"/>
  <c r="AF24" i="51"/>
  <c r="Y26" i="26"/>
  <c r="Y31" i="26"/>
  <c r="Y14" i="37"/>
  <c r="AB14" i="37" s="1"/>
  <c r="Y16" i="37"/>
  <c r="Y11" i="37"/>
  <c r="Y13" i="37" s="1"/>
  <c r="Y17" i="37"/>
  <c r="AB17" i="37" s="1"/>
  <c r="Y19" i="37"/>
  <c r="AB19" i="37" s="1"/>
  <c r="U10" i="13"/>
  <c r="U45" i="62"/>
  <c r="J38" i="12"/>
  <c r="J47" i="62"/>
  <c r="J32" i="12"/>
  <c r="U32" i="12" s="1"/>
  <c r="J46" i="62"/>
  <c r="U43" i="11"/>
  <c r="U46" i="62" s="1"/>
  <c r="M45" i="62"/>
  <c r="M55" i="62" s="1"/>
  <c r="M10" i="13"/>
  <c r="M52" i="11"/>
  <c r="M43" i="11"/>
  <c r="AQ28" i="37"/>
  <c r="AD33" i="37"/>
  <c r="AQ33" i="37" s="1"/>
  <c r="AB24" i="26"/>
  <c r="AA78" i="37"/>
  <c r="AN78" i="37" s="1"/>
  <c r="AN75" i="37"/>
  <c r="O45" i="62"/>
  <c r="O55" i="62" s="1"/>
  <c r="O52" i="11"/>
  <c r="O10" i="13"/>
  <c r="O43" i="11"/>
  <c r="O44" i="11" s="1"/>
  <c r="AE22" i="62"/>
  <c r="AE32" i="11"/>
  <c r="AE34" i="11"/>
  <c r="AR19" i="37"/>
  <c r="AE18" i="37"/>
  <c r="AR16" i="37"/>
  <c r="AR13" i="37"/>
  <c r="AE15" i="37"/>
  <c r="X23" i="46"/>
  <c r="X33" i="46"/>
  <c r="X101" i="46"/>
  <c r="X15" i="37"/>
  <c r="Y37" i="77"/>
  <c r="AB37" i="77" s="1"/>
  <c r="AB25" i="77"/>
  <c r="Y35" i="77"/>
  <c r="AB35" i="77" s="1"/>
  <c r="AB23" i="77"/>
  <c r="Y33" i="77"/>
  <c r="AB33" i="77" s="1"/>
  <c r="AB21" i="77"/>
  <c r="Y26" i="77"/>
  <c r="Y31" i="77"/>
  <c r="AB19" i="77"/>
  <c r="W11" i="12"/>
  <c r="J11" i="65"/>
  <c r="S11" i="65" s="1"/>
  <c r="AI13" i="13" s="1"/>
  <c r="AK13" i="13" s="1"/>
  <c r="AJ11" i="12"/>
  <c r="AK11" i="12" s="1"/>
  <c r="G11" i="12" s="1"/>
  <c r="R11" i="65"/>
  <c r="AB55" i="46"/>
  <c r="AB93" i="46" s="1"/>
  <c r="AF53" i="51" s="1"/>
  <c r="F29" i="95" s="1"/>
  <c r="F29" i="97" s="1"/>
  <c r="Y67" i="46"/>
  <c r="AB67" i="46" s="1"/>
  <c r="Y93" i="46"/>
  <c r="AC53" i="51" s="1"/>
  <c r="AB54" i="46"/>
  <c r="AB92" i="46" s="1"/>
  <c r="AF52" i="51" s="1"/>
  <c r="F28" i="95" s="1"/>
  <c r="F28" i="97" s="1"/>
  <c r="Y92" i="46"/>
  <c r="AC52" i="51" s="1"/>
  <c r="Y66" i="46"/>
  <c r="R19" i="11"/>
  <c r="J16" i="63"/>
  <c r="P13" i="63"/>
  <c r="V13" i="63" s="1"/>
  <c r="AA90" i="46"/>
  <c r="AA59" i="46"/>
  <c r="AC29" i="46"/>
  <c r="AC80" i="46"/>
  <c r="AC91" i="46" s="1"/>
  <c r="AG51" i="51" s="1"/>
  <c r="G27" i="95" s="1"/>
  <c r="G27" i="97" s="1"/>
  <c r="AC65" i="46"/>
  <c r="M13" i="63"/>
  <c r="X34" i="62"/>
  <c r="X38" i="62"/>
  <c r="X43" i="62"/>
  <c r="X36" i="62"/>
  <c r="AB23" i="26"/>
  <c r="X25" i="11"/>
  <c r="AE28" i="62"/>
  <c r="L25" i="63"/>
  <c r="W20" i="37"/>
  <c r="K36" i="57"/>
  <c r="K38" i="57" s="1"/>
  <c r="J19" i="57"/>
  <c r="AD33" i="46"/>
  <c r="AD101" i="46"/>
  <c r="AD23" i="46"/>
  <c r="AD11" i="62"/>
  <c r="AD16" i="62" s="1"/>
  <c r="S24" i="97"/>
  <c r="S26" i="97" s="1"/>
  <c r="S26" i="95"/>
  <c r="AB19" i="26"/>
  <c r="AC68" i="46"/>
  <c r="AC94" i="46"/>
  <c r="AG54" i="51" s="1"/>
  <c r="G30" i="95" s="1"/>
  <c r="G30" i="97" s="1"/>
  <c r="N38" i="12"/>
  <c r="N47" i="62"/>
  <c r="AC67" i="46"/>
  <c r="AC93" i="46"/>
  <c r="AG53" i="51" s="1"/>
  <c r="G29" i="95" s="1"/>
  <c r="G29" i="97" s="1"/>
  <c r="AC70" i="46"/>
  <c r="AC96" i="46"/>
  <c r="AG56" i="51" s="1"/>
  <c r="G32" i="95" s="1"/>
  <c r="G32" i="97" s="1"/>
  <c r="AC66" i="46"/>
  <c r="AC92" i="46"/>
  <c r="AG52" i="51" s="1"/>
  <c r="G28" i="95" s="1"/>
  <c r="G28" i="97" s="1"/>
  <c r="E38" i="97"/>
  <c r="E37" i="95"/>
  <c r="E45" i="95"/>
  <c r="N32" i="12"/>
  <c r="N46" i="62"/>
  <c r="AG48" i="51"/>
  <c r="AE50" i="46"/>
  <c r="AD88" i="46"/>
  <c r="AD62" i="46"/>
  <c r="AE38" i="62"/>
  <c r="AE34" i="62"/>
  <c r="AE43" i="62"/>
  <c r="AE36" i="62"/>
  <c r="V29" i="46"/>
  <c r="V80" i="46"/>
  <c r="V91" i="46" s="1"/>
  <c r="Z51" i="51" s="1"/>
  <c r="V65" i="46"/>
  <c r="X16" i="11"/>
  <c r="AB10" i="37"/>
  <c r="AR28" i="37"/>
  <c r="AE33" i="37"/>
  <c r="AR33" i="37" s="1"/>
  <c r="V21" i="53"/>
  <c r="H44" i="65"/>
  <c r="AB22" i="26"/>
  <c r="W31" i="57"/>
  <c r="P19" i="53"/>
  <c r="P21" i="53" s="1"/>
  <c r="Q36" i="53"/>
  <c r="Q38" i="53" s="1"/>
  <c r="AE21" i="62"/>
  <c r="L18" i="63"/>
  <c r="N13" i="63"/>
  <c r="AH13" i="11"/>
  <c r="Z10" i="62"/>
  <c r="Z10" i="11"/>
  <c r="AB23" i="37"/>
  <c r="AB41" i="26"/>
  <c r="AB42" i="26" s="1"/>
  <c r="AB43" i="26" s="1"/>
  <c r="AB44" i="26" s="1"/>
  <c r="AF44" i="51" s="1"/>
  <c r="AF25" i="51"/>
  <c r="Y36" i="77"/>
  <c r="AB36" i="77" s="1"/>
  <c r="AB24" i="77"/>
  <c r="Y34" i="77"/>
  <c r="AB34" i="77" s="1"/>
  <c r="AB22" i="77"/>
  <c r="Y32" i="77"/>
  <c r="AB32" i="77" s="1"/>
  <c r="AB20" i="77"/>
  <c r="Y24" i="37"/>
  <c r="Y30" i="37"/>
  <c r="AB30" i="37" s="1"/>
  <c r="Y32" i="37"/>
  <c r="AB32" i="37" s="1"/>
  <c r="Y27" i="37"/>
  <c r="AB27" i="37" s="1"/>
  <c r="AO27" i="37" s="1"/>
  <c r="Y29" i="37"/>
  <c r="G30" i="84"/>
  <c r="G30" i="15"/>
  <c r="P24" i="63"/>
  <c r="AH82" i="37"/>
  <c r="AA82" i="37"/>
  <c r="W29" i="46"/>
  <c r="W80" i="46"/>
  <c r="W91" i="46" s="1"/>
  <c r="AA51" i="51" s="1"/>
  <c r="W65" i="46"/>
  <c r="W39" i="46"/>
  <c r="W52" i="46"/>
  <c r="AC19" i="62"/>
  <c r="AC18" i="11"/>
  <c r="AC19" i="11" s="1"/>
  <c r="T73" i="46"/>
  <c r="T71" i="46"/>
  <c r="R22" i="11" s="1"/>
  <c r="AA64" i="46"/>
  <c r="T50" i="51"/>
  <c r="T97" i="46"/>
  <c r="AC39" i="46"/>
  <c r="AC52" i="46"/>
  <c r="M12" i="12"/>
  <c r="K54" i="40"/>
  <c r="K58" i="40" s="1"/>
  <c r="AQ18" i="37"/>
  <c r="AB25" i="26"/>
  <c r="AB21" i="26"/>
  <c r="V15" i="37"/>
  <c r="P25" i="63"/>
  <c r="AN83" i="37" s="1"/>
  <c r="AA83" i="37"/>
  <c r="AH83" i="37"/>
  <c r="R26" i="62"/>
  <c r="AC23" i="11"/>
  <c r="W23" i="11"/>
  <c r="P29" i="62"/>
  <c r="P28" i="11"/>
  <c r="AE23" i="11"/>
  <c r="AP75" i="37"/>
  <c r="J34" i="58"/>
  <c r="H33" i="58"/>
  <c r="M31" i="58"/>
  <c r="R31" i="58" s="1"/>
  <c r="P31" i="58" s="1"/>
  <c r="K30" i="58" s="1"/>
  <c r="O32" i="58"/>
  <c r="T31" i="58"/>
  <c r="V8" i="5"/>
  <c r="V150" i="5" s="1"/>
  <c r="AF10" i="62"/>
  <c r="S10" i="63"/>
  <c r="AF10" i="11"/>
  <c r="M10" i="63" s="1"/>
  <c r="V38" i="11"/>
  <c r="Y11" i="57"/>
  <c r="X41" i="57"/>
  <c r="R16" i="63"/>
  <c r="L61" i="63"/>
  <c r="AE11" i="46"/>
  <c r="S14" i="63" l="1"/>
  <c r="Z14" i="63" s="1"/>
  <c r="W8" i="5"/>
  <c r="W150" i="5" s="1"/>
  <c r="I21" i="83"/>
  <c r="B40" i="1"/>
  <c r="A3" i="12" s="1"/>
  <c r="I41" i="1"/>
  <c r="I20" i="85"/>
  <c r="Y27" i="62"/>
  <c r="AG2" i="62"/>
  <c r="R2" i="62"/>
  <c r="AC78" i="37"/>
  <c r="AP78" i="37" s="1"/>
  <c r="AF16" i="11"/>
  <c r="AF19" i="62" s="1"/>
  <c r="AP76" i="37"/>
  <c r="N16" i="35"/>
  <c r="X47" i="46"/>
  <c r="Y34" i="62"/>
  <c r="AD59" i="37"/>
  <c r="AQ59" i="37" s="1"/>
  <c r="AD75" i="37"/>
  <c r="AF23" i="11" s="1"/>
  <c r="Y36" i="62"/>
  <c r="Y43" i="62"/>
  <c r="Y28" i="62"/>
  <c r="N19" i="35"/>
  <c r="AE47" i="46"/>
  <c r="AF17" i="62"/>
  <c r="N18" i="35"/>
  <c r="R18" i="63"/>
  <c r="X68" i="46"/>
  <c r="T10" i="13"/>
  <c r="Y16" i="11"/>
  <c r="Y19" i="62" s="1"/>
  <c r="W46" i="37"/>
  <c r="G46" i="62"/>
  <c r="G38" i="12"/>
  <c r="G32" i="12"/>
  <c r="T32" i="12" s="1"/>
  <c r="T43" i="11"/>
  <c r="T46" i="62" s="1"/>
  <c r="AB11" i="37"/>
  <c r="X70" i="46"/>
  <c r="X74" i="46" s="1"/>
  <c r="AQ77" i="37"/>
  <c r="AB21" i="28"/>
  <c r="X53" i="46"/>
  <c r="X65" i="46" s="1"/>
  <c r="AB37" i="28"/>
  <c r="AO30" i="37"/>
  <c r="AE77" i="37"/>
  <c r="AR77" i="37" s="1"/>
  <c r="W78" i="37"/>
  <c r="AB24" i="28"/>
  <c r="AB22" i="28"/>
  <c r="Y15" i="37"/>
  <c r="AC41" i="51"/>
  <c r="AA10" i="11" s="1"/>
  <c r="AB13" i="37"/>
  <c r="AB15" i="37" s="1"/>
  <c r="AD76" i="37"/>
  <c r="AQ76" i="37" s="1"/>
  <c r="AB23" i="28"/>
  <c r="AB32" i="28"/>
  <c r="G17" i="35"/>
  <c r="O17" i="35"/>
  <c r="O16" i="35"/>
  <c r="O18" i="35"/>
  <c r="O19" i="35"/>
  <c r="AC74" i="46"/>
  <c r="AO32" i="37"/>
  <c r="AO74" i="37"/>
  <c r="L19" i="63"/>
  <c r="I20" i="15" s="1"/>
  <c r="AB45" i="46"/>
  <c r="Y57" i="46"/>
  <c r="X38" i="28"/>
  <c r="Z14" i="11" s="1"/>
  <c r="X44" i="37"/>
  <c r="X76" i="37" s="1"/>
  <c r="Z24" i="11" s="1"/>
  <c r="Z27" i="62" s="1"/>
  <c r="AB35" i="28"/>
  <c r="AB44" i="46"/>
  <c r="Y56" i="46"/>
  <c r="X39" i="37"/>
  <c r="Q32" i="11"/>
  <c r="Q34" i="11"/>
  <c r="Q37" i="62" s="1"/>
  <c r="Q22" i="62"/>
  <c r="Q28" i="11"/>
  <c r="AB36" i="28"/>
  <c r="Y31" i="28"/>
  <c r="Y38" i="28" s="1"/>
  <c r="AA14" i="11" s="1"/>
  <c r="AA17" i="62" s="1"/>
  <c r="Y26" i="28"/>
  <c r="AB20" i="28"/>
  <c r="L12" i="35"/>
  <c r="AF31" i="51"/>
  <c r="P29" i="95"/>
  <c r="AB42" i="46"/>
  <c r="Y47" i="46"/>
  <c r="Y53" i="46"/>
  <c r="AB53" i="46" s="1"/>
  <c r="AR39" i="37"/>
  <c r="AE41" i="37"/>
  <c r="AE75" i="37" s="1"/>
  <c r="S29" i="97"/>
  <c r="S31" i="97" s="1"/>
  <c r="S33" i="97" s="1"/>
  <c r="S43" i="97" s="1"/>
  <c r="S31" i="95"/>
  <c r="S33" i="95" s="1"/>
  <c r="S43" i="95" s="1"/>
  <c r="AO14" i="37"/>
  <c r="AB46" i="46"/>
  <c r="Y58" i="46"/>
  <c r="AO54" i="37"/>
  <c r="AB59" i="37"/>
  <c r="AO59" i="37" s="1"/>
  <c r="AG17" i="62"/>
  <c r="N14" i="63"/>
  <c r="AH14" i="11"/>
  <c r="AQ41" i="37"/>
  <c r="AD46" i="37"/>
  <c r="AQ46" i="37" s="1"/>
  <c r="AE44" i="37"/>
  <c r="AR44" i="37" s="1"/>
  <c r="AR42" i="37"/>
  <c r="AB33" i="28"/>
  <c r="Y43" i="37"/>
  <c r="AB43" i="37" s="1"/>
  <c r="AO43" i="37" s="1"/>
  <c r="Y40" i="37"/>
  <c r="AB40" i="37" s="1"/>
  <c r="AO40" i="37" s="1"/>
  <c r="Y45" i="37"/>
  <c r="AB45" i="37" s="1"/>
  <c r="AO45" i="37" s="1"/>
  <c r="Y42" i="37"/>
  <c r="Y37" i="37"/>
  <c r="Y39" i="37" s="1"/>
  <c r="AB34" i="28"/>
  <c r="AB25" i="28"/>
  <c r="AC10" i="12"/>
  <c r="AC22" i="62"/>
  <c r="O38" i="12"/>
  <c r="O47" i="62"/>
  <c r="Y41" i="57"/>
  <c r="Y42" i="57" s="1"/>
  <c r="Y24" i="57" s="1"/>
  <c r="Z11" i="57"/>
  <c r="H34" i="58"/>
  <c r="AE26" i="62"/>
  <c r="AE49" i="11"/>
  <c r="L23" i="63"/>
  <c r="W90" i="46"/>
  <c r="W64" i="46"/>
  <c r="W59" i="46"/>
  <c r="Y31" i="37"/>
  <c r="AB29" i="37"/>
  <c r="AE23" i="46"/>
  <c r="AE33" i="46"/>
  <c r="AE101" i="46"/>
  <c r="V41" i="62"/>
  <c r="V46" i="11"/>
  <c r="V49" i="62" s="1"/>
  <c r="V42" i="11"/>
  <c r="M32" i="58"/>
  <c r="R32" i="58"/>
  <c r="P32" i="58" s="1"/>
  <c r="K31" i="58" s="1"/>
  <c r="O33" i="58"/>
  <c r="T32" i="58"/>
  <c r="Y26" i="62"/>
  <c r="P31" i="62"/>
  <c r="P38" i="11"/>
  <c r="W26" i="62"/>
  <c r="V20" i="37"/>
  <c r="V75" i="37"/>
  <c r="N12" i="12"/>
  <c r="L54" i="40"/>
  <c r="L58" i="40" s="1"/>
  <c r="AC64" i="46"/>
  <c r="AC90" i="46"/>
  <c r="AC59" i="46"/>
  <c r="Y50" i="51"/>
  <c r="Y57" i="51" s="1"/>
  <c r="T57" i="51"/>
  <c r="R25" i="62"/>
  <c r="R26" i="11"/>
  <c r="R29" i="62" s="1"/>
  <c r="W22" i="11"/>
  <c r="AC22" i="11"/>
  <c r="M30" i="84"/>
  <c r="M30" i="15"/>
  <c r="AN82" i="37"/>
  <c r="S14" i="5"/>
  <c r="P25" i="95"/>
  <c r="P25" i="97" s="1"/>
  <c r="L11" i="35"/>
  <c r="Z34" i="62"/>
  <c r="Z43" i="62"/>
  <c r="Z38" i="62"/>
  <c r="Z36" i="62"/>
  <c r="T13" i="63"/>
  <c r="Q19" i="53"/>
  <c r="Q21" i="53" s="1"/>
  <c r="R36" i="53"/>
  <c r="R38" i="53" s="1"/>
  <c r="R19" i="53" s="1"/>
  <c r="Y33" i="46"/>
  <c r="Y101" i="46"/>
  <c r="Y23" i="46"/>
  <c r="AB11" i="46"/>
  <c r="AB101" i="46" s="1"/>
  <c r="AH48" i="51"/>
  <c r="G24" i="95"/>
  <c r="E37" i="97"/>
  <c r="E45" i="97"/>
  <c r="AB26" i="26"/>
  <c r="X42" i="57"/>
  <c r="X24" i="57" s="1"/>
  <c r="AD29" i="46"/>
  <c r="AD80" i="46"/>
  <c r="AD91" i="46" s="1"/>
  <c r="AH51" i="51" s="1"/>
  <c r="H27" i="95" s="1"/>
  <c r="H27" i="97" s="1"/>
  <c r="AD65" i="46"/>
  <c r="AD39" i="46"/>
  <c r="AD52" i="46"/>
  <c r="K19" i="57"/>
  <c r="K21" i="57" s="1"/>
  <c r="L36" i="57"/>
  <c r="L38" i="57" s="1"/>
  <c r="G38" i="97"/>
  <c r="G37" i="95"/>
  <c r="G45" i="95"/>
  <c r="R25" i="63"/>
  <c r="AP83" i="37" s="1"/>
  <c r="AC83" i="37"/>
  <c r="AJ83" i="37"/>
  <c r="AE50" i="51"/>
  <c r="AA97" i="46"/>
  <c r="P16" i="63"/>
  <c r="J61" i="63"/>
  <c r="H11" i="12"/>
  <c r="H13" i="13" s="1"/>
  <c r="G13" i="13"/>
  <c r="AB26" i="77"/>
  <c r="Z28" i="62"/>
  <c r="X29" i="46"/>
  <c r="X80" i="46"/>
  <c r="AR15" i="37"/>
  <c r="AE20" i="37"/>
  <c r="AR20" i="37" s="1"/>
  <c r="J10" i="91"/>
  <c r="J14" i="91" s="1"/>
  <c r="I34" i="84"/>
  <c r="AE35" i="62"/>
  <c r="L32" i="63"/>
  <c r="AE36" i="11"/>
  <c r="AE39" i="62" s="1"/>
  <c r="M32" i="12"/>
  <c r="M46" i="62"/>
  <c r="V43" i="11"/>
  <c r="V46" i="62" s="1"/>
  <c r="M44" i="11"/>
  <c r="U44" i="11"/>
  <c r="AO17" i="37"/>
  <c r="Y18" i="37"/>
  <c r="AB16" i="37"/>
  <c r="Y38" i="26"/>
  <c r="AB31" i="26"/>
  <c r="AB38" i="26" s="1"/>
  <c r="L24" i="63"/>
  <c r="AE27" i="62"/>
  <c r="X27" i="62"/>
  <c r="AE22" i="12"/>
  <c r="AD94" i="46"/>
  <c r="AH54" i="51" s="1"/>
  <c r="H30" i="95" s="1"/>
  <c r="H30" i="97" s="1"/>
  <c r="AD68" i="46"/>
  <c r="AD69" i="46"/>
  <c r="AD95" i="46"/>
  <c r="AH55" i="51" s="1"/>
  <c r="H31" i="95" s="1"/>
  <c r="H31" i="97" s="1"/>
  <c r="AE34" i="46"/>
  <c r="AE54" i="46" s="1"/>
  <c r="AE36" i="46"/>
  <c r="AE56" i="46" s="1"/>
  <c r="AE38" i="46"/>
  <c r="AE58" i="46" s="1"/>
  <c r="AE35" i="46"/>
  <c r="AE55" i="46" s="1"/>
  <c r="AE37" i="46"/>
  <c r="AE57" i="46" s="1"/>
  <c r="AG10" i="62"/>
  <c r="AG19" i="62" s="1"/>
  <c r="AG10" i="11"/>
  <c r="N10" i="63" s="1"/>
  <c r="T10" i="63"/>
  <c r="V9" i="5"/>
  <c r="V151" i="5" s="1"/>
  <c r="S35" i="63"/>
  <c r="S31" i="63"/>
  <c r="S40" i="63"/>
  <c r="S33" i="63"/>
  <c r="AF38" i="62"/>
  <c r="AF34" i="62"/>
  <c r="AF43" i="62"/>
  <c r="AF36" i="62"/>
  <c r="AC26" i="62"/>
  <c r="J23" i="63"/>
  <c r="AO19" i="37"/>
  <c r="AA73" i="46"/>
  <c r="AA71" i="46"/>
  <c r="J18" i="63"/>
  <c r="AC21" i="62"/>
  <c r="Y26" i="37"/>
  <c r="AB24" i="37"/>
  <c r="AG18" i="11"/>
  <c r="AG19" i="11" s="1"/>
  <c r="AH16" i="11"/>
  <c r="X19" i="62"/>
  <c r="X18" i="11"/>
  <c r="X21" i="62" s="1"/>
  <c r="AF28" i="62"/>
  <c r="M25" i="63"/>
  <c r="AE62" i="46"/>
  <c r="AE88" i="46"/>
  <c r="J21" i="57"/>
  <c r="X28" i="62"/>
  <c r="S13" i="63"/>
  <c r="M16" i="63"/>
  <c r="R32" i="11"/>
  <c r="R34" i="11"/>
  <c r="R22" i="62"/>
  <c r="AB66" i="46"/>
  <c r="Y38" i="77"/>
  <c r="AB31" i="77"/>
  <c r="AB38" i="77" s="1"/>
  <c r="X20" i="37"/>
  <c r="X39" i="46"/>
  <c r="X52" i="46"/>
  <c r="AR18" i="37"/>
  <c r="AE37" i="62"/>
  <c r="L34" i="63"/>
  <c r="O32" i="12"/>
  <c r="O46" i="62"/>
  <c r="P24" i="95"/>
  <c r="L10" i="35"/>
  <c r="AF26" i="51"/>
  <c r="V64" i="46"/>
  <c r="V90" i="46"/>
  <c r="V59" i="46"/>
  <c r="F24" i="95"/>
  <c r="AD96" i="46"/>
  <c r="AH56" i="51" s="1"/>
  <c r="H32" i="95" s="1"/>
  <c r="H32" i="97" s="1"/>
  <c r="AD70" i="46"/>
  <c r="AD92" i="46"/>
  <c r="AH52" i="51" s="1"/>
  <c r="H28" i="95" s="1"/>
  <c r="H28" i="97" s="1"/>
  <c r="AD66" i="46"/>
  <c r="AD67" i="46"/>
  <c r="AD93" i="46"/>
  <c r="AH53" i="51" s="1"/>
  <c r="H29" i="95" s="1"/>
  <c r="H29" i="97" s="1"/>
  <c r="AF18" i="11" l="1"/>
  <c r="AF19" i="11" s="1"/>
  <c r="AF22" i="62" s="1"/>
  <c r="Y18" i="11"/>
  <c r="Y21" i="62" s="1"/>
  <c r="B41" i="1"/>
  <c r="A3" i="13" s="1"/>
  <c r="I22" i="83"/>
  <c r="I21" i="85"/>
  <c r="I42" i="1"/>
  <c r="R2" i="12"/>
  <c r="AG2" i="12"/>
  <c r="H11" i="35"/>
  <c r="H39" i="95" s="1"/>
  <c r="H39" i="97" s="1"/>
  <c r="AQ75" i="37"/>
  <c r="H16" i="35"/>
  <c r="H44" i="95" s="1"/>
  <c r="H44" i="97" s="1"/>
  <c r="AI23" i="11"/>
  <c r="H15" i="35"/>
  <c r="H43" i="95" s="1"/>
  <c r="H43" i="97" s="1"/>
  <c r="AG25" i="11"/>
  <c r="N25" i="63" s="1"/>
  <c r="R34" i="63"/>
  <c r="P18" i="63"/>
  <c r="T14" i="63"/>
  <c r="AA14" i="63" s="1"/>
  <c r="H12" i="35"/>
  <c r="H40" i="95" s="1"/>
  <c r="H40" i="97" s="1"/>
  <c r="H10" i="35"/>
  <c r="H38" i="95" s="1"/>
  <c r="H38" i="97" s="1"/>
  <c r="AE76" i="37"/>
  <c r="AE78" i="37" s="1"/>
  <c r="AR78" i="37" s="1"/>
  <c r="Y20" i="37"/>
  <c r="X91" i="46"/>
  <c r="AB51" i="51" s="1"/>
  <c r="N20" i="35"/>
  <c r="H14" i="35"/>
  <c r="H42" i="95" s="1"/>
  <c r="H42" i="97" s="1"/>
  <c r="H13" i="35"/>
  <c r="H41" i="95" s="1"/>
  <c r="H41" i="97" s="1"/>
  <c r="T44" i="11"/>
  <c r="T38" i="12" s="1"/>
  <c r="Y77" i="37"/>
  <c r="AA25" i="11" s="1"/>
  <c r="AA10" i="62"/>
  <c r="AA36" i="62" s="1"/>
  <c r="AF41" i="51"/>
  <c r="AD10" i="11" s="1"/>
  <c r="K10" i="63" s="1"/>
  <c r="AB77" i="37"/>
  <c r="AO77" i="37" s="1"/>
  <c r="AF24" i="11"/>
  <c r="AF11" i="12" s="1"/>
  <c r="M11" i="65" s="1"/>
  <c r="AO13" i="37"/>
  <c r="AD78" i="37"/>
  <c r="AQ78" i="37" s="1"/>
  <c r="I20" i="84"/>
  <c r="I35" i="84" s="1"/>
  <c r="I10" i="35"/>
  <c r="I38" i="95" s="1"/>
  <c r="I14" i="35"/>
  <c r="I42" i="95" s="1"/>
  <c r="I42" i="97" s="1"/>
  <c r="I11" i="35"/>
  <c r="I39" i="95" s="1"/>
  <c r="I39" i="97" s="1"/>
  <c r="AB47" i="46"/>
  <c r="I15" i="35"/>
  <c r="I43" i="95" s="1"/>
  <c r="I43" i="97" s="1"/>
  <c r="I13" i="35"/>
  <c r="I41" i="95" s="1"/>
  <c r="I41" i="97" s="1"/>
  <c r="Y44" i="37"/>
  <c r="Y76" i="37" s="1"/>
  <c r="AA24" i="11" s="1"/>
  <c r="AD24" i="11" s="1"/>
  <c r="O20" i="35"/>
  <c r="I12" i="35"/>
  <c r="I40" i="95" s="1"/>
  <c r="I40" i="97" s="1"/>
  <c r="AB26" i="28"/>
  <c r="I16" i="35"/>
  <c r="I44" i="95" s="1"/>
  <c r="I44" i="97" s="1"/>
  <c r="U17" i="5"/>
  <c r="U128" i="5" s="1"/>
  <c r="R19" i="63"/>
  <c r="O20" i="15" s="1"/>
  <c r="L14" i="35"/>
  <c r="L17" i="35" s="1"/>
  <c r="R28" i="11"/>
  <c r="R31" i="62" s="1"/>
  <c r="AD74" i="46"/>
  <c r="N16" i="63"/>
  <c r="T16" i="63" s="1"/>
  <c r="Q31" i="62"/>
  <c r="AB31" i="28"/>
  <c r="AB38" i="28" s="1"/>
  <c r="Y70" i="46"/>
  <c r="AB58" i="46"/>
  <c r="AB96" i="46" s="1"/>
  <c r="AF56" i="51" s="1"/>
  <c r="F32" i="95" s="1"/>
  <c r="F32" i="97" s="1"/>
  <c r="Y96" i="46"/>
  <c r="AC56" i="51" s="1"/>
  <c r="P29" i="97"/>
  <c r="P31" i="97" s="1"/>
  <c r="P31" i="95"/>
  <c r="AB37" i="37"/>
  <c r="Z17" i="62"/>
  <c r="Z16" i="11"/>
  <c r="AD14" i="11"/>
  <c r="X19" i="11"/>
  <c r="X22" i="62" s="1"/>
  <c r="Y41" i="37"/>
  <c r="AE46" i="37"/>
  <c r="AR46" i="37" s="1"/>
  <c r="AR41" i="37"/>
  <c r="X41" i="37"/>
  <c r="AB39" i="37"/>
  <c r="AB42" i="37"/>
  <c r="AB57" i="46"/>
  <c r="AB95" i="46" s="1"/>
  <c r="AF55" i="51" s="1"/>
  <c r="F31" i="95" s="1"/>
  <c r="F31" i="97" s="1"/>
  <c r="Y69" i="46"/>
  <c r="AB69" i="46" s="1"/>
  <c r="Y95" i="46"/>
  <c r="AC55" i="51" s="1"/>
  <c r="Q35" i="62"/>
  <c r="Q52" i="62" s="1"/>
  <c r="Q36" i="11"/>
  <c r="Q39" i="62" s="1"/>
  <c r="Q49" i="11"/>
  <c r="AB56" i="46"/>
  <c r="AB94" i="46" s="1"/>
  <c r="AF54" i="51" s="1"/>
  <c r="F30" i="95" s="1"/>
  <c r="F30" i="97" s="1"/>
  <c r="Y94" i="46"/>
  <c r="AC54" i="51" s="1"/>
  <c r="Y68" i="46"/>
  <c r="AB68" i="46" s="1"/>
  <c r="AG22" i="62"/>
  <c r="AH19" i="11"/>
  <c r="AH10" i="12" s="1"/>
  <c r="AG32" i="11"/>
  <c r="AG34" i="11"/>
  <c r="AF26" i="62"/>
  <c r="M23" i="63"/>
  <c r="Z50" i="51"/>
  <c r="Z57" i="51" s="1"/>
  <c r="V97" i="46"/>
  <c r="V73" i="46"/>
  <c r="V71" i="46"/>
  <c r="X22" i="11" s="1"/>
  <c r="P24" i="97"/>
  <c r="P26" i="97" s="1"/>
  <c r="P26" i="95"/>
  <c r="X64" i="46"/>
  <c r="X90" i="46"/>
  <c r="X59" i="46"/>
  <c r="R37" i="62"/>
  <c r="AC34" i="11"/>
  <c r="W34" i="11"/>
  <c r="W37" i="62" s="1"/>
  <c r="S16" i="63"/>
  <c r="M61" i="63"/>
  <c r="AI48" i="51"/>
  <c r="Y28" i="37"/>
  <c r="AB26" i="37"/>
  <c r="AG38" i="62"/>
  <c r="AG34" i="62"/>
  <c r="AG43" i="62"/>
  <c r="AG36" i="62"/>
  <c r="AE67" i="46"/>
  <c r="AE93" i="46"/>
  <c r="AI53" i="51" s="1"/>
  <c r="I29" i="95" s="1"/>
  <c r="I29" i="97" s="1"/>
  <c r="AE68" i="46"/>
  <c r="AE94" i="46"/>
  <c r="AI54" i="51" s="1"/>
  <c r="I30" i="95" s="1"/>
  <c r="I30" i="97" s="1"/>
  <c r="I30" i="84"/>
  <c r="I30" i="15"/>
  <c r="R24" i="63"/>
  <c r="AJ82" i="37"/>
  <c r="AC82" i="37"/>
  <c r="AA13" i="11"/>
  <c r="M38" i="12"/>
  <c r="M47" i="62"/>
  <c r="R32" i="63"/>
  <c r="L36" i="63"/>
  <c r="AJ23" i="11"/>
  <c r="AG23" i="11"/>
  <c r="AR75" i="37"/>
  <c r="I11" i="12"/>
  <c r="I13" i="13" s="1"/>
  <c r="T13" i="13" s="1"/>
  <c r="J19" i="63"/>
  <c r="E26" i="95"/>
  <c r="AE57" i="51"/>
  <c r="S20" i="5" s="1"/>
  <c r="M18" i="63"/>
  <c r="M36" i="57"/>
  <c r="M38" i="57" s="1"/>
  <c r="L19" i="57"/>
  <c r="AD90" i="46"/>
  <c r="AD64" i="46"/>
  <c r="AD59" i="46"/>
  <c r="G24" i="97"/>
  <c r="R21" i="53"/>
  <c r="T19" i="53"/>
  <c r="AC25" i="62"/>
  <c r="J22" i="63"/>
  <c r="AC26" i="11"/>
  <c r="AC73" i="46"/>
  <c r="AC71" i="46"/>
  <c r="AE22" i="11" s="1"/>
  <c r="M33" i="58"/>
  <c r="R33" i="58" s="1"/>
  <c r="P33" i="58" s="1"/>
  <c r="K32" i="58" s="1"/>
  <c r="O34" i="58"/>
  <c r="T33" i="58"/>
  <c r="Y31" i="57"/>
  <c r="AE39" i="46"/>
  <c r="AE52" i="46"/>
  <c r="AB31" i="37"/>
  <c r="AO31" i="37" s="1"/>
  <c r="AO29" i="37"/>
  <c r="AA50" i="51"/>
  <c r="AA57" i="51" s="1"/>
  <c r="W97" i="46"/>
  <c r="AO15" i="37"/>
  <c r="I29" i="84"/>
  <c r="I29" i="15"/>
  <c r="R23" i="63"/>
  <c r="L49" i="63"/>
  <c r="L56" i="63"/>
  <c r="AC81" i="37"/>
  <c r="AJ81" i="37"/>
  <c r="AE52" i="62"/>
  <c r="AA11" i="57"/>
  <c r="Z41" i="57"/>
  <c r="Z42" i="57" s="1"/>
  <c r="Z24" i="57" s="1"/>
  <c r="F24" i="97"/>
  <c r="R35" i="62"/>
  <c r="R52" i="62" s="1"/>
  <c r="R36" i="11"/>
  <c r="R39" i="62" s="1"/>
  <c r="H96" i="5" a="1"/>
  <c r="AC32" i="11"/>
  <c r="W32" i="11"/>
  <c r="R49" i="11"/>
  <c r="S25" i="63"/>
  <c r="AQ83" i="37" s="1"/>
  <c r="AK83" i="37"/>
  <c r="AD83" i="37"/>
  <c r="N18" i="63"/>
  <c r="AH18" i="11"/>
  <c r="AG21" i="62"/>
  <c r="G29" i="84"/>
  <c r="G29" i="15"/>
  <c r="P23" i="63"/>
  <c r="J56" i="63"/>
  <c r="AA81" i="37"/>
  <c r="AH81" i="37"/>
  <c r="W9" i="5"/>
  <c r="W151" i="5" s="1"/>
  <c r="T35" i="63"/>
  <c r="T31" i="63"/>
  <c r="T40" i="63"/>
  <c r="T33" i="63"/>
  <c r="AE69" i="46"/>
  <c r="AE95" i="46"/>
  <c r="AI55" i="51" s="1"/>
  <c r="I31" i="95" s="1"/>
  <c r="I31" i="97" s="1"/>
  <c r="AE70" i="46"/>
  <c r="AE96" i="46"/>
  <c r="AI56" i="51" s="1"/>
  <c r="I32" i="95" s="1"/>
  <c r="I32" i="97" s="1"/>
  <c r="AE66" i="46"/>
  <c r="AE92" i="46"/>
  <c r="AI52" i="51" s="1"/>
  <c r="I28" i="95" s="1"/>
  <c r="I28" i="97" s="1"/>
  <c r="AF22" i="12"/>
  <c r="AO16" i="37"/>
  <c r="AB18" i="37"/>
  <c r="U38" i="12"/>
  <c r="U47" i="62"/>
  <c r="V32" i="12"/>
  <c r="AF32" i="11"/>
  <c r="AF34" i="11"/>
  <c r="G37" i="97"/>
  <c r="G45" i="97"/>
  <c r="X31" i="57"/>
  <c r="H24" i="95"/>
  <c r="Y29" i="46"/>
  <c r="Y80" i="46"/>
  <c r="Y65" i="46"/>
  <c r="AB65" i="46" s="1"/>
  <c r="AB23" i="46"/>
  <c r="AB29" i="46" s="1"/>
  <c r="AB33" i="46"/>
  <c r="AB39" i="46" s="1"/>
  <c r="Y39" i="46"/>
  <c r="Y52" i="46"/>
  <c r="W25" i="62"/>
  <c r="W26" i="11"/>
  <c r="AG50" i="51"/>
  <c r="AC97" i="46"/>
  <c r="O12" i="12"/>
  <c r="V12" i="12" s="1"/>
  <c r="M54" i="40"/>
  <c r="M58" i="40" s="1"/>
  <c r="X23" i="11"/>
  <c r="V78" i="37"/>
  <c r="P42" i="11"/>
  <c r="P46" i="11"/>
  <c r="P49" i="62" s="1"/>
  <c r="P41" i="62"/>
  <c r="V45" i="62"/>
  <c r="V10" i="13"/>
  <c r="V44" i="11"/>
  <c r="AE29" i="46"/>
  <c r="AE80" i="46"/>
  <c r="AE91" i="46" s="1"/>
  <c r="AI51" i="51" s="1"/>
  <c r="I27" i="95" s="1"/>
  <c r="I27" i="97" s="1"/>
  <c r="AE65" i="46"/>
  <c r="W73" i="46"/>
  <c r="W71" i="46"/>
  <c r="Y22" i="11" s="1"/>
  <c r="W10" i="12"/>
  <c r="AJ10" i="12"/>
  <c r="AK10" i="12" s="1"/>
  <c r="J10" i="65"/>
  <c r="S10" i="65" s="1"/>
  <c r="AI12" i="13" s="1"/>
  <c r="AK12" i="13" s="1"/>
  <c r="R10" i="65"/>
  <c r="AF10" i="12" l="1"/>
  <c r="AG10" i="12"/>
  <c r="AF21" i="62"/>
  <c r="Y19" i="11"/>
  <c r="Y34" i="11" s="1"/>
  <c r="Y37" i="62" s="1"/>
  <c r="I43" i="1"/>
  <c r="I22" i="85"/>
  <c r="I23" i="83"/>
  <c r="B42" i="1"/>
  <c r="A3" i="53" s="1"/>
  <c r="T2" i="53" s="1"/>
  <c r="R2" i="13"/>
  <c r="AG2" i="13"/>
  <c r="Q10" i="63"/>
  <c r="AR76" i="37"/>
  <c r="AH25" i="11"/>
  <c r="AG24" i="11"/>
  <c r="N24" i="63" s="1"/>
  <c r="AG28" i="62"/>
  <c r="H17" i="35"/>
  <c r="S18" i="63"/>
  <c r="T18" i="63"/>
  <c r="T47" i="62"/>
  <c r="H45" i="95"/>
  <c r="H37" i="95"/>
  <c r="Y83" i="37"/>
  <c r="AA38" i="62"/>
  <c r="AD10" i="62"/>
  <c r="AD36" i="62" s="1"/>
  <c r="AA43" i="62"/>
  <c r="AA34" i="62"/>
  <c r="M24" i="63"/>
  <c r="AF27" i="62"/>
  <c r="N19" i="63"/>
  <c r="W17" i="5" s="1"/>
  <c r="W128" i="5" s="1"/>
  <c r="L16" i="35"/>
  <c r="X34" i="11"/>
  <c r="X37" i="62" s="1"/>
  <c r="O20" i="84"/>
  <c r="U10" i="5"/>
  <c r="P33" i="95"/>
  <c r="P43" i="95" s="1"/>
  <c r="L19" i="35"/>
  <c r="Y32" i="11"/>
  <c r="Y49" i="11" s="1"/>
  <c r="P33" i="97"/>
  <c r="P43" i="97" s="1"/>
  <c r="L18" i="35"/>
  <c r="Y46" i="37"/>
  <c r="I17" i="35"/>
  <c r="AE11" i="12"/>
  <c r="L11" i="65" s="1"/>
  <c r="K24" i="63"/>
  <c r="AD11" i="12"/>
  <c r="AD13" i="13" s="1"/>
  <c r="AA27" i="62"/>
  <c r="X32" i="11"/>
  <c r="X49" i="11" s="1"/>
  <c r="Y82" i="37"/>
  <c r="N61" i="63"/>
  <c r="AO42" i="37"/>
  <c r="AB44" i="37"/>
  <c r="AO44" i="37" s="1"/>
  <c r="Z18" i="11"/>
  <c r="Z21" i="62" s="1"/>
  <c r="Z19" i="62"/>
  <c r="AB41" i="37"/>
  <c r="AO39" i="37"/>
  <c r="AE74" i="46"/>
  <c r="X46" i="37"/>
  <c r="X75" i="37"/>
  <c r="Q38" i="11"/>
  <c r="K14" i="63"/>
  <c r="AD17" i="62"/>
  <c r="AB70" i="46"/>
  <c r="AB74" i="46" s="1"/>
  <c r="Y74" i="46"/>
  <c r="G10" i="12"/>
  <c r="V38" i="12"/>
  <c r="V47" i="62"/>
  <c r="X26" i="62"/>
  <c r="G26" i="95"/>
  <c r="AG57" i="51"/>
  <c r="U20" i="5" s="1"/>
  <c r="AB52" i="46"/>
  <c r="Y90" i="46"/>
  <c r="Y64" i="46"/>
  <c r="AB64" i="46" s="1"/>
  <c r="Y59" i="46"/>
  <c r="H24" i="97"/>
  <c r="I38" i="97"/>
  <c r="I37" i="95"/>
  <c r="I45" i="95"/>
  <c r="J34" i="84"/>
  <c r="K10" i="91"/>
  <c r="K14" i="91" s="1"/>
  <c r="AF35" i="62"/>
  <c r="M32" i="63"/>
  <c r="AF36" i="11"/>
  <c r="AF39" i="62" s="1"/>
  <c r="N10" i="65"/>
  <c r="T25" i="63"/>
  <c r="AR83" i="37" s="1"/>
  <c r="AE83" i="37"/>
  <c r="AL83" i="37"/>
  <c r="AO18" i="37"/>
  <c r="W35" i="62"/>
  <c r="W52" i="62" s="1"/>
  <c r="W36" i="11"/>
  <c r="W39" i="62" s="1"/>
  <c r="W49" i="11"/>
  <c r="H97" i="5"/>
  <c r="H99" i="5"/>
  <c r="H101" i="5"/>
  <c r="H103" i="5"/>
  <c r="H105" i="5"/>
  <c r="H107" i="5"/>
  <c r="H96" i="5"/>
  <c r="H98" i="5"/>
  <c r="H100" i="5"/>
  <c r="H102" i="5"/>
  <c r="H104" i="5"/>
  <c r="H106" i="5"/>
  <c r="AA28" i="62"/>
  <c r="AD25" i="11"/>
  <c r="AA41" i="57"/>
  <c r="AA42" i="57" s="1"/>
  <c r="AA24" i="57" s="1"/>
  <c r="AB11" i="57"/>
  <c r="G28" i="84"/>
  <c r="G28" i="15"/>
  <c r="P22" i="63"/>
  <c r="J26" i="63"/>
  <c r="J28" i="63" s="1"/>
  <c r="P9" i="65"/>
  <c r="P14" i="65" s="1"/>
  <c r="T21" i="53"/>
  <c r="AH50" i="51"/>
  <c r="AD97" i="46"/>
  <c r="M19" i="57"/>
  <c r="M21" i="57" s="1"/>
  <c r="N36" i="57"/>
  <c r="E26" i="97"/>
  <c r="E33" i="97" s="1"/>
  <c r="E33" i="95"/>
  <c r="J11" i="12"/>
  <c r="T11" i="12"/>
  <c r="AG26" i="62"/>
  <c r="AH23" i="11"/>
  <c r="N23" i="63"/>
  <c r="AA16" i="11"/>
  <c r="AD13" i="11"/>
  <c r="AO26" i="37"/>
  <c r="AB28" i="37"/>
  <c r="I24" i="95"/>
  <c r="M19" i="63"/>
  <c r="AC37" i="62"/>
  <c r="J34" i="63"/>
  <c r="X73" i="46"/>
  <c r="X71" i="46"/>
  <c r="Z22" i="11" s="1"/>
  <c r="J29" i="84"/>
  <c r="J29" i="15"/>
  <c r="S23" i="63"/>
  <c r="AK81" i="37"/>
  <c r="AD81" i="37"/>
  <c r="AG37" i="62"/>
  <c r="AH34" i="11"/>
  <c r="N34" i="63"/>
  <c r="Z31" i="57"/>
  <c r="Y25" i="62"/>
  <c r="Y26" i="11"/>
  <c r="P10" i="13"/>
  <c r="P45" i="62"/>
  <c r="P55" i="62" s="1"/>
  <c r="P43" i="11"/>
  <c r="P44" i="11" s="1"/>
  <c r="P52" i="11"/>
  <c r="P12" i="12"/>
  <c r="N54" i="40"/>
  <c r="N58" i="40" s="1"/>
  <c r="W29" i="62"/>
  <c r="W28" i="11"/>
  <c r="H37" i="97"/>
  <c r="H45" i="97"/>
  <c r="AB80" i="46"/>
  <c r="AB91" i="46" s="1"/>
  <c r="AF51" i="51" s="1"/>
  <c r="F27" i="95" s="1"/>
  <c r="F27" i="97" s="1"/>
  <c r="Y91" i="46"/>
  <c r="AC51" i="51" s="1"/>
  <c r="M10" i="65"/>
  <c r="AF37" i="62"/>
  <c r="M34" i="63"/>
  <c r="AG22" i="12"/>
  <c r="M29" i="84"/>
  <c r="M29" i="15"/>
  <c r="AN81" i="37"/>
  <c r="S13" i="5"/>
  <c r="H10" i="91"/>
  <c r="H14" i="91" s="1"/>
  <c r="G34" i="84"/>
  <c r="AC35" i="62"/>
  <c r="AC52" i="62" s="1"/>
  <c r="J32" i="63"/>
  <c r="AC36" i="11"/>
  <c r="AC39" i="62" s="1"/>
  <c r="AC49" i="11"/>
  <c r="O29" i="84"/>
  <c r="O29" i="15"/>
  <c r="R49" i="63"/>
  <c r="AP81" i="37"/>
  <c r="U13" i="5"/>
  <c r="AB20" i="37"/>
  <c r="AO20" i="37" s="1"/>
  <c r="AE64" i="46"/>
  <c r="AE90" i="46"/>
  <c r="AE59" i="46"/>
  <c r="M34" i="58"/>
  <c r="R34" i="58" s="1"/>
  <c r="P34" i="58" s="1"/>
  <c r="K33" i="58" s="1"/>
  <c r="O35" i="58"/>
  <c r="T34" i="58"/>
  <c r="L22" i="63"/>
  <c r="AE26" i="11"/>
  <c r="AE25" i="62"/>
  <c r="AC29" i="62"/>
  <c r="AC28" i="11"/>
  <c r="AD73" i="46"/>
  <c r="AD71" i="46"/>
  <c r="AF22" i="11" s="1"/>
  <c r="L21" i="57"/>
  <c r="G20" i="84"/>
  <c r="G20" i="15"/>
  <c r="P19" i="63"/>
  <c r="S17" i="5"/>
  <c r="S128" i="5" s="1"/>
  <c r="I31" i="84"/>
  <c r="I31" i="15"/>
  <c r="R36" i="63"/>
  <c r="O30" i="84"/>
  <c r="O30" i="15"/>
  <c r="AP82" i="37"/>
  <c r="U14" i="5"/>
  <c r="Y33" i="37"/>
  <c r="Y75" i="37"/>
  <c r="R38" i="11"/>
  <c r="AB50" i="51"/>
  <c r="AB57" i="51" s="1"/>
  <c r="X97" i="46"/>
  <c r="T9" i="5"/>
  <c r="T151" i="5" s="1"/>
  <c r="Q31" i="63"/>
  <c r="Q40" i="63"/>
  <c r="Q35" i="63"/>
  <c r="Q33" i="63"/>
  <c r="X25" i="62"/>
  <c r="X26" i="11"/>
  <c r="AF49" i="11"/>
  <c r="L10" i="91"/>
  <c r="K34" i="84"/>
  <c r="AG35" i="62"/>
  <c r="AH32" i="11"/>
  <c r="N32" i="63"/>
  <c r="AG36" i="11"/>
  <c r="AG12" i="13" l="1"/>
  <c r="AH12" i="13"/>
  <c r="N13" i="19" s="1"/>
  <c r="Y22" i="62"/>
  <c r="AD38" i="62"/>
  <c r="I23" i="85"/>
  <c r="I46" i="1"/>
  <c r="B43" i="1"/>
  <c r="A3" i="57" s="1"/>
  <c r="AF2" i="57" s="1"/>
  <c r="I24" i="83"/>
  <c r="AG27" i="62"/>
  <c r="AG49" i="11"/>
  <c r="AG17" i="12" s="1"/>
  <c r="AG11" i="12"/>
  <c r="AG13" i="13" s="1"/>
  <c r="M14" i="19" s="1"/>
  <c r="AH24" i="11"/>
  <c r="AH11" i="12" s="1"/>
  <c r="AD34" i="62"/>
  <c r="AD43" i="62"/>
  <c r="AD27" i="62"/>
  <c r="T34" i="63"/>
  <c r="S34" i="63"/>
  <c r="Q14" i="63"/>
  <c r="Y14" i="63" s="1"/>
  <c r="P34" i="63"/>
  <c r="Q24" i="63"/>
  <c r="AO82" i="37" s="1"/>
  <c r="AD82" i="37"/>
  <c r="AF13" i="13"/>
  <c r="L14" i="19" s="1"/>
  <c r="S24" i="63"/>
  <c r="P30" i="15" s="1"/>
  <c r="M56" i="63"/>
  <c r="M57" i="63" s="1"/>
  <c r="J30" i="15"/>
  <c r="AK82" i="37"/>
  <c r="J30" i="84"/>
  <c r="M49" i="63"/>
  <c r="T19" i="63"/>
  <c r="W10" i="5" s="1"/>
  <c r="K20" i="15"/>
  <c r="K20" i="84"/>
  <c r="K35" i="84" s="1"/>
  <c r="AF52" i="62"/>
  <c r="F11" i="35"/>
  <c r="F39" i="95" s="1"/>
  <c r="F39" i="97" s="1"/>
  <c r="X36" i="11"/>
  <c r="X39" i="62" s="1"/>
  <c r="X35" i="62"/>
  <c r="X52" i="62" s="1"/>
  <c r="F12" i="35"/>
  <c r="F40" i="95" s="1"/>
  <c r="F40" i="97" s="1"/>
  <c r="AI82" i="37"/>
  <c r="F16" i="35"/>
  <c r="F44" i="95" s="1"/>
  <c r="F44" i="97" s="1"/>
  <c r="F15" i="35"/>
  <c r="F43" i="95" s="1"/>
  <c r="F43" i="97" s="1"/>
  <c r="AB82" i="37"/>
  <c r="F13" i="35"/>
  <c r="F41" i="95" s="1"/>
  <c r="F41" i="97" s="1"/>
  <c r="F10" i="35"/>
  <c r="F38" i="95" s="1"/>
  <c r="F14" i="35"/>
  <c r="F42" i="95" s="1"/>
  <c r="F42" i="97" s="1"/>
  <c r="L20" i="35"/>
  <c r="AE13" i="13"/>
  <c r="L13" i="66" s="1"/>
  <c r="K11" i="65"/>
  <c r="Y35" i="62"/>
  <c r="Y52" i="62" s="1"/>
  <c r="AB76" i="37"/>
  <c r="AO76" i="37" s="1"/>
  <c r="Y36" i="11"/>
  <c r="Y39" i="62" s="1"/>
  <c r="AA11" i="12"/>
  <c r="X11" i="12" s="1"/>
  <c r="Y11" i="12" s="1"/>
  <c r="Z19" i="11"/>
  <c r="Z34" i="11" s="1"/>
  <c r="Z37" i="62" s="1"/>
  <c r="Q46" i="11"/>
  <c r="Q49" i="62" s="1"/>
  <c r="Q41" i="62"/>
  <c r="Q42" i="11"/>
  <c r="Z23" i="11"/>
  <c r="Z26" i="11" s="1"/>
  <c r="X78" i="37"/>
  <c r="AB46" i="37"/>
  <c r="AO46" i="37" s="1"/>
  <c r="AO41" i="37"/>
  <c r="AG39" i="62"/>
  <c r="AH36" i="11"/>
  <c r="AF17" i="12"/>
  <c r="K30" i="84"/>
  <c r="K30" i="15"/>
  <c r="T24" i="63"/>
  <c r="AL82" i="37"/>
  <c r="AE82" i="37"/>
  <c r="X29" i="62"/>
  <c r="X28" i="11"/>
  <c r="R41" i="62"/>
  <c r="R42" i="11"/>
  <c r="R46" i="11"/>
  <c r="R49" i="62" s="1"/>
  <c r="O31" i="84"/>
  <c r="O31" i="15"/>
  <c r="U15" i="5"/>
  <c r="G21" i="84"/>
  <c r="G21" i="15"/>
  <c r="P28" i="63"/>
  <c r="AF25" i="62"/>
  <c r="AF26" i="11"/>
  <c r="M22" i="63"/>
  <c r="AE29" i="62"/>
  <c r="AE28" i="11"/>
  <c r="M35" i="58"/>
  <c r="R35" i="58" s="1"/>
  <c r="P35" i="58" s="1"/>
  <c r="K34" i="58" s="1"/>
  <c r="O36" i="58"/>
  <c r="T35" i="58"/>
  <c r="AI50" i="51"/>
  <c r="AE97" i="46"/>
  <c r="AA31" i="57"/>
  <c r="M13" i="19"/>
  <c r="N12" i="66"/>
  <c r="M15" i="79"/>
  <c r="W31" i="62"/>
  <c r="W38" i="11"/>
  <c r="Q12" i="12"/>
  <c r="O54" i="40"/>
  <c r="O58" i="40" s="1"/>
  <c r="P29" i="84"/>
  <c r="P29" i="15"/>
  <c r="AQ81" i="37"/>
  <c r="V13" i="5"/>
  <c r="AO28" i="37"/>
  <c r="AB33" i="37"/>
  <c r="AO33" i="37" s="1"/>
  <c r="AB75" i="37"/>
  <c r="AA19" i="62"/>
  <c r="AA18" i="11"/>
  <c r="AA21" i="62" s="1"/>
  <c r="AG52" i="62"/>
  <c r="K11" i="12"/>
  <c r="P26" i="63"/>
  <c r="AA84" i="37"/>
  <c r="AC11" i="57"/>
  <c r="AB41" i="57"/>
  <c r="AB42" i="57" s="1"/>
  <c r="AB24" i="57" s="1"/>
  <c r="S32" i="63"/>
  <c r="M36" i="63"/>
  <c r="I37" i="97"/>
  <c r="I45" i="97"/>
  <c r="Y73" i="46"/>
  <c r="Y71" i="46"/>
  <c r="AA22" i="11" s="1"/>
  <c r="AB90" i="46"/>
  <c r="AB59" i="46"/>
  <c r="G26" i="97"/>
  <c r="G33" i="97" s="1"/>
  <c r="G33" i="95"/>
  <c r="H10" i="12"/>
  <c r="H12" i="13" s="1"/>
  <c r="G12" i="13"/>
  <c r="T32" i="63"/>
  <c r="N36" i="63"/>
  <c r="M10" i="91"/>
  <c r="G18" i="91" s="1"/>
  <c r="H18" i="91" s="1"/>
  <c r="I18" i="91" s="1"/>
  <c r="J18" i="91" s="1"/>
  <c r="L18" i="91" s="1"/>
  <c r="L14" i="91"/>
  <c r="AB73" i="46"/>
  <c r="AB71" i="46"/>
  <c r="AA23" i="11"/>
  <c r="Y78" i="37"/>
  <c r="Y81" i="37"/>
  <c r="M20" i="84"/>
  <c r="M20" i="15"/>
  <c r="S10" i="5"/>
  <c r="AC38" i="11"/>
  <c r="AC31" i="62"/>
  <c r="I28" i="84"/>
  <c r="I32" i="84" s="1"/>
  <c r="I28" i="15"/>
  <c r="I32" i="15" s="1"/>
  <c r="R22" i="63"/>
  <c r="L26" i="63"/>
  <c r="AE73" i="46"/>
  <c r="AE71" i="46"/>
  <c r="AG22" i="11" s="1"/>
  <c r="AC17" i="12"/>
  <c r="P32" i="63"/>
  <c r="P49" i="63" s="1"/>
  <c r="J36" i="63"/>
  <c r="J38" i="63" s="1"/>
  <c r="J49" i="63"/>
  <c r="G35" i="84"/>
  <c r="P38" i="12"/>
  <c r="P47" i="62"/>
  <c r="P32" i="12"/>
  <c r="P46" i="62"/>
  <c r="Y29" i="62"/>
  <c r="Y28" i="11"/>
  <c r="Z25" i="62"/>
  <c r="J20" i="15"/>
  <c r="J20" i="84"/>
  <c r="J35" i="84" s="1"/>
  <c r="S19" i="63"/>
  <c r="V17" i="5"/>
  <c r="V128" i="5" s="1"/>
  <c r="I24" i="97"/>
  <c r="K13" i="66"/>
  <c r="J14" i="19"/>
  <c r="J16" i="79"/>
  <c r="AD16" i="11"/>
  <c r="K13" i="63"/>
  <c r="K29" i="84"/>
  <c r="K29" i="15"/>
  <c r="T23" i="63"/>
  <c r="N49" i="63"/>
  <c r="N56" i="63"/>
  <c r="AE81" i="37"/>
  <c r="AL81" i="37"/>
  <c r="J13" i="13"/>
  <c r="H26" i="95"/>
  <c r="AH57" i="51"/>
  <c r="V20" i="5" s="1"/>
  <c r="M28" i="84"/>
  <c r="M28" i="15"/>
  <c r="S12" i="5"/>
  <c r="AD28" i="62"/>
  <c r="K25" i="63"/>
  <c r="AC50" i="51"/>
  <c r="AC57" i="51" s="1"/>
  <c r="Y97" i="46"/>
  <c r="X14" i="63" l="1"/>
  <c r="B46" i="1"/>
  <c r="A3" i="26" s="1"/>
  <c r="AE2" i="26" s="1"/>
  <c r="I27" i="83"/>
  <c r="I47" i="1"/>
  <c r="I26" i="85"/>
  <c r="N11" i="65"/>
  <c r="AH13" i="13"/>
  <c r="N14" i="19" s="1"/>
  <c r="N13" i="66"/>
  <c r="M16" i="79"/>
  <c r="AH49" i="11"/>
  <c r="AH17" i="12" s="1"/>
  <c r="AH14" i="13" s="1"/>
  <c r="N15" i="19" s="1"/>
  <c r="Q20" i="15"/>
  <c r="P30" i="84"/>
  <c r="L16" i="79"/>
  <c r="V14" i="5"/>
  <c r="M13" i="66"/>
  <c r="N57" i="63"/>
  <c r="S49" i="63"/>
  <c r="AQ82" i="37"/>
  <c r="Q20" i="84"/>
  <c r="K16" i="79"/>
  <c r="K14" i="19"/>
  <c r="F17" i="35"/>
  <c r="X13" i="13"/>
  <c r="Z32" i="11"/>
  <c r="Z49" i="11" s="1"/>
  <c r="Y84" i="37"/>
  <c r="Z22" i="62"/>
  <c r="Q43" i="11"/>
  <c r="Q44" i="11" s="1"/>
  <c r="Q45" i="62"/>
  <c r="Q55" i="62" s="1"/>
  <c r="Q10" i="13"/>
  <c r="Q52" i="11"/>
  <c r="Z26" i="62"/>
  <c r="G23" i="84"/>
  <c r="G23" i="15"/>
  <c r="P38" i="63"/>
  <c r="J42" i="63"/>
  <c r="J46" i="63"/>
  <c r="H26" i="97"/>
  <c r="H33" i="97" s="1"/>
  <c r="H33" i="95"/>
  <c r="AD19" i="62"/>
  <c r="AD18" i="11"/>
  <c r="Z29" i="62"/>
  <c r="Z28" i="11"/>
  <c r="Y31" i="62"/>
  <c r="Y38" i="11"/>
  <c r="O28" i="84"/>
  <c r="O32" i="84" s="1"/>
  <c r="O28" i="15"/>
  <c r="O32" i="15" s="1"/>
  <c r="U12" i="5"/>
  <c r="U16" i="5" s="1"/>
  <c r="AC41" i="62"/>
  <c r="AC46" i="11"/>
  <c r="AC49" i="62" s="1"/>
  <c r="AC42" i="11"/>
  <c r="K31" i="84"/>
  <c r="K31" i="15"/>
  <c r="T36" i="63"/>
  <c r="AF50" i="51"/>
  <c r="AB97" i="46"/>
  <c r="J31" i="84"/>
  <c r="J31" i="15"/>
  <c r="S36" i="63"/>
  <c r="AC41" i="57"/>
  <c r="AC42" i="57" s="1"/>
  <c r="AC24" i="57" s="1"/>
  <c r="AD11" i="57"/>
  <c r="AD41" i="57" s="1"/>
  <c r="L11" i="12"/>
  <c r="L13" i="13" s="1"/>
  <c r="Z11" i="12"/>
  <c r="AA13" i="13" s="1"/>
  <c r="AO75" i="37"/>
  <c r="AB78" i="37"/>
  <c r="AO78" i="37" s="1"/>
  <c r="R12" i="12"/>
  <c r="D62" i="40"/>
  <c r="D65" i="40" s="1"/>
  <c r="W41" i="62"/>
  <c r="W42" i="11"/>
  <c r="W46" i="11"/>
  <c r="W49" i="62" s="1"/>
  <c r="I26" i="95"/>
  <c r="AI57" i="51"/>
  <c r="W20" i="5" s="1"/>
  <c r="AF29" i="62"/>
  <c r="AF28" i="11"/>
  <c r="AF19" i="12"/>
  <c r="M17" i="65"/>
  <c r="Q29" i="84"/>
  <c r="Q29" i="15"/>
  <c r="T49" i="63"/>
  <c r="AR81" i="37"/>
  <c r="W13" i="5"/>
  <c r="Q25" i="63"/>
  <c r="AI83" i="37"/>
  <c r="AB83" i="37"/>
  <c r="H30" i="84"/>
  <c r="H30" i="15"/>
  <c r="AB31" i="57"/>
  <c r="Q13" i="63"/>
  <c r="K16" i="63"/>
  <c r="P20" i="84"/>
  <c r="P20" i="15"/>
  <c r="V10" i="5"/>
  <c r="G31" i="84"/>
  <c r="G32" i="84" s="1"/>
  <c r="G31" i="15"/>
  <c r="G32" i="15" s="1"/>
  <c r="P36" i="63"/>
  <c r="AM14" i="13"/>
  <c r="AC19" i="12"/>
  <c r="J17" i="65"/>
  <c r="R17" i="65"/>
  <c r="AG25" i="62"/>
  <c r="AH22" i="11"/>
  <c r="N22" i="63"/>
  <c r="AG26" i="11"/>
  <c r="R26" i="63"/>
  <c r="L48" i="63"/>
  <c r="J21" i="87" s="1"/>
  <c r="J25" i="87" s="1"/>
  <c r="J27" i="87" s="1"/>
  <c r="AC84" i="37"/>
  <c r="L28" i="63"/>
  <c r="AA26" i="62"/>
  <c r="AD23" i="11"/>
  <c r="I10" i="12"/>
  <c r="I12" i="13" s="1"/>
  <c r="AA25" i="62"/>
  <c r="AA26" i="11"/>
  <c r="AA29" i="62" s="1"/>
  <c r="AD22" i="11"/>
  <c r="J48" i="63"/>
  <c r="H21" i="87" s="1"/>
  <c r="H25" i="87" s="1"/>
  <c r="H27" i="87" s="1"/>
  <c r="K13" i="13"/>
  <c r="AA19" i="11"/>
  <c r="Y13" i="13"/>
  <c r="O37" i="58"/>
  <c r="M36" i="58"/>
  <c r="R36" i="58" s="1"/>
  <c r="P36" i="58" s="1"/>
  <c r="T36" i="58"/>
  <c r="AE31" i="62"/>
  <c r="AE38" i="11"/>
  <c r="J28" i="84"/>
  <c r="J28" i="15"/>
  <c r="S22" i="63"/>
  <c r="M26" i="63"/>
  <c r="M21" i="84"/>
  <c r="M21" i="15"/>
  <c r="R10" i="13"/>
  <c r="R43" i="11"/>
  <c r="R44" i="11" s="1"/>
  <c r="R45" i="62"/>
  <c r="R55" i="62" s="1"/>
  <c r="R52" i="11"/>
  <c r="X38" i="11"/>
  <c r="X31" i="62"/>
  <c r="Q30" i="84"/>
  <c r="Q30" i="15"/>
  <c r="AR82" i="37"/>
  <c r="W14" i="5"/>
  <c r="F38" i="97"/>
  <c r="F37" i="95"/>
  <c r="F45" i="95"/>
  <c r="AG19" i="12"/>
  <c r="AG14" i="13"/>
  <c r="N17" i="65"/>
  <c r="I27" i="85" l="1"/>
  <c r="I28" i="83"/>
  <c r="I48" i="1"/>
  <c r="B47" i="1"/>
  <c r="A3" i="77" s="1"/>
  <c r="AE2" i="77" s="1"/>
  <c r="N16" i="19"/>
  <c r="Z35" i="62"/>
  <c r="Z52" i="62" s="1"/>
  <c r="Z36" i="11"/>
  <c r="Z39" i="62" s="1"/>
  <c r="U13" i="13"/>
  <c r="J32" i="15"/>
  <c r="J32" i="84"/>
  <c r="Z13" i="13"/>
  <c r="Q38" i="12"/>
  <c r="Q47" i="62"/>
  <c r="Q32" i="12"/>
  <c r="Q46" i="62"/>
  <c r="F37" i="97"/>
  <c r="F45" i="97"/>
  <c r="X41" i="62"/>
  <c r="X46" i="11"/>
  <c r="X49" i="62" s="1"/>
  <c r="X42" i="11"/>
  <c r="R38" i="12"/>
  <c r="R47" i="62"/>
  <c r="R32" i="12"/>
  <c r="R46" i="62"/>
  <c r="W43" i="11"/>
  <c r="W46" i="62" s="1"/>
  <c r="M48" i="63"/>
  <c r="K21" i="87" s="1"/>
  <c r="K25" i="87" s="1"/>
  <c r="K27" i="87" s="1"/>
  <c r="S26" i="63"/>
  <c r="AD84" i="37"/>
  <c r="M28" i="63"/>
  <c r="AE41" i="62"/>
  <c r="AE46" i="11"/>
  <c r="AE49" i="62" s="1"/>
  <c r="AE42" i="11"/>
  <c r="AC31" i="57"/>
  <c r="I21" i="84"/>
  <c r="I21" i="15"/>
  <c r="R28" i="63"/>
  <c r="L38" i="63"/>
  <c r="AG29" i="62"/>
  <c r="AH26" i="11"/>
  <c r="AG28" i="11"/>
  <c r="S17" i="65"/>
  <c r="AI14" i="13" s="1"/>
  <c r="AK14" i="13" s="1"/>
  <c r="J19" i="65"/>
  <c r="R19" i="65"/>
  <c r="Q16" i="63"/>
  <c r="K61" i="63"/>
  <c r="AO83" i="37"/>
  <c r="N30" i="15"/>
  <c r="T14" i="5"/>
  <c r="N30" i="84"/>
  <c r="AF31" i="62"/>
  <c r="AF38" i="11"/>
  <c r="AD42" i="57"/>
  <c r="AD24" i="57" s="1"/>
  <c r="T12" i="13"/>
  <c r="AC45" i="62"/>
  <c r="AC10" i="13"/>
  <c r="I10" i="19"/>
  <c r="Y42" i="11"/>
  <c r="Y46" i="11"/>
  <c r="Y49" i="62" s="1"/>
  <c r="Y41" i="62"/>
  <c r="Z31" i="62"/>
  <c r="G24" i="84"/>
  <c r="G24" i="15"/>
  <c r="P42" i="63"/>
  <c r="J62" i="63"/>
  <c r="I9" i="79"/>
  <c r="J10" i="66"/>
  <c r="J43" i="63"/>
  <c r="J44" i="63" s="1"/>
  <c r="S130" i="5"/>
  <c r="M15" i="19"/>
  <c r="M16" i="19" s="1"/>
  <c r="M17" i="79"/>
  <c r="N14" i="66"/>
  <c r="N19" i="65"/>
  <c r="P28" i="84"/>
  <c r="P28" i="15"/>
  <c r="V12" i="5"/>
  <c r="O38" i="58"/>
  <c r="M37" i="58"/>
  <c r="R37" i="58" s="1"/>
  <c r="P37" i="58" s="1"/>
  <c r="T37" i="58"/>
  <c r="AA28" i="11"/>
  <c r="AA22" i="62"/>
  <c r="AA32" i="11"/>
  <c r="AA34" i="11"/>
  <c r="AD25" i="62"/>
  <c r="AD26" i="11"/>
  <c r="AD29" i="62" s="1"/>
  <c r="K22" i="63"/>
  <c r="J10" i="12"/>
  <c r="J12" i="13" s="1"/>
  <c r="T10" i="12"/>
  <c r="AD26" i="62"/>
  <c r="K23" i="63"/>
  <c r="K28" i="84"/>
  <c r="K32" i="84" s="1"/>
  <c r="K28" i="15"/>
  <c r="K32" i="15" s="1"/>
  <c r="T22" i="63"/>
  <c r="N26" i="63"/>
  <c r="M31" i="84"/>
  <c r="M32" i="84" s="1"/>
  <c r="M31" i="15"/>
  <c r="M32" i="15" s="1"/>
  <c r="S15" i="5"/>
  <c r="S16" i="5" s="1"/>
  <c r="M19" i="65"/>
  <c r="I26" i="97"/>
  <c r="I33" i="97" s="1"/>
  <c r="I33" i="95"/>
  <c r="W10" i="13"/>
  <c r="W45" i="62"/>
  <c r="X12" i="12"/>
  <c r="E62" i="40"/>
  <c r="E65" i="40" s="1"/>
  <c r="U11" i="12"/>
  <c r="M11" i="12"/>
  <c r="M13" i="13" s="1"/>
  <c r="P31" i="84"/>
  <c r="P31" i="15"/>
  <c r="V15" i="5"/>
  <c r="F26" i="95"/>
  <c r="AF57" i="51"/>
  <c r="T20" i="5" s="1"/>
  <c r="Q31" i="84"/>
  <c r="Q31" i="15"/>
  <c r="W15" i="5"/>
  <c r="AD21" i="62"/>
  <c r="K18" i="63"/>
  <c r="AD19" i="11"/>
  <c r="G22" i="84"/>
  <c r="G22" i="15"/>
  <c r="P46" i="63"/>
  <c r="S129" i="5"/>
  <c r="S18" i="5"/>
  <c r="M23" i="84"/>
  <c r="M23" i="15"/>
  <c r="I49" i="1" l="1"/>
  <c r="I29" i="83"/>
  <c r="B48" i="1"/>
  <c r="A3" i="28" s="1"/>
  <c r="AE2" i="28" s="1"/>
  <c r="I28" i="85"/>
  <c r="Q18" i="63"/>
  <c r="Z38" i="11"/>
  <c r="Z41" i="62" s="1"/>
  <c r="W32" i="12"/>
  <c r="W44" i="11"/>
  <c r="W47" i="62" s="1"/>
  <c r="M22" i="84"/>
  <c r="M22" i="15"/>
  <c r="F26" i="97"/>
  <c r="F33" i="97" s="1"/>
  <c r="F33" i="95"/>
  <c r="N11" i="12"/>
  <c r="N13" i="13" s="1"/>
  <c r="Q28" i="84"/>
  <c r="Q32" i="84" s="1"/>
  <c r="Q28" i="15"/>
  <c r="Q32" i="15" s="1"/>
  <c r="W12" i="5"/>
  <c r="W16" i="5" s="1"/>
  <c r="H29" i="84"/>
  <c r="H29" i="15"/>
  <c r="K56" i="63"/>
  <c r="Q23" i="63"/>
  <c r="AI81" i="37"/>
  <c r="AB81" i="37"/>
  <c r="K10" i="12"/>
  <c r="K12" i="13" s="1"/>
  <c r="H28" i="84"/>
  <c r="H28" i="15"/>
  <c r="Q22" i="63"/>
  <c r="K26" i="63"/>
  <c r="AA35" i="62"/>
  <c r="AA52" i="62" s="1"/>
  <c r="AA36" i="11"/>
  <c r="AA39" i="62" s="1"/>
  <c r="AD32" i="11"/>
  <c r="AA49" i="11"/>
  <c r="AA31" i="62"/>
  <c r="T38" i="58"/>
  <c r="M38" i="58"/>
  <c r="R38" i="58" s="1"/>
  <c r="P38" i="58" s="1"/>
  <c r="O39" i="58"/>
  <c r="P32" i="15"/>
  <c r="L14" i="87"/>
  <c r="M14" i="87" s="1"/>
  <c r="M18" i="79"/>
  <c r="AC43" i="11"/>
  <c r="J32" i="65"/>
  <c r="P43" i="63"/>
  <c r="H12" i="87"/>
  <c r="I11" i="79"/>
  <c r="M24" i="84"/>
  <c r="M24" i="15"/>
  <c r="AF41" i="62"/>
  <c r="AF42" i="11"/>
  <c r="AF46" i="11"/>
  <c r="AF49" i="62" s="1"/>
  <c r="AH28" i="11"/>
  <c r="AG38" i="11"/>
  <c r="AG31" i="62"/>
  <c r="O21" i="84"/>
  <c r="O21" i="15"/>
  <c r="AE45" i="62"/>
  <c r="AE10" i="13"/>
  <c r="K10" i="19"/>
  <c r="X45" i="62"/>
  <c r="X10" i="13"/>
  <c r="AE10" i="12"/>
  <c r="AD22" i="62"/>
  <c r="AD28" i="11"/>
  <c r="AD10" i="12"/>
  <c r="Y12" i="12"/>
  <c r="F62" i="40"/>
  <c r="F65" i="40" s="1"/>
  <c r="T26" i="63"/>
  <c r="N48" i="63"/>
  <c r="L21" i="87" s="1"/>
  <c r="AE84" i="37"/>
  <c r="N28" i="63"/>
  <c r="AA37" i="62"/>
  <c r="AD34" i="11"/>
  <c r="V16" i="5"/>
  <c r="P32" i="84"/>
  <c r="G25" i="84"/>
  <c r="G25" i="15"/>
  <c r="J38" i="65"/>
  <c r="P44" i="63"/>
  <c r="Y10" i="13"/>
  <c r="Y45" i="62"/>
  <c r="P10" i="66"/>
  <c r="AD31" i="57"/>
  <c r="AF31" i="57" s="1"/>
  <c r="AF24" i="57"/>
  <c r="K19" i="63"/>
  <c r="I23" i="84"/>
  <c r="I23" i="15"/>
  <c r="R38" i="63"/>
  <c r="L42" i="63"/>
  <c r="L46" i="63"/>
  <c r="J21" i="84"/>
  <c r="J21" i="15"/>
  <c r="M38" i="63"/>
  <c r="S28" i="63"/>
  <c r="I29" i="85" l="1"/>
  <c r="I30" i="83"/>
  <c r="B49" i="1"/>
  <c r="A3" i="78" s="1"/>
  <c r="AE2" i="78" s="1"/>
  <c r="I50" i="1"/>
  <c r="Z42" i="11"/>
  <c r="Z45" i="62" s="1"/>
  <c r="Z46" i="11"/>
  <c r="Z49" i="62" s="1"/>
  <c r="W38" i="12"/>
  <c r="AA38" i="11"/>
  <c r="AA42" i="11" s="1"/>
  <c r="P21" i="84"/>
  <c r="P21" i="15"/>
  <c r="I22" i="84"/>
  <c r="I22" i="15"/>
  <c r="R46" i="63"/>
  <c r="U129" i="5"/>
  <c r="U18" i="5"/>
  <c r="O23" i="84"/>
  <c r="O23" i="15"/>
  <c r="I14" i="66"/>
  <c r="H17" i="79"/>
  <c r="H15" i="19"/>
  <c r="H16" i="19" s="1"/>
  <c r="M25" i="84"/>
  <c r="M25" i="15"/>
  <c r="J23" i="84"/>
  <c r="J23" i="15"/>
  <c r="M42" i="63"/>
  <c r="M46" i="63"/>
  <c r="S38" i="63"/>
  <c r="I24" i="84"/>
  <c r="I24" i="15"/>
  <c r="R42" i="63"/>
  <c r="L62" i="63"/>
  <c r="K9" i="79"/>
  <c r="L10" i="66"/>
  <c r="L43" i="63"/>
  <c r="L44" i="63" s="1"/>
  <c r="U130" i="5"/>
  <c r="H20" i="84"/>
  <c r="H20" i="15"/>
  <c r="Q19" i="63"/>
  <c r="K28" i="63"/>
  <c r="T17" i="5"/>
  <c r="T128" i="5" s="1"/>
  <c r="Z12" i="12"/>
  <c r="G62" i="40"/>
  <c r="G65" i="40" s="1"/>
  <c r="AA12" i="12" s="1"/>
  <c r="AD31" i="62"/>
  <c r="AF12" i="13"/>
  <c r="L10" i="65"/>
  <c r="AF10" i="13"/>
  <c r="L10" i="19"/>
  <c r="AF45" i="62"/>
  <c r="AC46" i="62"/>
  <c r="AC32" i="12"/>
  <c r="AC44" i="11"/>
  <c r="M39" i="58"/>
  <c r="R39" i="58" s="1"/>
  <c r="P39" i="58" s="1"/>
  <c r="O40" i="58"/>
  <c r="T39" i="58"/>
  <c r="Q26" i="63"/>
  <c r="AB84" i="37"/>
  <c r="L10" i="12"/>
  <c r="L12" i="13" s="1"/>
  <c r="N29" i="84"/>
  <c r="N29" i="15"/>
  <c r="AO81" i="37"/>
  <c r="T13" i="5"/>
  <c r="O11" i="12"/>
  <c r="O13" i="13" s="1"/>
  <c r="V13" i="13" s="1"/>
  <c r="AN16" i="12"/>
  <c r="AO16" i="12" s="1"/>
  <c r="Q17" i="65"/>
  <c r="Q19" i="65" s="1"/>
  <c r="I17" i="65"/>
  <c r="AD37" i="62"/>
  <c r="K34" i="63"/>
  <c r="K21" i="84"/>
  <c r="K21" i="15"/>
  <c r="T28" i="63"/>
  <c r="N38" i="63"/>
  <c r="M21" i="87"/>
  <c r="M25" i="87" s="1"/>
  <c r="M27" i="87" s="1"/>
  <c r="L25" i="87"/>
  <c r="L27" i="87" s="1"/>
  <c r="AA10" i="12"/>
  <c r="X10" i="12" s="1"/>
  <c r="AE12" i="13"/>
  <c r="K10" i="65"/>
  <c r="AD12" i="13"/>
  <c r="AG41" i="62"/>
  <c r="AG46" i="11"/>
  <c r="AG49" i="62" s="1"/>
  <c r="AH38" i="11"/>
  <c r="AG42" i="11"/>
  <c r="I12" i="79"/>
  <c r="I10" i="91"/>
  <c r="I14" i="91" s="1"/>
  <c r="K18" i="91" s="1"/>
  <c r="H34" i="84"/>
  <c r="AD35" i="62"/>
  <c r="AD52" i="62" s="1"/>
  <c r="K32" i="63"/>
  <c r="AD36" i="11"/>
  <c r="AD39" i="62" s="1"/>
  <c r="AD49" i="11"/>
  <c r="N28" i="84"/>
  <c r="N28" i="15"/>
  <c r="T12" i="5"/>
  <c r="K57" i="63"/>
  <c r="L57" i="63"/>
  <c r="Z10" i="13" l="1"/>
  <c r="B50" i="1"/>
  <c r="A3" i="29" s="1"/>
  <c r="AE2" i="29" s="1"/>
  <c r="I31" i="83"/>
  <c r="I51" i="1"/>
  <c r="I30" i="85"/>
  <c r="Q34" i="63"/>
  <c r="AA41" i="62"/>
  <c r="AA46" i="11"/>
  <c r="AA49" i="62" s="1"/>
  <c r="H35" i="84"/>
  <c r="U12" i="13"/>
  <c r="I25" i="84"/>
  <c r="I25" i="15"/>
  <c r="L38" i="65"/>
  <c r="R44" i="63"/>
  <c r="M18" i="91"/>
  <c r="L19" i="91" s="1"/>
  <c r="AE17" i="12"/>
  <c r="AD17" i="12"/>
  <c r="Q32" i="63"/>
  <c r="Q49" i="63" s="1"/>
  <c r="K36" i="63"/>
  <c r="K38" i="63" s="1"/>
  <c r="K49" i="63"/>
  <c r="K12" i="66"/>
  <c r="J15" i="79"/>
  <c r="J13" i="19"/>
  <c r="K13" i="19"/>
  <c r="L12" i="66"/>
  <c r="K15" i="79"/>
  <c r="K23" i="84"/>
  <c r="K23" i="15"/>
  <c r="T38" i="63"/>
  <c r="N42" i="63"/>
  <c r="N46" i="63"/>
  <c r="AH24" i="57"/>
  <c r="AI17" i="12" s="1"/>
  <c r="I19" i="65"/>
  <c r="V17" i="65"/>
  <c r="AL14" i="13"/>
  <c r="AP16" i="12"/>
  <c r="AJ23" i="12"/>
  <c r="AK23" i="12" s="1"/>
  <c r="AK24" i="12" s="1"/>
  <c r="P11" i="12"/>
  <c r="P13" i="13" s="1"/>
  <c r="V11" i="12"/>
  <c r="AA10" i="13"/>
  <c r="AA45" i="62"/>
  <c r="AC47" i="62"/>
  <c r="AC38" i="12"/>
  <c r="M12" i="66"/>
  <c r="L13" i="19"/>
  <c r="L15" i="79"/>
  <c r="N20" i="84"/>
  <c r="N20" i="15"/>
  <c r="T10" i="5"/>
  <c r="P23" i="84"/>
  <c r="P23" i="15"/>
  <c r="J24" i="84"/>
  <c r="J24" i="15"/>
  <c r="M10" i="66"/>
  <c r="M43" i="63"/>
  <c r="M44" i="63" s="1"/>
  <c r="M62" i="63"/>
  <c r="S42" i="63"/>
  <c r="L9" i="79"/>
  <c r="V130" i="5"/>
  <c r="AG45" i="62"/>
  <c r="AH42" i="11"/>
  <c r="AG10" i="13"/>
  <c r="AG15" i="13" s="1"/>
  <c r="M10" i="19"/>
  <c r="Y10" i="12"/>
  <c r="Y12" i="13" s="1"/>
  <c r="X12" i="13"/>
  <c r="Q21" i="15"/>
  <c r="Q21" i="84"/>
  <c r="U10" i="12"/>
  <c r="M10" i="12"/>
  <c r="M12" i="13" s="1"/>
  <c r="T40" i="58"/>
  <c r="M40" i="58"/>
  <c r="R40" i="58" s="1"/>
  <c r="P40" i="58" s="1"/>
  <c r="O41" i="58"/>
  <c r="AD38" i="11"/>
  <c r="H21" i="15"/>
  <c r="H21" i="84"/>
  <c r="Q28" i="63"/>
  <c r="L32" i="65"/>
  <c r="R43" i="63"/>
  <c r="AE43" i="11"/>
  <c r="J12" i="87"/>
  <c r="K11" i="79"/>
  <c r="O24" i="84"/>
  <c r="O24" i="15"/>
  <c r="J22" i="84"/>
  <c r="J22" i="15"/>
  <c r="S46" i="63"/>
  <c r="V18" i="5"/>
  <c r="V129" i="5"/>
  <c r="H18" i="79"/>
  <c r="O22" i="84"/>
  <c r="O22" i="15"/>
  <c r="B51" i="1" l="1"/>
  <c r="A3" i="34" s="1"/>
  <c r="O2" i="34" s="1"/>
  <c r="I52" i="1"/>
  <c r="I31" i="85"/>
  <c r="I32" i="83"/>
  <c r="K19" i="91"/>
  <c r="M19" i="91" s="1"/>
  <c r="J25" i="84"/>
  <c r="J25" i="15"/>
  <c r="M38" i="65"/>
  <c r="S44" i="63"/>
  <c r="AE32" i="12"/>
  <c r="AE46" i="62"/>
  <c r="AE44" i="11"/>
  <c r="H23" i="84"/>
  <c r="H23" i="15"/>
  <c r="K42" i="63"/>
  <c r="K46" i="63"/>
  <c r="Q38" i="63"/>
  <c r="P22" i="84"/>
  <c r="P22" i="15"/>
  <c r="N21" i="84"/>
  <c r="N21" i="15"/>
  <c r="AD42" i="11"/>
  <c r="AD41" i="62"/>
  <c r="AD46" i="11"/>
  <c r="AD49" i="62" s="1"/>
  <c r="N10" i="12"/>
  <c r="N12" i="13" s="1"/>
  <c r="P24" i="84"/>
  <c r="P24" i="15"/>
  <c r="K22" i="84"/>
  <c r="K22" i="15"/>
  <c r="T46" i="63"/>
  <c r="W129" i="5"/>
  <c r="W18" i="5"/>
  <c r="Q23" i="84"/>
  <c r="Q23" i="15"/>
  <c r="H31" i="84"/>
  <c r="H32" i="84" s="1"/>
  <c r="H31" i="15"/>
  <c r="H32" i="15" s="1"/>
  <c r="Q36" i="63"/>
  <c r="K48" i="63"/>
  <c r="I21" i="87" s="1"/>
  <c r="I25" i="87" s="1"/>
  <c r="I27" i="87" s="1"/>
  <c r="AD14" i="13"/>
  <c r="AA17" i="12"/>
  <c r="AD19" i="12"/>
  <c r="K17" i="65"/>
  <c r="O25" i="84"/>
  <c r="O25" i="15"/>
  <c r="K12" i="79"/>
  <c r="M41" i="58"/>
  <c r="R41" i="58" s="1"/>
  <c r="P41" i="58" s="1"/>
  <c r="O42" i="58"/>
  <c r="T41" i="58"/>
  <c r="Z10" i="12"/>
  <c r="AA12" i="13" s="1"/>
  <c r="N10" i="19"/>
  <c r="K12" i="87"/>
  <c r="L11" i="79"/>
  <c r="AF43" i="11"/>
  <c r="M32" i="65"/>
  <c r="S43" i="63"/>
  <c r="Q11" i="12"/>
  <c r="Q13" i="13" s="1"/>
  <c r="AJ17" i="12"/>
  <c r="AK17" i="12" s="1"/>
  <c r="AK19" i="12" s="1"/>
  <c r="K24" i="84"/>
  <c r="K24" i="15"/>
  <c r="T42" i="63"/>
  <c r="N62" i="63"/>
  <c r="M9" i="79"/>
  <c r="N10" i="66"/>
  <c r="N15" i="66" s="1"/>
  <c r="N43" i="63"/>
  <c r="W130" i="5"/>
  <c r="AE19" i="12"/>
  <c r="L17" i="65"/>
  <c r="AE14" i="13"/>
  <c r="AF14" i="13"/>
  <c r="B52" i="1" l="1"/>
  <c r="A3" i="37" s="1"/>
  <c r="AE2" i="37" s="1"/>
  <c r="I53" i="1"/>
  <c r="I32" i="85"/>
  <c r="I33" i="83"/>
  <c r="G17" i="12"/>
  <c r="G14" i="13" s="1"/>
  <c r="K15" i="19"/>
  <c r="K16" i="19" s="1"/>
  <c r="K17" i="79"/>
  <c r="AE15" i="13"/>
  <c r="N32" i="65"/>
  <c r="T43" i="63"/>
  <c r="AG43" i="11"/>
  <c r="L12" i="87"/>
  <c r="M11" i="79"/>
  <c r="L17" i="79"/>
  <c r="L15" i="19"/>
  <c r="L16" i="19" s="1"/>
  <c r="AF15" i="13"/>
  <c r="L14" i="66"/>
  <c r="L15" i="66" s="1"/>
  <c r="L19" i="65"/>
  <c r="M14" i="66"/>
  <c r="M15" i="66" s="1"/>
  <c r="N44" i="63"/>
  <c r="K43" i="15"/>
  <c r="K45" i="84"/>
  <c r="N35" i="66"/>
  <c r="L45" i="87" s="1"/>
  <c r="M43" i="79"/>
  <c r="M45" i="79" s="1"/>
  <c r="R11" i="12"/>
  <c r="R13" i="13" s="1"/>
  <c r="W13" i="13" s="1"/>
  <c r="AC13" i="13" s="1"/>
  <c r="AF32" i="12"/>
  <c r="AF46" i="62"/>
  <c r="AF44" i="11"/>
  <c r="Z12" i="13"/>
  <c r="T42" i="58"/>
  <c r="M42" i="58"/>
  <c r="R42" i="58" s="1"/>
  <c r="P42" i="58" s="1"/>
  <c r="O43" i="58"/>
  <c r="J15" i="19"/>
  <c r="J16" i="19" s="1"/>
  <c r="J17" i="79"/>
  <c r="N31" i="84"/>
  <c r="N32" i="84" s="1"/>
  <c r="N31" i="15"/>
  <c r="N32" i="15" s="1"/>
  <c r="T15" i="5"/>
  <c r="T16" i="5" s="1"/>
  <c r="Q22" i="84"/>
  <c r="Q22" i="15"/>
  <c r="O10" i="12"/>
  <c r="O12" i="13" s="1"/>
  <c r="AD10" i="13"/>
  <c r="AD15" i="13" s="1"/>
  <c r="AD45" i="62"/>
  <c r="J10" i="19"/>
  <c r="N23" i="84"/>
  <c r="N23" i="15"/>
  <c r="H24" i="84"/>
  <c r="H24" i="15"/>
  <c r="K10" i="66"/>
  <c r="K43" i="63"/>
  <c r="K44" i="63" s="1"/>
  <c r="Q42" i="63"/>
  <c r="J9" i="79"/>
  <c r="K62" i="63"/>
  <c r="T130" i="5"/>
  <c r="P25" i="84"/>
  <c r="P25" i="15"/>
  <c r="Q24" i="84"/>
  <c r="Q24" i="15"/>
  <c r="L12" i="79"/>
  <c r="K14" i="66"/>
  <c r="K19" i="65"/>
  <c r="AA19" i="12"/>
  <c r="H22" i="84"/>
  <c r="H22" i="15"/>
  <c r="Q46" i="63"/>
  <c r="T18" i="5"/>
  <c r="T129" i="5"/>
  <c r="AE47" i="62"/>
  <c r="AE38" i="12"/>
  <c r="I54" i="1" l="1"/>
  <c r="B53" i="1"/>
  <c r="A3" i="46" s="1"/>
  <c r="AE2" i="46" s="1"/>
  <c r="I33" i="85"/>
  <c r="I34" i="83"/>
  <c r="G19" i="12"/>
  <c r="H17" i="12"/>
  <c r="I17" i="12" s="1"/>
  <c r="K15" i="66"/>
  <c r="H43" i="15" s="1"/>
  <c r="P13" i="66"/>
  <c r="J13" i="66"/>
  <c r="I16" i="79"/>
  <c r="N16" i="79" s="1"/>
  <c r="I14" i="19"/>
  <c r="G15" i="13"/>
  <c r="G29" i="13" s="1"/>
  <c r="N24" i="84"/>
  <c r="N24" i="15"/>
  <c r="AD43" i="11"/>
  <c r="Q43" i="63"/>
  <c r="K32" i="65"/>
  <c r="P10" i="12"/>
  <c r="P12" i="13" s="1"/>
  <c r="V10" i="12"/>
  <c r="M43" i="58"/>
  <c r="R43" i="58" s="1"/>
  <c r="P43" i="58" s="1"/>
  <c r="O44" i="58"/>
  <c r="T43" i="58"/>
  <c r="J45" i="84"/>
  <c r="J43" i="15"/>
  <c r="M35" i="66"/>
  <c r="K45" i="87" s="1"/>
  <c r="L43" i="79"/>
  <c r="L45" i="79" s="1"/>
  <c r="I45" i="84"/>
  <c r="I43" i="15"/>
  <c r="L35" i="66"/>
  <c r="J45" i="87" s="1"/>
  <c r="K43" i="79"/>
  <c r="K45" i="79" s="1"/>
  <c r="M22" i="79"/>
  <c r="M12" i="79"/>
  <c r="M41" i="79"/>
  <c r="AG32" i="12"/>
  <c r="AG46" i="62"/>
  <c r="AG44" i="11"/>
  <c r="J14" i="87"/>
  <c r="J17" i="87" s="1"/>
  <c r="K41" i="79"/>
  <c r="K18" i="79"/>
  <c r="K22" i="79" s="1"/>
  <c r="N22" i="84"/>
  <c r="N22" i="15"/>
  <c r="I12" i="87"/>
  <c r="J11" i="79"/>
  <c r="J41" i="79" s="1"/>
  <c r="Q9" i="79"/>
  <c r="P12" i="87" s="1"/>
  <c r="H25" i="84"/>
  <c r="H25" i="15"/>
  <c r="K38" i="65"/>
  <c r="Q44" i="63"/>
  <c r="V12" i="13"/>
  <c r="I14" i="87"/>
  <c r="J18" i="79"/>
  <c r="AF38" i="12"/>
  <c r="AF47" i="62"/>
  <c r="K25" i="84"/>
  <c r="K25" i="15"/>
  <c r="N38" i="65"/>
  <c r="T44" i="63"/>
  <c r="L18" i="79"/>
  <c r="L22" i="79" s="1"/>
  <c r="K14" i="87"/>
  <c r="K17" i="87" s="1"/>
  <c r="L41" i="79"/>
  <c r="L17" i="87"/>
  <c r="M12" i="87"/>
  <c r="M17" i="87" s="1"/>
  <c r="B54" i="1" l="1"/>
  <c r="A3" i="38" s="1"/>
  <c r="AE2" i="38" s="1"/>
  <c r="I55" i="1"/>
  <c r="I34" i="85"/>
  <c r="I35" i="83"/>
  <c r="H14" i="13"/>
  <c r="H15" i="13" s="1"/>
  <c r="H29" i="13" s="1"/>
  <c r="H19" i="12"/>
  <c r="H45" i="84"/>
  <c r="J43" i="79"/>
  <c r="J45" i="79" s="1"/>
  <c r="K35" i="66"/>
  <c r="I45" i="87" s="1"/>
  <c r="J46" i="87"/>
  <c r="K46" i="87"/>
  <c r="AG38" i="12"/>
  <c r="AG47" i="62"/>
  <c r="J17" i="12"/>
  <c r="T17" i="12"/>
  <c r="T19" i="12" s="1"/>
  <c r="I19" i="12"/>
  <c r="I14" i="13"/>
  <c r="I15" i="13" s="1"/>
  <c r="M31" i="87"/>
  <c r="T17" i="87"/>
  <c r="T18" i="87" s="1"/>
  <c r="L46" i="79"/>
  <c r="N25" i="84"/>
  <c r="N25" i="15"/>
  <c r="I17" i="87"/>
  <c r="O12" i="87"/>
  <c r="L31" i="87"/>
  <c r="K31" i="87"/>
  <c r="Q25" i="84"/>
  <c r="Q25" i="15"/>
  <c r="L46" i="87"/>
  <c r="J12" i="79"/>
  <c r="J22" i="79"/>
  <c r="Q11" i="79"/>
  <c r="S17" i="87"/>
  <c r="S18" i="87" s="1"/>
  <c r="K46" i="79"/>
  <c r="J31" i="87"/>
  <c r="U17" i="87"/>
  <c r="U18" i="87" s="1"/>
  <c r="M46" i="79"/>
  <c r="T44" i="58"/>
  <c r="M44" i="58"/>
  <c r="R44" i="58" s="1"/>
  <c r="P44" i="58" s="1"/>
  <c r="O45" i="58"/>
  <c r="Q10" i="12"/>
  <c r="AD46" i="62"/>
  <c r="X43" i="11"/>
  <c r="Z43" i="11"/>
  <c r="AD32" i="12"/>
  <c r="AA43" i="11"/>
  <c r="Y43" i="11"/>
  <c r="AD44" i="11"/>
  <c r="I35" i="85" l="1"/>
  <c r="I36" i="83"/>
  <c r="B55" i="1"/>
  <c r="A3" i="40" s="1"/>
  <c r="O2" i="40" s="1"/>
  <c r="I56" i="1"/>
  <c r="I46" i="87"/>
  <c r="T14" i="13"/>
  <c r="T15" i="13" s="1"/>
  <c r="AD38" i="12"/>
  <c r="AD47" i="62"/>
  <c r="AA32" i="12"/>
  <c r="AA46" i="62"/>
  <c r="AA44" i="11"/>
  <c r="R10" i="12"/>
  <c r="R12" i="13" s="1"/>
  <c r="J46" i="79"/>
  <c r="R17" i="87"/>
  <c r="R18" i="87" s="1"/>
  <c r="Y32" i="12"/>
  <c r="Y46" i="62"/>
  <c r="Y44" i="11"/>
  <c r="X32" i="12"/>
  <c r="X46" i="62"/>
  <c r="X44" i="11"/>
  <c r="Q12" i="13"/>
  <c r="M45" i="58"/>
  <c r="R45" i="58" s="1"/>
  <c r="P45" i="58" s="1"/>
  <c r="O46" i="58"/>
  <c r="T45" i="58"/>
  <c r="I31" i="87"/>
  <c r="J14" i="13"/>
  <c r="J19" i="12"/>
  <c r="K17" i="12"/>
  <c r="Z32" i="12"/>
  <c r="Z46" i="62"/>
  <c r="Z44" i="11"/>
  <c r="I36" i="85" l="1"/>
  <c r="I37" i="83"/>
  <c r="B56" i="1"/>
  <c r="A3" i="58" s="1"/>
  <c r="P2" i="58" s="1"/>
  <c r="I57" i="1"/>
  <c r="L17" i="12"/>
  <c r="K14" i="13"/>
  <c r="K15" i="13" s="1"/>
  <c r="K29" i="13" s="1"/>
  <c r="K19" i="12"/>
  <c r="J15" i="13"/>
  <c r="J29" i="13" s="1"/>
  <c r="W12" i="13"/>
  <c r="Y38" i="12"/>
  <c r="Y47" i="62"/>
  <c r="Z47" i="62"/>
  <c r="Z38" i="12"/>
  <c r="T46" i="58"/>
  <c r="M46" i="58"/>
  <c r="R46" i="58" s="1"/>
  <c r="P46" i="58" s="1"/>
  <c r="P48" i="57"/>
  <c r="P49" i="57" s="1"/>
  <c r="P10" i="57" s="1"/>
  <c r="P14" i="57" s="1"/>
  <c r="P30" i="57" s="1"/>
  <c r="P34" i="57" s="1"/>
  <c r="P37" i="57" s="1"/>
  <c r="S48" i="57"/>
  <c r="S49" i="57" s="1"/>
  <c r="S10" i="57" s="1"/>
  <c r="S14" i="57" s="1"/>
  <c r="S30" i="57" s="1"/>
  <c r="S34" i="57" s="1"/>
  <c r="S37" i="57" s="1"/>
  <c r="Y48" i="57"/>
  <c r="Y49" i="57" s="1"/>
  <c r="Y10" i="57" s="1"/>
  <c r="Y14" i="57" s="1"/>
  <c r="Y30" i="57" s="1"/>
  <c r="Y34" i="57" s="1"/>
  <c r="Y37" i="57" s="1"/>
  <c r="X48" i="57"/>
  <c r="X49" i="57" s="1"/>
  <c r="X10" i="57" s="1"/>
  <c r="X14" i="57" s="1"/>
  <c r="X30" i="57" s="1"/>
  <c r="X34" i="57" s="1"/>
  <c r="X37" i="57" s="1"/>
  <c r="AA48" i="57"/>
  <c r="AA49" i="57" s="1"/>
  <c r="AA10" i="57" s="1"/>
  <c r="AA14" i="57" s="1"/>
  <c r="AA30" i="57" s="1"/>
  <c r="AA34" i="57" s="1"/>
  <c r="AA37" i="57" s="1"/>
  <c r="U48" i="57"/>
  <c r="U49" i="57" s="1"/>
  <c r="U10" i="57" s="1"/>
  <c r="U14" i="57" s="1"/>
  <c r="U30" i="57" s="1"/>
  <c r="U34" i="57" s="1"/>
  <c r="U37" i="57" s="1"/>
  <c r="W48" i="57"/>
  <c r="W49" i="57" s="1"/>
  <c r="W10" i="57" s="1"/>
  <c r="W14" i="57" s="1"/>
  <c r="W30" i="57" s="1"/>
  <c r="W34" i="57" s="1"/>
  <c r="W37" i="57" s="1"/>
  <c r="Q48" i="57"/>
  <c r="Q49" i="57" s="1"/>
  <c r="Q10" i="57" s="1"/>
  <c r="Q14" i="57" s="1"/>
  <c r="Q30" i="57" s="1"/>
  <c r="Q34" i="57" s="1"/>
  <c r="Q37" i="57" s="1"/>
  <c r="N48" i="57"/>
  <c r="N49" i="57" s="1"/>
  <c r="N10" i="57" s="1"/>
  <c r="O48" i="57"/>
  <c r="O49" i="57" s="1"/>
  <c r="O10" i="57" s="1"/>
  <c r="O14" i="57" s="1"/>
  <c r="O30" i="57" s="1"/>
  <c r="O34" i="57" s="1"/>
  <c r="O37" i="57" s="1"/>
  <c r="AD48" i="57"/>
  <c r="AD49" i="57" s="1"/>
  <c r="AD10" i="57" s="1"/>
  <c r="AD14" i="57" s="1"/>
  <c r="AD30" i="57" s="1"/>
  <c r="AD34" i="57" s="1"/>
  <c r="AD37" i="57" s="1"/>
  <c r="T48" i="57"/>
  <c r="T49" i="57" s="1"/>
  <c r="T10" i="57" s="1"/>
  <c r="T14" i="57" s="1"/>
  <c r="T30" i="57" s="1"/>
  <c r="T34" i="57" s="1"/>
  <c r="T37" i="57" s="1"/>
  <c r="R48" i="57"/>
  <c r="R49" i="57" s="1"/>
  <c r="R10" i="57" s="1"/>
  <c r="R14" i="57" s="1"/>
  <c r="R30" i="57" s="1"/>
  <c r="R34" i="57" s="1"/>
  <c r="R37" i="57" s="1"/>
  <c r="AB48" i="57"/>
  <c r="AB49" i="57" s="1"/>
  <c r="AB10" i="57" s="1"/>
  <c r="AB14" i="57" s="1"/>
  <c r="AB30" i="57" s="1"/>
  <c r="AB34" i="57" s="1"/>
  <c r="AB37" i="57" s="1"/>
  <c r="Z48" i="57"/>
  <c r="Z49" i="57" s="1"/>
  <c r="Z10" i="57" s="1"/>
  <c r="Z14" i="57" s="1"/>
  <c r="Z30" i="57" s="1"/>
  <c r="Z34" i="57" s="1"/>
  <c r="Z37" i="57" s="1"/>
  <c r="V48" i="57"/>
  <c r="V49" i="57" s="1"/>
  <c r="V10" i="57" s="1"/>
  <c r="V14" i="57" s="1"/>
  <c r="V30" i="57" s="1"/>
  <c r="V34" i="57" s="1"/>
  <c r="V37" i="57" s="1"/>
  <c r="AC48" i="57"/>
  <c r="AC49" i="57" s="1"/>
  <c r="AC10" i="57" s="1"/>
  <c r="AC14" i="57" s="1"/>
  <c r="AC30" i="57" s="1"/>
  <c r="AC34" i="57" s="1"/>
  <c r="AC37" i="57" s="1"/>
  <c r="X38" i="12"/>
  <c r="X47" i="62"/>
  <c r="AA38" i="12"/>
  <c r="AA47" i="62"/>
  <c r="I37" i="85" l="1"/>
  <c r="I38" i="83"/>
  <c r="I60" i="1"/>
  <c r="B57" i="1"/>
  <c r="A3" i="74" s="1"/>
  <c r="L2" i="74" s="1"/>
  <c r="L14" i="13"/>
  <c r="U17" i="12"/>
  <c r="U19" i="12" s="1"/>
  <c r="L19" i="12"/>
  <c r="M17" i="12"/>
  <c r="N14" i="57"/>
  <c r="N30" i="57" s="1"/>
  <c r="AF10" i="57"/>
  <c r="AC12" i="13"/>
  <c r="B60" i="1" l="1"/>
  <c r="A3" i="79" s="1"/>
  <c r="N2" i="79" s="1"/>
  <c r="I41" i="83"/>
  <c r="I61" i="1"/>
  <c r="I40" i="85"/>
  <c r="AF14" i="57"/>
  <c r="H10" i="19" s="1"/>
  <c r="H27" i="19" s="1"/>
  <c r="I22" i="63"/>
  <c r="I26" i="63" s="1"/>
  <c r="I28" i="63" s="1"/>
  <c r="I38" i="63" s="1"/>
  <c r="N17" i="12"/>
  <c r="M19" i="12"/>
  <c r="M14" i="13"/>
  <c r="P12" i="66"/>
  <c r="I13" i="19"/>
  <c r="J12" i="66"/>
  <c r="I15" i="79"/>
  <c r="N34" i="57"/>
  <c r="N37" i="57" s="1"/>
  <c r="AF30" i="57"/>
  <c r="AF34" i="57" s="1"/>
  <c r="L15" i="13"/>
  <c r="U14" i="13"/>
  <c r="B61" i="1" l="1"/>
  <c r="A3" i="87" s="1"/>
  <c r="M2" i="87" s="1"/>
  <c r="I41" i="85"/>
  <c r="I42" i="83"/>
  <c r="I62" i="1"/>
  <c r="AF37" i="57"/>
  <c r="AF38" i="57" s="1"/>
  <c r="AL28" i="13" s="1"/>
  <c r="N38" i="57"/>
  <c r="N15" i="79"/>
  <c r="I42" i="63"/>
  <c r="I46" i="63"/>
  <c r="U15" i="13"/>
  <c r="M15" i="13"/>
  <c r="M29" i="13" s="1"/>
  <c r="N14" i="13"/>
  <c r="N15" i="13" s="1"/>
  <c r="N29" i="13" s="1"/>
  <c r="N19" i="12"/>
  <c r="O17" i="12"/>
  <c r="H36" i="92"/>
  <c r="H37" i="92" s="1"/>
  <c r="H32" i="19"/>
  <c r="I42" i="85" l="1"/>
  <c r="I43" i="83"/>
  <c r="I63" i="1"/>
  <c r="B62" i="1"/>
  <c r="A3" i="59" s="1"/>
  <c r="S2" i="59" s="1"/>
  <c r="P17" i="12"/>
  <c r="O14" i="13"/>
  <c r="O15" i="13" s="1"/>
  <c r="V17" i="12"/>
  <c r="V19" i="12" s="1"/>
  <c r="O19" i="12"/>
  <c r="O36" i="57"/>
  <c r="O38" i="57" s="1"/>
  <c r="N19" i="57"/>
  <c r="I10" i="66"/>
  <c r="I15" i="66" s="1"/>
  <c r="I43" i="63"/>
  <c r="I32" i="65" s="1"/>
  <c r="I34" i="65" s="1"/>
  <c r="I23" i="65" s="1"/>
  <c r="H9" i="79"/>
  <c r="I44" i="83" l="1"/>
  <c r="I43" i="85"/>
  <c r="I64" i="1"/>
  <c r="B63" i="1"/>
  <c r="A3" i="67" s="1"/>
  <c r="M2" i="67" s="1"/>
  <c r="I44" i="63"/>
  <c r="I38" i="65" s="1"/>
  <c r="I40" i="65" s="1"/>
  <c r="I24" i="65" s="1"/>
  <c r="V24" i="65" s="1"/>
  <c r="H11" i="79"/>
  <c r="N9" i="79"/>
  <c r="V23" i="65"/>
  <c r="N21" i="57"/>
  <c r="V14" i="13"/>
  <c r="P14" i="13"/>
  <c r="P19" i="12"/>
  <c r="Q17" i="12"/>
  <c r="I31" i="66"/>
  <c r="H43" i="79"/>
  <c r="O19" i="57"/>
  <c r="O21" i="57" s="1"/>
  <c r="P36" i="57"/>
  <c r="P38" i="57" s="1"/>
  <c r="B64" i="1" l="1"/>
  <c r="A3" i="19" s="1"/>
  <c r="N2" i="19" s="1"/>
  <c r="I44" i="85"/>
  <c r="I45" i="83"/>
  <c r="I65" i="1"/>
  <c r="I25" i="65"/>
  <c r="AH26" i="57" s="1"/>
  <c r="I32" i="66"/>
  <c r="I9" i="65" s="1"/>
  <c r="H48" i="79"/>
  <c r="Q36" i="57"/>
  <c r="Q38" i="57" s="1"/>
  <c r="P19" i="57"/>
  <c r="P21" i="57" s="1"/>
  <c r="H45" i="79"/>
  <c r="R17" i="12"/>
  <c r="Q19" i="12"/>
  <c r="Q14" i="13"/>
  <c r="Q15" i="13" s="1"/>
  <c r="Q29" i="13" s="1"/>
  <c r="P15" i="13"/>
  <c r="P29" i="13" s="1"/>
  <c r="V15" i="13"/>
  <c r="H12" i="79"/>
  <c r="N12" i="79" s="1"/>
  <c r="G29" i="79" s="1"/>
  <c r="S60" i="5" s="1"/>
  <c r="H22" i="79"/>
  <c r="N11" i="79"/>
  <c r="H41" i="79"/>
  <c r="I66" i="1" l="1"/>
  <c r="I46" i="83"/>
  <c r="B65" i="1"/>
  <c r="A3" i="92" s="1"/>
  <c r="N2" i="92" s="1"/>
  <c r="I45" i="85"/>
  <c r="V25" i="65"/>
  <c r="I27" i="65"/>
  <c r="AH27" i="57" s="1"/>
  <c r="H46" i="79"/>
  <c r="F12" i="15"/>
  <c r="F12" i="84"/>
  <c r="S159" i="5"/>
  <c r="R14" i="13"/>
  <c r="W17" i="12"/>
  <c r="R19" i="12"/>
  <c r="Q19" i="57"/>
  <c r="Q21" i="57" s="1"/>
  <c r="R36" i="57"/>
  <c r="R38" i="57" s="1"/>
  <c r="V9" i="65"/>
  <c r="I14" i="65"/>
  <c r="AH19" i="57"/>
  <c r="I67" i="1" l="1"/>
  <c r="I47" i="83"/>
  <c r="B66" i="1"/>
  <c r="A3" i="61" s="1"/>
  <c r="N2" i="61" s="1"/>
  <c r="I46" i="85"/>
  <c r="I45" i="65"/>
  <c r="AH21" i="57"/>
  <c r="I44" i="65"/>
  <c r="I28" i="65"/>
  <c r="I34" i="66" s="1"/>
  <c r="S36" i="57"/>
  <c r="S38" i="57" s="1"/>
  <c r="R19" i="57"/>
  <c r="R21" i="57" s="1"/>
  <c r="R15" i="13"/>
  <c r="W14" i="13"/>
  <c r="W19" i="12"/>
  <c r="X17" i="12"/>
  <c r="B67" i="1" l="1"/>
  <c r="A3" i="86" s="1"/>
  <c r="T2" i="86" s="1"/>
  <c r="I47" i="85"/>
  <c r="I48" i="83"/>
  <c r="Y17" i="12"/>
  <c r="X14" i="13"/>
  <c r="X15" i="13" s="1"/>
  <c r="X19" i="12"/>
  <c r="W15" i="13"/>
  <c r="AC14" i="13"/>
  <c r="S19" i="57"/>
  <c r="S21" i="57" s="1"/>
  <c r="T36" i="57"/>
  <c r="T38" i="57" s="1"/>
  <c r="U36" i="57" l="1"/>
  <c r="U38" i="57" s="1"/>
  <c r="T19" i="57"/>
  <c r="T21" i="57" s="1"/>
  <c r="P14" i="66"/>
  <c r="I15" i="19"/>
  <c r="I16" i="19" s="1"/>
  <c r="J14" i="66"/>
  <c r="J15" i="66" s="1"/>
  <c r="I17" i="79"/>
  <c r="AC15" i="13"/>
  <c r="Y14" i="13"/>
  <c r="Y15" i="13" s="1"/>
  <c r="Y19" i="12"/>
  <c r="Z17" i="12"/>
  <c r="Z19" i="12" l="1"/>
  <c r="Z14" i="13"/>
  <c r="Z15" i="13" s="1"/>
  <c r="AA14" i="13"/>
  <c r="AA15" i="13" s="1"/>
  <c r="P15" i="66"/>
  <c r="G43" i="15"/>
  <c r="G45" i="84"/>
  <c r="J35" i="66"/>
  <c r="H45" i="87" s="1"/>
  <c r="I43" i="79"/>
  <c r="Q14" i="66"/>
  <c r="U19" i="57"/>
  <c r="U21" i="57" s="1"/>
  <c r="V36" i="57"/>
  <c r="V38" i="57" s="1"/>
  <c r="N17" i="79"/>
  <c r="H14" i="87"/>
  <c r="I18" i="79"/>
  <c r="I41" i="79"/>
  <c r="N18" i="79" l="1"/>
  <c r="N41" i="79"/>
  <c r="O14" i="87"/>
  <c r="H17" i="87"/>
  <c r="H46" i="87" s="1"/>
  <c r="I45" i="79"/>
  <c r="N43" i="79"/>
  <c r="N45" i="79" s="1"/>
  <c r="Q18" i="79"/>
  <c r="P14" i="87" s="1"/>
  <c r="I22" i="79"/>
  <c r="W36" i="57"/>
  <c r="W38" i="57" s="1"/>
  <c r="V19" i="57"/>
  <c r="V21" i="57" s="1"/>
  <c r="W19" i="57" l="1"/>
  <c r="W21" i="57" s="1"/>
  <c r="X36" i="57"/>
  <c r="X38" i="57" s="1"/>
  <c r="H31" i="87"/>
  <c r="Q17" i="87"/>
  <c r="Q18" i="87" s="1"/>
  <c r="I46" i="79"/>
  <c r="G28" i="79"/>
  <c r="N22" i="79"/>
  <c r="N46" i="79" s="1"/>
  <c r="S59" i="5" l="1"/>
  <c r="G30" i="79"/>
  <c r="Y36" i="57"/>
  <c r="Y38" i="57" s="1"/>
  <c r="X19" i="57"/>
  <c r="X21" i="57" s="1"/>
  <c r="H27" i="79" l="1"/>
  <c r="L29" i="79"/>
  <c r="L30" i="79" s="1"/>
  <c r="H28" i="79"/>
  <c r="H29" i="79"/>
  <c r="H30" i="79"/>
  <c r="S61" i="5"/>
  <c r="T59" i="5" s="1"/>
  <c r="Y19" i="57"/>
  <c r="Y21" i="57" s="1"/>
  <c r="Z36" i="57"/>
  <c r="Z38" i="57" s="1"/>
  <c r="F11" i="84"/>
  <c r="F11" i="15"/>
  <c r="S158" i="5"/>
  <c r="F13" i="84" l="1"/>
  <c r="G11" i="84" s="1"/>
  <c r="D14" i="67"/>
  <c r="F36" i="79"/>
  <c r="V60" i="5"/>
  <c r="I14" i="67"/>
  <c r="G36" i="79"/>
  <c r="V61" i="5"/>
  <c r="L31" i="79"/>
  <c r="F13" i="15"/>
  <c r="AA36" i="57"/>
  <c r="AA38" i="57" s="1"/>
  <c r="Z19" i="57"/>
  <c r="Z21" i="57" s="1"/>
  <c r="Y23" i="5"/>
  <c r="T58" i="5"/>
  <c r="T60" i="5"/>
  <c r="T61" i="5" l="1"/>
  <c r="G13" i="15"/>
  <c r="G10" i="15"/>
  <c r="G12" i="15"/>
  <c r="M31" i="79"/>
  <c r="M27" i="79"/>
  <c r="M28" i="79"/>
  <c r="M29" i="79"/>
  <c r="M30" i="79"/>
  <c r="M32" i="79"/>
  <c r="D13" i="67" s="1"/>
  <c r="G38" i="79"/>
  <c r="Y18" i="5"/>
  <c r="Y20" i="5" s="1"/>
  <c r="U64" i="5"/>
  <c r="J11" i="84"/>
  <c r="J11" i="15"/>
  <c r="G30" i="66"/>
  <c r="F41" i="19"/>
  <c r="G40" i="65"/>
  <c r="F31" i="92"/>
  <c r="Y21" i="5"/>
  <c r="V62" i="5"/>
  <c r="W61" i="5" s="1"/>
  <c r="G13" i="84"/>
  <c r="G10" i="84"/>
  <c r="G12" i="84"/>
  <c r="AA19" i="57"/>
  <c r="AA21" i="57" s="1"/>
  <c r="AB36" i="57"/>
  <c r="AB38" i="57" s="1"/>
  <c r="G11" i="15"/>
  <c r="P23" i="76"/>
  <c r="H23" i="76" s="1"/>
  <c r="J12" i="84"/>
  <c r="J12" i="15"/>
  <c r="G29" i="66"/>
  <c r="F31" i="61"/>
  <c r="G34" i="65"/>
  <c r="F38" i="79"/>
  <c r="H36" i="79"/>
  <c r="T64" i="5"/>
  <c r="Z18" i="5"/>
  <c r="Z20" i="5" s="1"/>
  <c r="G32" i="66" l="1"/>
  <c r="G9" i="65" s="1"/>
  <c r="G14" i="65" s="1"/>
  <c r="W60" i="5"/>
  <c r="L31" i="82"/>
  <c r="H20" i="92"/>
  <c r="H23" i="92" s="1"/>
  <c r="E12" i="86"/>
  <c r="H14" i="86" s="1"/>
  <c r="V64" i="5"/>
  <c r="K15" i="15"/>
  <c r="AC36" i="57"/>
  <c r="AC38" i="57" s="1"/>
  <c r="AB19" i="57"/>
  <c r="AB21" i="57" s="1"/>
  <c r="AJ28" i="13"/>
  <c r="W58" i="5"/>
  <c r="W59" i="5"/>
  <c r="G24" i="65"/>
  <c r="H37" i="65"/>
  <c r="H40" i="65" s="1"/>
  <c r="H24" i="65" s="1"/>
  <c r="U24" i="65" s="1"/>
  <c r="J37" i="65"/>
  <c r="J13" i="84"/>
  <c r="K11" i="84" s="1"/>
  <c r="H38" i="79"/>
  <c r="L36" i="79" s="1"/>
  <c r="T66" i="5"/>
  <c r="G23" i="65"/>
  <c r="H31" i="65"/>
  <c r="H34" i="65" s="1"/>
  <c r="H23" i="65" s="1"/>
  <c r="J31" i="65"/>
  <c r="K15" i="84"/>
  <c r="J13" i="15"/>
  <c r="K11" i="15" s="1"/>
  <c r="M31" i="82"/>
  <c r="F12" i="86"/>
  <c r="I14" i="86" s="1"/>
  <c r="H20" i="61"/>
  <c r="H23" i="61" s="1"/>
  <c r="U66" i="5"/>
  <c r="D15" i="67"/>
  <c r="E14" i="67" s="1"/>
  <c r="N36" i="19"/>
  <c r="F42" i="19" s="1"/>
  <c r="F43" i="19" s="1"/>
  <c r="M16" i="92"/>
  <c r="F32" i="92" s="1"/>
  <c r="F33" i="92" s="1"/>
  <c r="I13" i="67"/>
  <c r="J28" i="66" l="1"/>
  <c r="H30" i="87" s="1"/>
  <c r="H32" i="87" s="1"/>
  <c r="K38" i="79"/>
  <c r="G25" i="65"/>
  <c r="G26" i="53" s="1"/>
  <c r="K12" i="84"/>
  <c r="E13" i="67"/>
  <c r="G13" i="67" s="1"/>
  <c r="S21" i="76"/>
  <c r="M33" i="82"/>
  <c r="I15" i="67"/>
  <c r="J14" i="67" s="1"/>
  <c r="M16" i="61"/>
  <c r="F32" i="61" s="1"/>
  <c r="F33" i="61" s="1"/>
  <c r="G14" i="67"/>
  <c r="L14" i="67"/>
  <c r="L14" i="86"/>
  <c r="I15" i="86"/>
  <c r="K13" i="15"/>
  <c r="K10" i="15"/>
  <c r="G31" i="12"/>
  <c r="J38" i="79"/>
  <c r="K13" i="84"/>
  <c r="K10" i="84"/>
  <c r="G37" i="12"/>
  <c r="W62" i="5"/>
  <c r="K12" i="15"/>
  <c r="G44" i="65"/>
  <c r="U23" i="65"/>
  <c r="H25" i="65"/>
  <c r="L38" i="79"/>
  <c r="V66" i="5"/>
  <c r="K37" i="79"/>
  <c r="J37" i="79"/>
  <c r="L37" i="79"/>
  <c r="J36" i="79"/>
  <c r="K36" i="79"/>
  <c r="AC19" i="57"/>
  <c r="AC21" i="57" s="1"/>
  <c r="AD36" i="57"/>
  <c r="AD38" i="57" s="1"/>
  <c r="AD19" i="57" s="1"/>
  <c r="H15" i="86"/>
  <c r="K14" i="86"/>
  <c r="K22" i="76"/>
  <c r="K24" i="76" s="1"/>
  <c r="L33" i="82"/>
  <c r="G28" i="13" l="1"/>
  <c r="T28" i="13" s="1"/>
  <c r="H48" i="87"/>
  <c r="H33" i="87"/>
  <c r="G27" i="65"/>
  <c r="G45" i="65" s="1"/>
  <c r="L13" i="67"/>
  <c r="L15" i="67" s="1"/>
  <c r="O55" i="5" s="1"/>
  <c r="G15" i="67"/>
  <c r="O54" i="5" s="1"/>
  <c r="E15" i="67"/>
  <c r="J13" i="67"/>
  <c r="J15" i="67" s="1"/>
  <c r="K15" i="86"/>
  <c r="N15" i="86" s="1"/>
  <c r="T15" i="86" s="1"/>
  <c r="V26" i="53"/>
  <c r="U25" i="65"/>
  <c r="H27" i="65"/>
  <c r="G40" i="12"/>
  <c r="T37" i="12"/>
  <c r="H26" i="53"/>
  <c r="G27" i="53"/>
  <c r="G45" i="53" s="1"/>
  <c r="L15" i="86"/>
  <c r="O15" i="86" s="1"/>
  <c r="U15" i="86" s="1"/>
  <c r="N14" i="86"/>
  <c r="T14" i="86" s="1"/>
  <c r="AD21" i="57"/>
  <c r="AF19" i="57"/>
  <c r="G34" i="12"/>
  <c r="T31" i="12"/>
  <c r="O14" i="86"/>
  <c r="U14" i="86" s="1"/>
  <c r="L22" i="76"/>
  <c r="L24" i="76" s="1"/>
  <c r="S23" i="76"/>
  <c r="AC28" i="13" l="1"/>
  <c r="P28" i="66" s="1"/>
  <c r="G30" i="13"/>
  <c r="G9" i="12" s="1"/>
  <c r="G14" i="12" s="1"/>
  <c r="H37" i="87"/>
  <c r="H38" i="87"/>
  <c r="H34" i="87"/>
  <c r="I30" i="87" s="1"/>
  <c r="I32" i="87" s="1"/>
  <c r="I33" i="87" s="1"/>
  <c r="I38" i="87" s="1"/>
  <c r="G28" i="65"/>
  <c r="G34" i="66" s="1"/>
  <c r="AC31" i="12"/>
  <c r="AF21" i="57"/>
  <c r="Q9" i="65"/>
  <c r="Q14" i="65" s="1"/>
  <c r="AC37" i="12"/>
  <c r="V27" i="53"/>
  <c r="H45" i="65"/>
  <c r="H28" i="65"/>
  <c r="H28" i="13"/>
  <c r="H30" i="13" s="1"/>
  <c r="H31" i="12"/>
  <c r="H34" i="12" s="1"/>
  <c r="G23" i="12"/>
  <c r="I26" i="53"/>
  <c r="H27" i="53"/>
  <c r="H45" i="53" s="1"/>
  <c r="H37" i="12"/>
  <c r="H40" i="12" s="1"/>
  <c r="G24" i="12"/>
  <c r="I37" i="87" l="1"/>
  <c r="J10" i="92" s="1"/>
  <c r="I34" i="87"/>
  <c r="J30" i="87" s="1"/>
  <c r="J32" i="87" s="1"/>
  <c r="J33" i="87" s="1"/>
  <c r="J24" i="66"/>
  <c r="I10" i="92"/>
  <c r="H39" i="87"/>
  <c r="S21" i="5"/>
  <c r="I23" i="19"/>
  <c r="I25" i="19" s="1"/>
  <c r="I27" i="19" s="1"/>
  <c r="J33" i="65"/>
  <c r="J34" i="65" s="1"/>
  <c r="S22" i="5"/>
  <c r="J25" i="66"/>
  <c r="I10" i="61"/>
  <c r="J10" i="61"/>
  <c r="J23" i="19"/>
  <c r="J25" i="19" s="1"/>
  <c r="J27" i="19" s="1"/>
  <c r="K33" i="65"/>
  <c r="K25" i="66"/>
  <c r="T22" i="5"/>
  <c r="K24" i="66"/>
  <c r="I31" i="12"/>
  <c r="H23" i="12"/>
  <c r="I37" i="12"/>
  <c r="H24" i="12"/>
  <c r="J26" i="53"/>
  <c r="I27" i="53"/>
  <c r="I45" i="53" s="1"/>
  <c r="G25" i="12"/>
  <c r="G27" i="12" s="1"/>
  <c r="G28" i="12" s="1"/>
  <c r="H9" i="12"/>
  <c r="H14" i="12" s="1"/>
  <c r="I28" i="13"/>
  <c r="H34" i="66"/>
  <c r="T21" i="5" l="1"/>
  <c r="T23" i="5" s="1"/>
  <c r="I39" i="87"/>
  <c r="G48" i="84"/>
  <c r="AC33" i="12"/>
  <c r="G46" i="15"/>
  <c r="AC25" i="13"/>
  <c r="K31" i="65"/>
  <c r="K34" i="65" s="1"/>
  <c r="J23" i="65"/>
  <c r="G47" i="84"/>
  <c r="AC39" i="12"/>
  <c r="J39" i="65"/>
  <c r="J40" i="65" s="1"/>
  <c r="G45" i="15"/>
  <c r="AC24" i="13"/>
  <c r="J26" i="66"/>
  <c r="J31" i="66" s="1"/>
  <c r="I12" i="61"/>
  <c r="I9" i="76"/>
  <c r="I20" i="61"/>
  <c r="I23" i="61" s="1"/>
  <c r="I32" i="19"/>
  <c r="I36" i="92"/>
  <c r="I37" i="92" s="1"/>
  <c r="S23" i="5"/>
  <c r="I12" i="92"/>
  <c r="I20" i="92"/>
  <c r="I23" i="92" s="1"/>
  <c r="J37" i="87"/>
  <c r="J38" i="87"/>
  <c r="J34" i="87"/>
  <c r="K30" i="87" s="1"/>
  <c r="K32" i="87" s="1"/>
  <c r="H45" i="15"/>
  <c r="K26" i="66"/>
  <c r="K31" i="66" s="1"/>
  <c r="K39" i="65"/>
  <c r="H47" i="84"/>
  <c r="AD24" i="13"/>
  <c r="AD39" i="12"/>
  <c r="J36" i="92"/>
  <c r="J37" i="92" s="1"/>
  <c r="J32" i="19"/>
  <c r="H46" i="15"/>
  <c r="AD33" i="12"/>
  <c r="AD25" i="13"/>
  <c r="H48" i="84"/>
  <c r="J20" i="92"/>
  <c r="J23" i="92" s="1"/>
  <c r="J12" i="92"/>
  <c r="J9" i="76"/>
  <c r="J12" i="61"/>
  <c r="J20" i="61"/>
  <c r="J23" i="61" s="1"/>
  <c r="K26" i="53"/>
  <c r="J27" i="53"/>
  <c r="J45" i="53" s="1"/>
  <c r="H25" i="12"/>
  <c r="H27" i="12" s="1"/>
  <c r="H28" i="12" s="1"/>
  <c r="L31" i="65" l="1"/>
  <c r="K23" i="65"/>
  <c r="I18" i="76"/>
  <c r="I12" i="76"/>
  <c r="U24" i="13"/>
  <c r="W24" i="13"/>
  <c r="T24" i="13"/>
  <c r="V24" i="13"/>
  <c r="AC26" i="13"/>
  <c r="K37" i="65"/>
  <c r="K40" i="65" s="1"/>
  <c r="K24" i="65" s="1"/>
  <c r="K25" i="65" s="1"/>
  <c r="J24" i="65"/>
  <c r="J25" i="65" s="1"/>
  <c r="H50" i="87"/>
  <c r="G44" i="15"/>
  <c r="I48" i="79"/>
  <c r="G46" i="84"/>
  <c r="J32" i="66"/>
  <c r="U39" i="12"/>
  <c r="L39" i="12" s="1"/>
  <c r="T39" i="12"/>
  <c r="W39" i="12"/>
  <c r="R39" i="12" s="1"/>
  <c r="V39" i="12"/>
  <c r="O39" i="12" s="1"/>
  <c r="AC40" i="12"/>
  <c r="T25" i="13"/>
  <c r="I25" i="13" s="1"/>
  <c r="V25" i="13"/>
  <c r="O25" i="13" s="1"/>
  <c r="P25" i="66"/>
  <c r="U25" i="13"/>
  <c r="L25" i="13" s="1"/>
  <c r="W25" i="13"/>
  <c r="R25" i="13" s="1"/>
  <c r="U33" i="12"/>
  <c r="L33" i="12" s="1"/>
  <c r="T33" i="12"/>
  <c r="W33" i="12"/>
  <c r="R33" i="12" s="1"/>
  <c r="V33" i="12"/>
  <c r="O33" i="12" s="1"/>
  <c r="AC34" i="12"/>
  <c r="K33" i="87"/>
  <c r="J12" i="76"/>
  <c r="J18" i="76"/>
  <c r="AA33" i="12"/>
  <c r="Y33" i="12"/>
  <c r="X33" i="12"/>
  <c r="Z33" i="12"/>
  <c r="AA39" i="12"/>
  <c r="X39" i="12"/>
  <c r="Z39" i="12"/>
  <c r="Y39" i="12"/>
  <c r="X24" i="13"/>
  <c r="Z24" i="13"/>
  <c r="Y24" i="13"/>
  <c r="AD26" i="13"/>
  <c r="AD29" i="13" s="1"/>
  <c r="AA24" i="13"/>
  <c r="H46" i="84"/>
  <c r="H44" i="15"/>
  <c r="J48" i="79"/>
  <c r="I50" i="87"/>
  <c r="L33" i="65"/>
  <c r="K10" i="61"/>
  <c r="K23" i="19"/>
  <c r="K25" i="19" s="1"/>
  <c r="K27" i="19" s="1"/>
  <c r="L25" i="66"/>
  <c r="U22" i="5"/>
  <c r="X25" i="13"/>
  <c r="Y25" i="13"/>
  <c r="AA25" i="13"/>
  <c r="Z25" i="13"/>
  <c r="J39" i="87"/>
  <c r="K10" i="92"/>
  <c r="U21" i="5"/>
  <c r="L24" i="66"/>
  <c r="L26" i="53"/>
  <c r="K27" i="53"/>
  <c r="K45" i="53" s="1"/>
  <c r="L34" i="65" l="1"/>
  <c r="L23" i="65" s="1"/>
  <c r="L37" i="65"/>
  <c r="P34" i="65"/>
  <c r="AC23" i="12"/>
  <c r="AD31" i="12"/>
  <c r="AD34" i="12" s="1"/>
  <c r="AD23" i="12" s="1"/>
  <c r="G40" i="15"/>
  <c r="G42" i="84"/>
  <c r="J27" i="65"/>
  <c r="J45" i="65" s="1"/>
  <c r="I39" i="12"/>
  <c r="I40" i="12" s="1"/>
  <c r="T40" i="12"/>
  <c r="AC32" i="13"/>
  <c r="J9" i="65"/>
  <c r="K28" i="66"/>
  <c r="H49" i="87"/>
  <c r="P26" i="66"/>
  <c r="AC29" i="13"/>
  <c r="I24" i="13"/>
  <c r="I26" i="13" s="1"/>
  <c r="I29" i="13" s="1"/>
  <c r="T26" i="13"/>
  <c r="T29" i="13" s="1"/>
  <c r="T30" i="13" s="1"/>
  <c r="L24" i="13"/>
  <c r="L26" i="13" s="1"/>
  <c r="L29" i="13" s="1"/>
  <c r="U26" i="13"/>
  <c r="U29" i="13" s="1"/>
  <c r="I33" i="12"/>
  <c r="I34" i="12" s="1"/>
  <c r="T34" i="12"/>
  <c r="AD37" i="12"/>
  <c r="AD40" i="12" s="1"/>
  <c r="AC24" i="12"/>
  <c r="R24" i="65" s="1"/>
  <c r="O24" i="13"/>
  <c r="O26" i="13" s="1"/>
  <c r="O29" i="13" s="1"/>
  <c r="V26" i="13"/>
  <c r="V29" i="13" s="1"/>
  <c r="R24" i="13"/>
  <c r="R26" i="13" s="1"/>
  <c r="R29" i="13" s="1"/>
  <c r="W26" i="13"/>
  <c r="W29" i="13" s="1"/>
  <c r="K37" i="87"/>
  <c r="K38" i="87"/>
  <c r="K34" i="87"/>
  <c r="L30" i="87" s="1"/>
  <c r="L32" i="87" s="1"/>
  <c r="Z26" i="13"/>
  <c r="Z29" i="13" s="1"/>
  <c r="H40" i="15"/>
  <c r="H42" i="84"/>
  <c r="K27" i="65"/>
  <c r="K45" i="65" s="1"/>
  <c r="AE24" i="13"/>
  <c r="I45" i="15"/>
  <c r="L39" i="65"/>
  <c r="L40" i="65" s="1"/>
  <c r="I47" i="84"/>
  <c r="L26" i="66"/>
  <c r="L31" i="66" s="1"/>
  <c r="AE39" i="12"/>
  <c r="Y26" i="13"/>
  <c r="Y29" i="13" s="1"/>
  <c r="I48" i="84"/>
  <c r="AE33" i="12"/>
  <c r="I46" i="15"/>
  <c r="AE25" i="13"/>
  <c r="K20" i="61"/>
  <c r="K23" i="61" s="1"/>
  <c r="K9" i="76"/>
  <c r="K12" i="61"/>
  <c r="U23" i="5"/>
  <c r="K20" i="92"/>
  <c r="K23" i="92" s="1"/>
  <c r="K12" i="92"/>
  <c r="K32" i="19"/>
  <c r="K36" i="92"/>
  <c r="K37" i="92" s="1"/>
  <c r="AA26" i="13"/>
  <c r="AA29" i="13" s="1"/>
  <c r="X26" i="13"/>
  <c r="X29" i="13" s="1"/>
  <c r="M26" i="53"/>
  <c r="L27" i="53"/>
  <c r="L45" i="53" s="1"/>
  <c r="M31" i="65" l="1"/>
  <c r="AE31" i="12"/>
  <c r="AE34" i="12" s="1"/>
  <c r="Q34" i="65"/>
  <c r="AE37" i="12"/>
  <c r="AE40" i="12" s="1"/>
  <c r="AE24" i="12" s="1"/>
  <c r="AD24" i="12"/>
  <c r="AD25" i="12" s="1"/>
  <c r="AD27" i="12" s="1"/>
  <c r="J31" i="12"/>
  <c r="J34" i="12" s="1"/>
  <c r="I23" i="12"/>
  <c r="E96" i="5" a="1"/>
  <c r="I30" i="13"/>
  <c r="I48" i="87"/>
  <c r="K32" i="66"/>
  <c r="J37" i="12"/>
  <c r="J40" i="12" s="1"/>
  <c r="I24" i="12"/>
  <c r="T23" i="12"/>
  <c r="U31" i="12"/>
  <c r="U34" i="12" s="1"/>
  <c r="U28" i="13"/>
  <c r="U30" i="13" s="1"/>
  <c r="T9" i="12"/>
  <c r="T14" i="12" s="1"/>
  <c r="P31" i="66"/>
  <c r="AC30" i="13"/>
  <c r="G37" i="15"/>
  <c r="H42" i="87"/>
  <c r="S19" i="5"/>
  <c r="G39" i="84"/>
  <c r="J14" i="65"/>
  <c r="T24" i="12"/>
  <c r="U37" i="12"/>
  <c r="U40" i="12" s="1"/>
  <c r="AC25" i="12"/>
  <c r="R23" i="65"/>
  <c r="L33" i="87"/>
  <c r="M25" i="66"/>
  <c r="V22" i="5"/>
  <c r="M33" i="65"/>
  <c r="L10" i="61"/>
  <c r="L23" i="19"/>
  <c r="L25" i="19" s="1"/>
  <c r="L27" i="19" s="1"/>
  <c r="M24" i="66"/>
  <c r="L10" i="92"/>
  <c r="K39" i="87"/>
  <c r="V21" i="5"/>
  <c r="E108" i="5" a="1"/>
  <c r="E110" i="5" s="1"/>
  <c r="I46" i="84"/>
  <c r="J50" i="87"/>
  <c r="I44" i="15"/>
  <c r="K48" i="79"/>
  <c r="AE26" i="13"/>
  <c r="AE29" i="13" s="1"/>
  <c r="K18" i="76"/>
  <c r="K12" i="76"/>
  <c r="M37" i="65"/>
  <c r="L24" i="65"/>
  <c r="L25" i="65" s="1"/>
  <c r="N26" i="53"/>
  <c r="M27" i="53"/>
  <c r="M45" i="53" s="1"/>
  <c r="M34" i="65" l="1"/>
  <c r="M23" i="65" s="1"/>
  <c r="AF37" i="12"/>
  <c r="T25" i="12"/>
  <c r="T27" i="12" s="1"/>
  <c r="T28" i="12" s="1"/>
  <c r="R25" i="65"/>
  <c r="R27" i="65" s="1"/>
  <c r="AC27" i="12"/>
  <c r="AD28" i="13"/>
  <c r="AD30" i="13" s="1"/>
  <c r="P32" i="66"/>
  <c r="AC9" i="12"/>
  <c r="V31" i="12"/>
  <c r="V34" i="12" s="1"/>
  <c r="U23" i="12"/>
  <c r="K9" i="65"/>
  <c r="AD32" i="13"/>
  <c r="I49" i="87"/>
  <c r="L28" i="66"/>
  <c r="J28" i="13"/>
  <c r="J30" i="13" s="1"/>
  <c r="I9" i="12"/>
  <c r="I14" i="12" s="1"/>
  <c r="I25" i="12"/>
  <c r="I27" i="12" s="1"/>
  <c r="U24" i="12"/>
  <c r="V37" i="12"/>
  <c r="V40" i="12" s="1"/>
  <c r="G38" i="15"/>
  <c r="G40" i="84"/>
  <c r="J44" i="65"/>
  <c r="J28" i="65"/>
  <c r="J34" i="66" s="1"/>
  <c r="U9" i="12"/>
  <c r="U14" i="12" s="1"/>
  <c r="V28" i="13"/>
  <c r="V30" i="13" s="1"/>
  <c r="K37" i="12"/>
  <c r="K40" i="12" s="1"/>
  <c r="J24" i="12"/>
  <c r="E96" i="5"/>
  <c r="E100" i="5"/>
  <c r="E104" i="5"/>
  <c r="E97" i="5"/>
  <c r="E101" i="5"/>
  <c r="E105" i="5"/>
  <c r="E98" i="5"/>
  <c r="E102" i="5"/>
  <c r="E106" i="5"/>
  <c r="E99" i="5"/>
  <c r="E103" i="5"/>
  <c r="E107" i="5"/>
  <c r="K31" i="12"/>
  <c r="K34" i="12" s="1"/>
  <c r="J23" i="12"/>
  <c r="E109" i="5"/>
  <c r="E108" i="5"/>
  <c r="V23" i="5"/>
  <c r="E111" i="5"/>
  <c r="L20" i="92"/>
  <c r="L23" i="92" s="1"/>
  <c r="L12" i="92"/>
  <c r="L37" i="87"/>
  <c r="L38" i="87"/>
  <c r="L20" i="61"/>
  <c r="L23" i="61" s="1"/>
  <c r="L12" i="61"/>
  <c r="L9" i="76"/>
  <c r="AF39" i="12"/>
  <c r="J47" i="84"/>
  <c r="M39" i="65"/>
  <c r="M40" i="65" s="1"/>
  <c r="AF24" i="13"/>
  <c r="J45" i="15"/>
  <c r="M26" i="66"/>
  <c r="M31" i="66" s="1"/>
  <c r="L36" i="92"/>
  <c r="L37" i="92" s="1"/>
  <c r="L32" i="19"/>
  <c r="AF25" i="13"/>
  <c r="AF33" i="12"/>
  <c r="J48" i="84"/>
  <c r="J46" i="15"/>
  <c r="L34" i="87"/>
  <c r="M30" i="87" s="1"/>
  <c r="M32" i="87" s="1"/>
  <c r="L27" i="65"/>
  <c r="L45" i="65" s="1"/>
  <c r="I42" i="84"/>
  <c r="I40" i="15"/>
  <c r="AF31" i="12"/>
  <c r="AE23" i="12"/>
  <c r="AE25" i="12" s="1"/>
  <c r="AE27" i="12" s="1"/>
  <c r="R34" i="65"/>
  <c r="O26" i="53"/>
  <c r="N27" i="53"/>
  <c r="N45" i="53" s="1"/>
  <c r="N31" i="65" l="1"/>
  <c r="AF40" i="12"/>
  <c r="AF24" i="12" s="1"/>
  <c r="J25" i="12"/>
  <c r="J27" i="12" s="1"/>
  <c r="I28" i="12"/>
  <c r="V9" i="12"/>
  <c r="V14" i="12" s="1"/>
  <c r="W28" i="13"/>
  <c r="W30" i="13" s="1"/>
  <c r="V24" i="12"/>
  <c r="W37" i="12"/>
  <c r="W40" i="12" s="1"/>
  <c r="K28" i="13"/>
  <c r="K30" i="13" s="1"/>
  <c r="J9" i="12"/>
  <c r="J14" i="12" s="1"/>
  <c r="K14" i="65"/>
  <c r="H37" i="15"/>
  <c r="T19" i="5"/>
  <c r="H39" i="84"/>
  <c r="I42" i="87"/>
  <c r="V23" i="12"/>
  <c r="W31" i="12"/>
  <c r="W34" i="12" s="1"/>
  <c r="K23" i="12"/>
  <c r="L31" i="12"/>
  <c r="L34" i="12" s="1"/>
  <c r="K24" i="12"/>
  <c r="L37" i="12"/>
  <c r="L40" i="12" s="1"/>
  <c r="J48" i="87"/>
  <c r="L32" i="66"/>
  <c r="U25" i="12"/>
  <c r="U27" i="12" s="1"/>
  <c r="U28" i="12" s="1"/>
  <c r="AC14" i="12"/>
  <c r="AC28" i="12" s="1"/>
  <c r="R9" i="65"/>
  <c r="R14" i="65" s="1"/>
  <c r="R28" i="65" s="1"/>
  <c r="H43" i="87"/>
  <c r="AD9" i="12"/>
  <c r="AE28" i="13"/>
  <c r="AE30" i="13" s="1"/>
  <c r="AE9" i="12" s="1"/>
  <c r="AF34" i="12"/>
  <c r="AF23" i="12" s="1"/>
  <c r="M24" i="65"/>
  <c r="M25" i="65" s="1"/>
  <c r="J42" i="84" s="1"/>
  <c r="N37" i="65"/>
  <c r="L39" i="87"/>
  <c r="M10" i="92"/>
  <c r="W21" i="5"/>
  <c r="N24" i="66"/>
  <c r="AF26" i="13"/>
  <c r="AF29" i="13" s="1"/>
  <c r="M33" i="87"/>
  <c r="J44" i="15"/>
  <c r="L48" i="79"/>
  <c r="J46" i="84"/>
  <c r="K50" i="87"/>
  <c r="L12" i="76"/>
  <c r="L18" i="76"/>
  <c r="N25" i="66"/>
  <c r="N33" i="65"/>
  <c r="W22" i="5"/>
  <c r="M10" i="61"/>
  <c r="M23" i="19"/>
  <c r="P26" i="53"/>
  <c r="O27" i="53"/>
  <c r="O45" i="53" s="1"/>
  <c r="N34" i="65" l="1"/>
  <c r="N23" i="65" s="1"/>
  <c r="AG37" i="12"/>
  <c r="J28" i="12"/>
  <c r="AF28" i="13"/>
  <c r="AF30" i="13" s="1"/>
  <c r="AF9" i="12" s="1"/>
  <c r="V25" i="12"/>
  <c r="V27" i="12" s="1"/>
  <c r="V28" i="12" s="1"/>
  <c r="AD14" i="12"/>
  <c r="AD28" i="12" s="1"/>
  <c r="I43" i="87"/>
  <c r="K25" i="12"/>
  <c r="K27" i="12" s="1"/>
  <c r="W23" i="12"/>
  <c r="X31" i="12"/>
  <c r="X34" i="12" s="1"/>
  <c r="H40" i="84"/>
  <c r="K44" i="65"/>
  <c r="K28" i="65"/>
  <c r="K34" i="66" s="1"/>
  <c r="H38" i="15"/>
  <c r="L28" i="13"/>
  <c r="L30" i="13" s="1"/>
  <c r="K9" i="12"/>
  <c r="K14" i="12" s="1"/>
  <c r="L9" i="65"/>
  <c r="M28" i="66"/>
  <c r="AE32" i="13"/>
  <c r="J49" i="87"/>
  <c r="M37" i="12"/>
  <c r="M40" i="12" s="1"/>
  <c r="L24" i="12"/>
  <c r="L23" i="12"/>
  <c r="M31" i="12"/>
  <c r="M34" i="12" s="1"/>
  <c r="W24" i="12"/>
  <c r="X37" i="12"/>
  <c r="X40" i="12" s="1"/>
  <c r="X28" i="13"/>
  <c r="X30" i="13" s="1"/>
  <c r="W9" i="12"/>
  <c r="W14" i="12" s="1"/>
  <c r="AG31" i="12"/>
  <c r="S34" i="65"/>
  <c r="AF25" i="12"/>
  <c r="AF27" i="12" s="1"/>
  <c r="J40" i="15"/>
  <c r="M27" i="65"/>
  <c r="M45" i="65" s="1"/>
  <c r="M37" i="87"/>
  <c r="M38" i="87"/>
  <c r="N10" i="61" s="1"/>
  <c r="AG24" i="13"/>
  <c r="K47" i="84"/>
  <c r="N39" i="65"/>
  <c r="N40" i="65" s="1"/>
  <c r="N24" i="65" s="1"/>
  <c r="AG39" i="12"/>
  <c r="AG40" i="12" s="1"/>
  <c r="AG24" i="12" s="1"/>
  <c r="K45" i="15"/>
  <c r="N26" i="66"/>
  <c r="N31" i="66" s="1"/>
  <c r="M9" i="76"/>
  <c r="M12" i="61"/>
  <c r="I16" i="61" s="1"/>
  <c r="M20" i="61"/>
  <c r="M23" i="61" s="1"/>
  <c r="I27" i="61" s="1"/>
  <c r="M20" i="92"/>
  <c r="M23" i="92" s="1"/>
  <c r="I27" i="92" s="1"/>
  <c r="M12" i="92"/>
  <c r="I16" i="92" s="1"/>
  <c r="N23" i="19"/>
  <c r="N25" i="19" s="1"/>
  <c r="N27" i="19" s="1"/>
  <c r="M25" i="19"/>
  <c r="M27" i="19" s="1"/>
  <c r="K46" i="15"/>
  <c r="AG33" i="12"/>
  <c r="K48" i="84"/>
  <c r="AG25" i="13"/>
  <c r="M34" i="87"/>
  <c r="W23" i="5"/>
  <c r="AE14" i="12"/>
  <c r="AE28" i="12" s="1"/>
  <c r="J43" i="87"/>
  <c r="Q26" i="53"/>
  <c r="P27" i="53"/>
  <c r="P45" i="53" s="1"/>
  <c r="N25" i="65" l="1"/>
  <c r="K40" i="15" s="1"/>
  <c r="X9" i="12"/>
  <c r="X14" i="12" s="1"/>
  <c r="Y28" i="13"/>
  <c r="Y30" i="13" s="1"/>
  <c r="L25" i="12"/>
  <c r="L27" i="12" s="1"/>
  <c r="M24" i="12"/>
  <c r="N37" i="12"/>
  <c r="N40" i="12" s="1"/>
  <c r="L14" i="65"/>
  <c r="U19" i="5"/>
  <c r="J42" i="87"/>
  <c r="I39" i="84"/>
  <c r="I37" i="15"/>
  <c r="M28" i="13"/>
  <c r="M30" i="13" s="1"/>
  <c r="L9" i="12"/>
  <c r="L14" i="12" s="1"/>
  <c r="W25" i="12"/>
  <c r="W27" i="12" s="1"/>
  <c r="W28" i="12" s="1"/>
  <c r="X24" i="12"/>
  <c r="Y37" i="12"/>
  <c r="Y40" i="12" s="1"/>
  <c r="M23" i="12"/>
  <c r="M25" i="12" s="1"/>
  <c r="M27" i="12" s="1"/>
  <c r="N31" i="12"/>
  <c r="N34" i="12" s="1"/>
  <c r="M32" i="66"/>
  <c r="K48" i="87"/>
  <c r="X23" i="12"/>
  <c r="Y31" i="12"/>
  <c r="Y34" i="12" s="1"/>
  <c r="K28" i="12"/>
  <c r="AG34" i="12"/>
  <c r="AG23" i="12" s="1"/>
  <c r="AG25" i="12" s="1"/>
  <c r="AG27" i="12" s="1"/>
  <c r="AG28" i="13"/>
  <c r="N9" i="76"/>
  <c r="N20" i="61"/>
  <c r="F27" i="61" s="1"/>
  <c r="G27" i="61" s="1"/>
  <c r="H27" i="61" s="1"/>
  <c r="J27" i="61" s="1"/>
  <c r="K27" i="61" s="1"/>
  <c r="C6" i="70" s="1"/>
  <c r="F16" i="61"/>
  <c r="G16" i="61" s="1"/>
  <c r="H16" i="61" s="1"/>
  <c r="J16" i="61" s="1"/>
  <c r="K16" i="61" s="1"/>
  <c r="F16" i="86" a="1"/>
  <c r="M39" i="87"/>
  <c r="N10" i="92"/>
  <c r="M18" i="76"/>
  <c r="M12" i="76"/>
  <c r="I16" i="76" s="1"/>
  <c r="M32" i="19"/>
  <c r="H36" i="19" s="1"/>
  <c r="M36" i="92"/>
  <c r="M37" i="92" s="1"/>
  <c r="L50" i="87"/>
  <c r="M48" i="79"/>
  <c r="K46" i="84"/>
  <c r="K44" i="15"/>
  <c r="N36" i="92"/>
  <c r="E36" i="19"/>
  <c r="F36" i="19" s="1"/>
  <c r="G36" i="19" s="1"/>
  <c r="I36" i="19" s="1"/>
  <c r="T46" i="5"/>
  <c r="AG26" i="13"/>
  <c r="AG29" i="13" s="1"/>
  <c r="E112" i="5" s="1" a="1"/>
  <c r="AF14" i="12"/>
  <c r="AF28" i="12" s="1"/>
  <c r="K43" i="87"/>
  <c r="R26" i="53"/>
  <c r="Q27" i="53"/>
  <c r="Q45" i="53" s="1"/>
  <c r="K42" i="84" l="1"/>
  <c r="N27" i="65"/>
  <c r="N45" i="65" s="1"/>
  <c r="X25" i="12"/>
  <c r="X27" i="12" s="1"/>
  <c r="X28" i="12" s="1"/>
  <c r="N28" i="66"/>
  <c r="M9" i="65"/>
  <c r="AF32" i="13"/>
  <c r="K49" i="87"/>
  <c r="L44" i="65"/>
  <c r="I40" i="84"/>
  <c r="I38" i="15"/>
  <c r="L28" i="65"/>
  <c r="L34" i="66" s="1"/>
  <c r="Z28" i="13"/>
  <c r="Z30" i="13" s="1"/>
  <c r="Y9" i="12"/>
  <c r="Y14" i="12" s="1"/>
  <c r="Y23" i="12"/>
  <c r="Z31" i="12"/>
  <c r="Z34" i="12" s="1"/>
  <c r="N23" i="12"/>
  <c r="O31" i="12"/>
  <c r="O34" i="12" s="1"/>
  <c r="Z37" i="12"/>
  <c r="Z40" i="12" s="1"/>
  <c r="Y24" i="12"/>
  <c r="M9" i="12"/>
  <c r="M14" i="12" s="1"/>
  <c r="M28" i="12" s="1"/>
  <c r="N28" i="13"/>
  <c r="N30" i="13" s="1"/>
  <c r="N24" i="12"/>
  <c r="O37" i="12"/>
  <c r="O40" i="12" s="1"/>
  <c r="L28" i="12"/>
  <c r="L31" i="61"/>
  <c r="L33" i="61" s="1"/>
  <c r="Y12" i="5" s="1"/>
  <c r="T51" i="5"/>
  <c r="U51" i="5" s="1"/>
  <c r="N37" i="92"/>
  <c r="E11" i="82"/>
  <c r="E112" i="5"/>
  <c r="E113" i="5"/>
  <c r="E114" i="5"/>
  <c r="J36" i="19"/>
  <c r="F16" i="92"/>
  <c r="G16" i="92" s="1"/>
  <c r="H16" i="92" s="1"/>
  <c r="J16" i="92" s="1"/>
  <c r="N20" i="92"/>
  <c r="F27" i="92" s="1"/>
  <c r="G27" i="92" s="1"/>
  <c r="H27" i="92" s="1"/>
  <c r="J27" i="92" s="1"/>
  <c r="K27" i="92" s="1"/>
  <c r="C5" i="70" s="1"/>
  <c r="C7" i="70" s="1"/>
  <c r="F7" i="70" s="1"/>
  <c r="X2" i="5" s="1"/>
  <c r="E16" i="86" a="1"/>
  <c r="F16" i="76"/>
  <c r="G16" i="76" s="1"/>
  <c r="H16" i="76" s="1"/>
  <c r="J16" i="76" s="1"/>
  <c r="K16" i="76" s="1"/>
  <c r="P22" i="76" s="1"/>
  <c r="N18" i="76"/>
  <c r="AG30" i="13"/>
  <c r="F19" i="86"/>
  <c r="F21" i="86"/>
  <c r="F22" i="86" s="1"/>
  <c r="F23" i="86" s="1"/>
  <c r="F24" i="86" s="1"/>
  <c r="F25" i="86" s="1"/>
  <c r="F26" i="86" s="1"/>
  <c r="F27" i="86" s="1"/>
  <c r="F28" i="86" s="1"/>
  <c r="F29" i="86" s="1"/>
  <c r="F30" i="86" s="1"/>
  <c r="F17" i="86"/>
  <c r="F20" i="86"/>
  <c r="F16" i="86"/>
  <c r="I16" i="86" s="1"/>
  <c r="F18" i="86"/>
  <c r="R27" i="53"/>
  <c r="T26" i="53"/>
  <c r="Z24" i="12" l="1"/>
  <c r="AA37" i="12"/>
  <c r="AA40" i="12" s="1"/>
  <c r="AA24" i="12" s="1"/>
  <c r="N25" i="12"/>
  <c r="N27" i="12" s="1"/>
  <c r="Y25" i="12"/>
  <c r="Y27" i="12" s="1"/>
  <c r="Z9" i="12"/>
  <c r="Z14" i="12" s="1"/>
  <c r="AA28" i="13"/>
  <c r="AA30" i="13" s="1"/>
  <c r="AA9" i="12" s="1"/>
  <c r="AA14" i="12" s="1"/>
  <c r="V19" i="5"/>
  <c r="J39" i="84"/>
  <c r="K42" i="87"/>
  <c r="M14" i="65"/>
  <c r="J37" i="15"/>
  <c r="O24" i="12"/>
  <c r="P37" i="12"/>
  <c r="P40" i="12" s="1"/>
  <c r="N9" i="12"/>
  <c r="N14" i="12" s="1"/>
  <c r="O28" i="13"/>
  <c r="O30" i="13" s="1"/>
  <c r="P31" i="12"/>
  <c r="P34" i="12" s="1"/>
  <c r="O23" i="12"/>
  <c r="Z23" i="12"/>
  <c r="AA31" i="12"/>
  <c r="AA34" i="12" s="1"/>
  <c r="AA23" i="12" s="1"/>
  <c r="Y28" i="12"/>
  <c r="N32" i="66"/>
  <c r="L48" i="87"/>
  <c r="L32" i="61"/>
  <c r="Y11" i="5" s="1"/>
  <c r="E18" i="82"/>
  <c r="Y9" i="5"/>
  <c r="V99" i="5"/>
  <c r="Y112" i="5" s="1"/>
  <c r="P26" i="76"/>
  <c r="P25" i="76"/>
  <c r="H22" i="76"/>
  <c r="E18" i="86"/>
  <c r="E20" i="86"/>
  <c r="E19" i="86"/>
  <c r="E21" i="86"/>
  <c r="E22" i="86" s="1"/>
  <c r="E23" i="86" s="1"/>
  <c r="E24" i="86" s="1"/>
  <c r="E25" i="86" s="1"/>
  <c r="E26" i="86" s="1"/>
  <c r="E27" i="86" s="1"/>
  <c r="E28" i="86" s="1"/>
  <c r="E29" i="86" s="1"/>
  <c r="E30" i="86" s="1"/>
  <c r="E16" i="86"/>
  <c r="H16" i="86" s="1"/>
  <c r="E17" i="86"/>
  <c r="T47" i="5"/>
  <c r="K16" i="92"/>
  <c r="L31" i="92" s="1"/>
  <c r="AG9" i="12"/>
  <c r="I112" i="5" a="1"/>
  <c r="L16" i="86"/>
  <c r="I17" i="86"/>
  <c r="K41" i="19"/>
  <c r="U55" i="5"/>
  <c r="P25" i="65"/>
  <c r="P27" i="65" s="1"/>
  <c r="G26" i="57"/>
  <c r="T27" i="53"/>
  <c r="Z25" i="12" l="1"/>
  <c r="Z27" i="12" s="1"/>
  <c r="Z28" i="12" s="1"/>
  <c r="AA25" i="12"/>
  <c r="AA27" i="12" s="1"/>
  <c r="AA28" i="12" s="1"/>
  <c r="I108" i="5" a="1"/>
  <c r="I109" i="5" s="1"/>
  <c r="F109" i="5" s="1"/>
  <c r="G109" i="5" s="1"/>
  <c r="AG32" i="13"/>
  <c r="L49" i="87"/>
  <c r="N9" i="65"/>
  <c r="O25" i="12"/>
  <c r="O27" i="12" s="1"/>
  <c r="P28" i="13"/>
  <c r="P30" i="13" s="1"/>
  <c r="O9" i="12"/>
  <c r="O14" i="12" s="1"/>
  <c r="P24" i="12"/>
  <c r="Q37" i="12"/>
  <c r="Q40" i="12" s="1"/>
  <c r="P23" i="12"/>
  <c r="Q31" i="12"/>
  <c r="Q34" i="12" s="1"/>
  <c r="M28" i="65"/>
  <c r="M34" i="66" s="1"/>
  <c r="M44" i="65"/>
  <c r="J38" i="15"/>
  <c r="J40" i="84"/>
  <c r="N28" i="12"/>
  <c r="C11" i="70"/>
  <c r="Q6" i="16"/>
  <c r="H25" i="76"/>
  <c r="H26" i="76"/>
  <c r="K42" i="19"/>
  <c r="F23" i="82" s="1"/>
  <c r="K43" i="19"/>
  <c r="F24" i="82" s="1"/>
  <c r="L43" i="87"/>
  <c r="AG14" i="12"/>
  <c r="AG28" i="12" s="1"/>
  <c r="H17" i="86"/>
  <c r="K16" i="86"/>
  <c r="N16" i="86" s="1"/>
  <c r="L17" i="86"/>
  <c r="O17" i="86" s="1"/>
  <c r="I18" i="86"/>
  <c r="L32" i="92"/>
  <c r="Z11" i="5" s="1"/>
  <c r="L33" i="92"/>
  <c r="Z12" i="5" s="1"/>
  <c r="O16" i="86"/>
  <c r="E12" i="82"/>
  <c r="E13" i="82" s="1"/>
  <c r="T48" i="5"/>
  <c r="U48" i="5" s="1"/>
  <c r="I112" i="5"/>
  <c r="F112" i="5" s="1"/>
  <c r="G112" i="5" s="1"/>
  <c r="I114" i="5"/>
  <c r="F114" i="5" s="1"/>
  <c r="G114" i="5" s="1"/>
  <c r="I113" i="5"/>
  <c r="F113" i="5" s="1"/>
  <c r="G113" i="5" s="1"/>
  <c r="H26" i="57"/>
  <c r="G27" i="57"/>
  <c r="G45" i="57" s="1"/>
  <c r="V33" i="53"/>
  <c r="P28" i="65"/>
  <c r="I111" i="5" l="1"/>
  <c r="F111" i="5" s="1"/>
  <c r="G111" i="5" s="1"/>
  <c r="I110" i="5"/>
  <c r="F110" i="5" s="1"/>
  <c r="G110" i="5" s="1"/>
  <c r="I108" i="5"/>
  <c r="F108" i="5" s="1"/>
  <c r="G108" i="5" s="1"/>
  <c r="P25" i="12"/>
  <c r="P27" i="12" s="1"/>
  <c r="Q24" i="12"/>
  <c r="R37" i="12"/>
  <c r="R40" i="12" s="1"/>
  <c r="R24" i="12" s="1"/>
  <c r="O28" i="12"/>
  <c r="Q23" i="12"/>
  <c r="R31" i="12"/>
  <c r="R34" i="12" s="1"/>
  <c r="R23" i="12" s="1"/>
  <c r="P9" i="12"/>
  <c r="P14" i="12" s="1"/>
  <c r="Q28" i="13"/>
  <c r="Q30" i="13" s="1"/>
  <c r="K39" i="84"/>
  <c r="K37" i="15"/>
  <c r="W19" i="5"/>
  <c r="N14" i="65"/>
  <c r="L42" i="87"/>
  <c r="U17" i="86"/>
  <c r="R17" i="86"/>
  <c r="H18" i="86"/>
  <c r="K17" i="86"/>
  <c r="R16" i="86"/>
  <c r="U16" i="86"/>
  <c r="I19" i="86"/>
  <c r="L18" i="86"/>
  <c r="T16" i="86"/>
  <c r="Q16" i="86"/>
  <c r="F13" i="82"/>
  <c r="Z9" i="5"/>
  <c r="S99" i="5"/>
  <c r="U50" i="5"/>
  <c r="I26" i="57"/>
  <c r="H27" i="57"/>
  <c r="H45" i="57" s="1"/>
  <c r="P28" i="12" l="1"/>
  <c r="Q25" i="12"/>
  <c r="Q27" i="12" s="1"/>
  <c r="R25" i="12"/>
  <c r="R27" i="12" s="1"/>
  <c r="R28" i="13"/>
  <c r="R30" i="13" s="1"/>
  <c r="Q9" i="12"/>
  <c r="Q14" i="12" s="1"/>
  <c r="K40" i="84"/>
  <c r="N28" i="65"/>
  <c r="K38" i="15"/>
  <c r="N44" i="65"/>
  <c r="D11" i="70"/>
  <c r="P6" i="16"/>
  <c r="O18" i="86"/>
  <c r="N17" i="86"/>
  <c r="I20" i="86"/>
  <c r="L19" i="86"/>
  <c r="O19" i="86" s="1"/>
  <c r="H19" i="86"/>
  <c r="K18" i="86"/>
  <c r="E17" i="82"/>
  <c r="U52" i="5"/>
  <c r="T118" i="5"/>
  <c r="T119" i="5" s="1"/>
  <c r="S111" i="5"/>
  <c r="T122" i="5"/>
  <c r="T123" i="5" s="1"/>
  <c r="S105" i="5"/>
  <c r="T105" i="5" s="1"/>
  <c r="U99" i="5"/>
  <c r="U108" i="5" s="1"/>
  <c r="U103" i="5"/>
  <c r="S103" i="5"/>
  <c r="T114" i="5"/>
  <c r="T111" i="5"/>
  <c r="T113" i="5"/>
  <c r="T107" i="5"/>
  <c r="U107" i="5" s="1"/>
  <c r="V107" i="5" s="1"/>
  <c r="T112" i="5"/>
  <c r="U110" i="5"/>
  <c r="V110" i="5" s="1"/>
  <c r="S112" i="5"/>
  <c r="T110" i="5"/>
  <c r="J26" i="57"/>
  <c r="I27" i="57"/>
  <c r="I45" i="57" s="1"/>
  <c r="Q28" i="12" l="1"/>
  <c r="R9" i="12"/>
  <c r="R14" i="12" s="1"/>
  <c r="R28" i="12" s="1"/>
  <c r="I96" i="5" a="1"/>
  <c r="P32" i="65"/>
  <c r="N34" i="66"/>
  <c r="R19" i="86"/>
  <c r="U19" i="86"/>
  <c r="E19" i="82"/>
  <c r="F17" i="82" s="1"/>
  <c r="I21" i="86"/>
  <c r="L20" i="86"/>
  <c r="R18" i="86"/>
  <c r="U18" i="86"/>
  <c r="N18" i="86"/>
  <c r="X114" i="5"/>
  <c r="X112" i="5"/>
  <c r="V113" i="5"/>
  <c r="Z113" i="5"/>
  <c r="Y114" i="5"/>
  <c r="Y113" i="5"/>
  <c r="Z114" i="5"/>
  <c r="W110" i="5"/>
  <c r="V112" i="5"/>
  <c r="V111" i="5"/>
  <c r="V114" i="5"/>
  <c r="X113" i="5"/>
  <c r="X111" i="5"/>
  <c r="T115" i="5"/>
  <c r="W99" i="5"/>
  <c r="U114" i="5"/>
  <c r="U118" i="5"/>
  <c r="U119" i="5" s="1"/>
  <c r="V122" i="5"/>
  <c r="V123" i="5" s="1"/>
  <c r="V118" i="5"/>
  <c r="V119" i="5" s="1"/>
  <c r="U112" i="5"/>
  <c r="U111" i="5"/>
  <c r="U113" i="5"/>
  <c r="U122" i="5"/>
  <c r="U123" i="5" s="1"/>
  <c r="K19" i="86"/>
  <c r="H20" i="86"/>
  <c r="T17" i="86"/>
  <c r="Q17" i="86"/>
  <c r="K26" i="57"/>
  <c r="J27" i="57"/>
  <c r="J45" i="57" s="1"/>
  <c r="Q32" i="65" l="1"/>
  <c r="R32" i="65" s="1"/>
  <c r="S32" i="65" s="1"/>
  <c r="I97" i="5"/>
  <c r="F97" i="5" s="1"/>
  <c r="G97" i="5" s="1"/>
  <c r="I101" i="5"/>
  <c r="F101" i="5" s="1"/>
  <c r="G101" i="5" s="1"/>
  <c r="I105" i="5"/>
  <c r="F105" i="5" s="1"/>
  <c r="G105" i="5" s="1"/>
  <c r="I96" i="5"/>
  <c r="F96" i="5" s="1"/>
  <c r="I100" i="5"/>
  <c r="F100" i="5" s="1"/>
  <c r="G100" i="5" s="1"/>
  <c r="I104" i="5"/>
  <c r="F104" i="5" s="1"/>
  <c r="G104" i="5" s="1"/>
  <c r="I106" i="5"/>
  <c r="F106" i="5" s="1"/>
  <c r="G106" i="5" s="1"/>
  <c r="I99" i="5"/>
  <c r="F99" i="5" s="1"/>
  <c r="G99" i="5" s="1"/>
  <c r="I103" i="5"/>
  <c r="F103" i="5" s="1"/>
  <c r="G103" i="5" s="1"/>
  <c r="I107" i="5"/>
  <c r="F107" i="5" s="1"/>
  <c r="G107" i="5" s="1"/>
  <c r="I98" i="5"/>
  <c r="F98" i="5" s="1"/>
  <c r="G98" i="5" s="1"/>
  <c r="I102" i="5"/>
  <c r="F102" i="5" s="1"/>
  <c r="G102" i="5" s="1"/>
  <c r="T117" i="5"/>
  <c r="T103" i="5"/>
  <c r="T121" i="5"/>
  <c r="T102" i="5"/>
  <c r="T104" i="5"/>
  <c r="U115" i="5"/>
  <c r="Y111" i="5"/>
  <c r="Y115" i="5" s="1"/>
  <c r="V103" i="5" s="1"/>
  <c r="V115" i="5"/>
  <c r="Z115" i="5"/>
  <c r="V104" i="5" s="1"/>
  <c r="F19" i="82"/>
  <c r="F18" i="82"/>
  <c r="H21" i="86"/>
  <c r="K20" i="86"/>
  <c r="N20" i="86" s="1"/>
  <c r="T18" i="86"/>
  <c r="Q18" i="86"/>
  <c r="O20" i="86"/>
  <c r="X115" i="5"/>
  <c r="V102" i="5" s="1"/>
  <c r="W111" i="5"/>
  <c r="W112" i="5"/>
  <c r="W103" i="5"/>
  <c r="W106" i="5"/>
  <c r="V106" i="5" s="1"/>
  <c r="N19" i="86"/>
  <c r="I22" i="86"/>
  <c r="L21" i="86"/>
  <c r="L26" i="57"/>
  <c r="K27" i="57"/>
  <c r="K45" i="57" s="1"/>
  <c r="G96" i="5" l="1"/>
  <c r="G116" i="5" s="1"/>
  <c r="E4" i="5" s="1"/>
  <c r="F116" i="5"/>
  <c r="C116" i="5" s="1"/>
  <c r="E116" i="5" s="1"/>
  <c r="P4" i="5" s="1"/>
  <c r="G34" i="15" s="1"/>
  <c r="AH4" i="5"/>
  <c r="D3" i="5"/>
  <c r="Q20" i="86"/>
  <c r="T20" i="86"/>
  <c r="Q19" i="86"/>
  <c r="T19" i="86"/>
  <c r="V121" i="5"/>
  <c r="V117" i="5"/>
  <c r="O21" i="86"/>
  <c r="U117" i="5"/>
  <c r="U121" i="5"/>
  <c r="K21" i="86"/>
  <c r="H22" i="86"/>
  <c r="I23" i="86"/>
  <c r="L22" i="86"/>
  <c r="O22" i="86" s="1"/>
  <c r="R20" i="86"/>
  <c r="U20" i="86"/>
  <c r="M26" i="57"/>
  <c r="L27" i="57"/>
  <c r="L45" i="57" s="1"/>
  <c r="R22" i="86" l="1"/>
  <c r="U22" i="86"/>
  <c r="N21" i="86"/>
  <c r="R21" i="86"/>
  <c r="U21" i="86"/>
  <c r="H23" i="86"/>
  <c r="K22" i="86"/>
  <c r="N22" i="86" s="1"/>
  <c r="L23" i="86"/>
  <c r="O23" i="86" s="1"/>
  <c r="I24" i="86"/>
  <c r="N26" i="57"/>
  <c r="M27" i="57"/>
  <c r="M45" i="57" s="1"/>
  <c r="K23" i="86" l="1"/>
  <c r="H24" i="86"/>
  <c r="Q21" i="86"/>
  <c r="T21" i="86"/>
  <c r="T22" i="86"/>
  <c r="Q22" i="86"/>
  <c r="I25" i="86"/>
  <c r="L24" i="86"/>
  <c r="U23" i="86"/>
  <c r="R23" i="86"/>
  <c r="O26" i="57"/>
  <c r="N27" i="57"/>
  <c r="N45" i="57" s="1"/>
  <c r="O24" i="86" l="1"/>
  <c r="L25" i="86"/>
  <c r="I26" i="86"/>
  <c r="K24" i="86"/>
  <c r="N24" i="86" s="1"/>
  <c r="H25" i="86"/>
  <c r="N23" i="86"/>
  <c r="P26" i="57"/>
  <c r="O27" i="57"/>
  <c r="O45" i="57" s="1"/>
  <c r="I27" i="86" l="1"/>
  <c r="L26" i="86"/>
  <c r="T23" i="86"/>
  <c r="Q23" i="86"/>
  <c r="H26" i="86"/>
  <c r="K25" i="86"/>
  <c r="N25" i="86" s="1"/>
  <c r="O25" i="86"/>
  <c r="Q24" i="86"/>
  <c r="T24" i="86"/>
  <c r="R24" i="86"/>
  <c r="U24" i="86"/>
  <c r="Q26" i="57"/>
  <c r="P27" i="57"/>
  <c r="P45" i="57" s="1"/>
  <c r="Q25" i="86" l="1"/>
  <c r="T25" i="86"/>
  <c r="R25" i="86"/>
  <c r="U25" i="86"/>
  <c r="K26" i="86"/>
  <c r="N26" i="86" s="1"/>
  <c r="H27" i="86"/>
  <c r="O26" i="86"/>
  <c r="I28" i="86"/>
  <c r="L27" i="86"/>
  <c r="O27" i="86" s="1"/>
  <c r="R26" i="57"/>
  <c r="Q27" i="57"/>
  <c r="Q45" i="57" s="1"/>
  <c r="R27" i="86" l="1"/>
  <c r="U27" i="86"/>
  <c r="Q26" i="86"/>
  <c r="T26" i="86"/>
  <c r="K27" i="86"/>
  <c r="H28" i="86"/>
  <c r="L28" i="86"/>
  <c r="I29" i="86"/>
  <c r="R26" i="86"/>
  <c r="U26" i="86"/>
  <c r="S26" i="57"/>
  <c r="R27" i="57"/>
  <c r="R45" i="57" s="1"/>
  <c r="L29" i="86" l="1"/>
  <c r="O29" i="86" s="1"/>
  <c r="I30" i="86"/>
  <c r="L30" i="86" s="1"/>
  <c r="H29" i="86"/>
  <c r="K28" i="86"/>
  <c r="N28" i="86" s="1"/>
  <c r="O28" i="86"/>
  <c r="N27" i="86"/>
  <c r="T26" i="57"/>
  <c r="S27" i="57"/>
  <c r="S45" i="57" s="1"/>
  <c r="U28" i="86" l="1"/>
  <c r="R28" i="86"/>
  <c r="O30" i="86"/>
  <c r="Q27" i="86"/>
  <c r="T27" i="86"/>
  <c r="K29" i="86"/>
  <c r="N29" i="86" s="1"/>
  <c r="H30" i="86"/>
  <c r="K30" i="86" s="1"/>
  <c r="U29" i="86"/>
  <c r="R29" i="86"/>
  <c r="T28" i="86"/>
  <c r="Q28" i="86"/>
  <c r="U26" i="57"/>
  <c r="T27" i="57"/>
  <c r="T45" i="57" s="1"/>
  <c r="Q29" i="86" l="1"/>
  <c r="T29" i="86"/>
  <c r="R30" i="86"/>
  <c r="U30" i="86"/>
  <c r="F7" i="86" s="1"/>
  <c r="Y13" i="5" s="1"/>
  <c r="N30" i="86"/>
  <c r="V26" i="57"/>
  <c r="U27" i="57"/>
  <c r="U45" i="57" s="1"/>
  <c r="Q30" i="86" l="1"/>
  <c r="T30" i="86"/>
  <c r="W26" i="57"/>
  <c r="V27" i="57"/>
  <c r="V45" i="57" s="1"/>
  <c r="E7" i="86" l="1"/>
  <c r="Z13" i="5" s="1"/>
  <c r="X26" i="57"/>
  <c r="W27" i="57"/>
  <c r="W45" i="57" s="1"/>
  <c r="Y26" i="57" l="1"/>
  <c r="X27" i="57"/>
  <c r="X45" i="57" s="1"/>
  <c r="Z26" i="57" l="1"/>
  <c r="Y27" i="57"/>
  <c r="Y45" i="57" s="1"/>
  <c r="AA26" i="57" l="1"/>
  <c r="Z27" i="57"/>
  <c r="Z45" i="57" s="1"/>
  <c r="AB26" i="57" l="1"/>
  <c r="AA27" i="57"/>
  <c r="AA45" i="57" s="1"/>
  <c r="AC26" i="57" l="1"/>
  <c r="AB27" i="57"/>
  <c r="AB45" i="57" s="1"/>
  <c r="AD26" i="57" l="1"/>
  <c r="AC27" i="57"/>
  <c r="AC45" i="57" s="1"/>
  <c r="AD27" i="57" l="1"/>
  <c r="AD45" i="57" s="1"/>
  <c r="AF26" i="57"/>
  <c r="Q25" i="65" l="1"/>
  <c r="Q27" i="65" s="1"/>
  <c r="Q28" i="65" s="1"/>
  <c r="AF27" i="57"/>
</calcChain>
</file>

<file path=xl/comments1.xml><?xml version="1.0" encoding="utf-8"?>
<comments xmlns="http://schemas.openxmlformats.org/spreadsheetml/2006/main">
  <authors>
    <author>Ayush Baheti</author>
    <author>Ayush Mittal</author>
  </authors>
  <commentList>
    <comment ref="Y78" authorId="0" shapeId="0">
      <text>
        <r>
          <rPr>
            <b/>
            <sz val="9"/>
            <color indexed="81"/>
            <rFont val="Tahoma"/>
            <family val="2"/>
          </rPr>
          <t xml:space="preserve">Ayush: </t>
        </r>
        <r>
          <rPr>
            <sz val="9"/>
            <color indexed="81"/>
            <rFont val="Tahoma"/>
            <family val="2"/>
          </rPr>
          <t>Addition to PPS-add-on for antiemetics adjustment.</t>
        </r>
      </text>
    </comment>
    <comment ref="Z78" authorId="0" shapeId="0">
      <text>
        <r>
          <rPr>
            <b/>
            <sz val="9"/>
            <color indexed="81"/>
            <rFont val="Tahoma"/>
            <family val="2"/>
          </rPr>
          <t xml:space="preserve">Ayush: </t>
        </r>
        <r>
          <rPr>
            <sz val="9"/>
            <color indexed="81"/>
            <rFont val="Tahoma"/>
            <family val="2"/>
          </rPr>
          <t>Addition to PPS-add-on for antiemetics adjustment.</t>
        </r>
      </text>
    </comment>
    <comment ref="Y84" authorId="1" shapeId="0">
      <text>
        <r>
          <rPr>
            <b/>
            <sz val="9"/>
            <color indexed="81"/>
            <rFont val="Tahoma"/>
            <family val="2"/>
          </rPr>
          <t>Ayush:</t>
        </r>
        <r>
          <rPr>
            <sz val="9"/>
            <color indexed="81"/>
            <rFont val="Tahoma"/>
            <family val="2"/>
          </rPr>
          <t xml:space="preserve">
1.2 adjustment due to increase in PPS Addon</t>
        </r>
      </text>
    </comment>
  </commentList>
</comments>
</file>

<file path=xl/comments2.xml><?xml version="1.0" encoding="utf-8"?>
<comments xmlns="http://schemas.openxmlformats.org/spreadsheetml/2006/main">
  <authors>
    <author>Ayush Baheti</author>
    <author>Ayush Mittal</author>
  </authors>
  <commentList>
    <comment ref="Y78" authorId="0" shapeId="0">
      <text>
        <r>
          <rPr>
            <b/>
            <sz val="9"/>
            <color indexed="81"/>
            <rFont val="Tahoma"/>
            <family val="2"/>
          </rPr>
          <t xml:space="preserve">Ayush: </t>
        </r>
        <r>
          <rPr>
            <sz val="9"/>
            <color indexed="81"/>
            <rFont val="Tahoma"/>
            <family val="2"/>
          </rPr>
          <t>Addition to PPS-add-on for antiemetics adjustment.</t>
        </r>
      </text>
    </comment>
    <comment ref="Z78" authorId="0" shapeId="0">
      <text>
        <r>
          <rPr>
            <b/>
            <sz val="9"/>
            <color indexed="81"/>
            <rFont val="Tahoma"/>
            <family val="2"/>
          </rPr>
          <t xml:space="preserve">Ayush: </t>
        </r>
        <r>
          <rPr>
            <sz val="9"/>
            <color indexed="81"/>
            <rFont val="Tahoma"/>
            <family val="2"/>
          </rPr>
          <t>Addition to PPS-add-on for antiemetics adjustment.</t>
        </r>
      </text>
    </comment>
    <comment ref="Y84" authorId="1" shapeId="0">
      <text>
        <r>
          <rPr>
            <b/>
            <sz val="9"/>
            <color indexed="81"/>
            <rFont val="Tahoma"/>
            <family val="2"/>
          </rPr>
          <t>Ayush:</t>
        </r>
        <r>
          <rPr>
            <sz val="9"/>
            <color indexed="81"/>
            <rFont val="Tahoma"/>
            <family val="2"/>
          </rPr>
          <t xml:space="preserve">
1.2 adjustment due to increase in PPS Addon</t>
        </r>
      </text>
    </comment>
  </commentList>
</comments>
</file>

<file path=xl/comments3.xml><?xml version="1.0" encoding="utf-8"?>
<comments xmlns="http://schemas.openxmlformats.org/spreadsheetml/2006/main">
  <authors>
    <author>Reza Ilkhani</author>
    <author>Ayush Baheti</author>
  </authors>
  <commentList>
    <comment ref="X12" authorId="0" shapeId="0">
      <text>
        <r>
          <rPr>
            <b/>
            <sz val="9"/>
            <color indexed="81"/>
            <rFont val="Tahoma"/>
            <family val="2"/>
          </rPr>
          <t>Reza Ilkhani:</t>
        </r>
        <r>
          <rPr>
            <sz val="9"/>
            <color indexed="81"/>
            <rFont val="Tahoma"/>
            <family val="2"/>
          </rPr>
          <t xml:space="preserve">
This includes cash investment + assumption of Debt</t>
        </r>
      </text>
    </comment>
    <comment ref="X13" authorId="0" shapeId="0">
      <text>
        <r>
          <rPr>
            <b/>
            <sz val="9"/>
            <color indexed="81"/>
            <rFont val="Tahoma"/>
            <family val="2"/>
          </rPr>
          <t>Reza Ilkhani:</t>
        </r>
        <r>
          <rPr>
            <sz val="9"/>
            <color indexed="81"/>
            <rFont val="Tahoma"/>
            <family val="2"/>
          </rPr>
          <t xml:space="preserve">
In Years</t>
        </r>
      </text>
    </comment>
    <comment ref="O28" authorId="1" shapeId="0">
      <text>
        <r>
          <rPr>
            <b/>
            <sz val="9"/>
            <color indexed="81"/>
            <rFont val="Tahoma"/>
            <family val="2"/>
          </rPr>
          <t>Ayush Baheti:</t>
        </r>
        <r>
          <rPr>
            <sz val="9"/>
            <color indexed="81"/>
            <rFont val="Tahoma"/>
            <family val="2"/>
          </rPr>
          <t xml:space="preserve">
On the basis of previous valuation, where all construction costs are classified under Tenant Improvement, remaining assets balance to be classified under Equipment.</t>
        </r>
      </text>
    </comment>
    <comment ref="P28" authorId="1" shapeId="0">
      <text>
        <r>
          <rPr>
            <b/>
            <sz val="9"/>
            <color indexed="81"/>
            <rFont val="Tahoma"/>
            <family val="2"/>
          </rPr>
          <t>Ayush Baheti:</t>
        </r>
        <r>
          <rPr>
            <sz val="9"/>
            <color indexed="81"/>
            <rFont val="Tahoma"/>
            <family val="2"/>
          </rPr>
          <t xml:space="preserve">
On the basis of previous valuation, where all construction costs are classified under Tenant Improvement, remaining assets balance to be classified under Equipment.</t>
        </r>
      </text>
    </comment>
    <comment ref="P49" authorId="0" shapeId="0">
      <text>
        <r>
          <rPr>
            <b/>
            <sz val="9"/>
            <color indexed="81"/>
            <rFont val="Tahoma"/>
            <family val="2"/>
          </rPr>
          <t>Reza Ilkhani:</t>
        </r>
        <r>
          <rPr>
            <sz val="9"/>
            <color indexed="81"/>
            <rFont val="Tahoma"/>
            <family val="2"/>
          </rPr>
          <t xml:space="preserve">
This is the weighted average rate.</t>
        </r>
      </text>
    </comment>
    <comment ref="I52" authorId="1" shapeId="0">
      <text>
        <r>
          <rPr>
            <b/>
            <sz val="9"/>
            <color indexed="81"/>
            <rFont val="Tahoma"/>
            <family val="2"/>
          </rPr>
          <t>Ayush Baheti:</t>
        </r>
        <r>
          <rPr>
            <sz val="9"/>
            <color indexed="81"/>
            <rFont val="Tahoma"/>
            <family val="2"/>
          </rPr>
          <t xml:space="preserve">
For Pharmacy Cost</t>
        </r>
      </text>
    </comment>
    <comment ref="I53" authorId="1" shapeId="0">
      <text>
        <r>
          <rPr>
            <b/>
            <sz val="9"/>
            <color indexed="81"/>
            <rFont val="Tahoma"/>
            <family val="2"/>
          </rPr>
          <t>Ayush Baheti:</t>
        </r>
        <r>
          <rPr>
            <sz val="9"/>
            <color indexed="81"/>
            <rFont val="Tahoma"/>
            <family val="2"/>
          </rPr>
          <t xml:space="preserve">
For Supplies Cost</t>
        </r>
      </text>
    </comment>
  </commentList>
</comments>
</file>

<file path=xl/comments4.xml><?xml version="1.0" encoding="utf-8"?>
<comments xmlns="http://schemas.openxmlformats.org/spreadsheetml/2006/main">
  <authors>
    <author>Reza Ilkhani</author>
  </authors>
  <commentList>
    <comment ref="G34" authorId="0" shapeId="0">
      <text>
        <r>
          <rPr>
            <b/>
            <sz val="9"/>
            <color indexed="81"/>
            <rFont val="Tahoma"/>
            <family val="2"/>
          </rPr>
          <t>Reza Ilkhani:</t>
        </r>
        <r>
          <rPr>
            <sz val="9"/>
            <color indexed="81"/>
            <rFont val="Tahoma"/>
            <family val="2"/>
          </rPr>
          <t xml:space="preserve">
Adjusted for Mcatre seq.</t>
        </r>
      </text>
    </comment>
  </commentList>
</comments>
</file>

<file path=xl/comments5.xml><?xml version="1.0" encoding="utf-8"?>
<comments xmlns="http://schemas.openxmlformats.org/spreadsheetml/2006/main">
  <authors>
    <author>Dhara Shah</author>
  </authors>
  <commentList>
    <comment ref="N10" authorId="0" shapeId="0">
      <text>
        <r>
          <rPr>
            <b/>
            <sz val="9"/>
            <color indexed="81"/>
            <rFont val="Tahoma"/>
            <family val="2"/>
          </rPr>
          <t>Dhara Shah:</t>
        </r>
        <r>
          <rPr>
            <sz val="9"/>
            <color indexed="81"/>
            <rFont val="Tahoma"/>
            <family val="2"/>
          </rPr>
          <t xml:space="preserve">
Changed this since this subtracted depreciation, which was not added back</t>
        </r>
      </text>
    </comment>
    <comment ref="N13" authorId="0" shapeId="0">
      <text>
        <r>
          <rPr>
            <b/>
            <sz val="9"/>
            <color indexed="81"/>
            <rFont val="Tahoma"/>
            <family val="2"/>
          </rPr>
          <t>Dhara Shah:</t>
        </r>
        <r>
          <rPr>
            <sz val="9"/>
            <color indexed="81"/>
            <rFont val="Tahoma"/>
            <family val="2"/>
          </rPr>
          <t xml:space="preserve">
Changed this to link to Terminal Value</t>
        </r>
      </text>
    </comment>
  </commentList>
</comments>
</file>

<file path=xl/comments6.xml><?xml version="1.0" encoding="utf-8"?>
<comments xmlns="http://schemas.openxmlformats.org/spreadsheetml/2006/main">
  <authors>
    <author>Dhara Shah</author>
    <author>Kayvon Namvar</author>
  </authors>
  <commentList>
    <comment ref="AB19" authorId="0" shapeId="0">
      <text>
        <r>
          <rPr>
            <b/>
            <sz val="9"/>
            <color indexed="81"/>
            <rFont val="Tahoma"/>
            <family val="2"/>
          </rPr>
          <t>Dhara Shah: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B24" authorId="0" shapeId="0">
      <text>
        <r>
          <rPr>
            <b/>
            <sz val="9"/>
            <color indexed="81"/>
            <rFont val="Tahoma"/>
            <family val="2"/>
          </rPr>
          <t>Dhara Shah: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X33" authorId="1" shapeId="0">
      <text>
        <r>
          <rPr>
            <b/>
            <sz val="9"/>
            <color indexed="81"/>
            <rFont val="Tahoma"/>
            <family val="2"/>
          </rPr>
          <t>Kayvon Namvar: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E33" authorId="1" shapeId="0">
      <text>
        <r>
          <rPr>
            <b/>
            <sz val="9"/>
            <color indexed="81"/>
            <rFont val="Tahoma"/>
            <family val="2"/>
          </rPr>
          <t>Kayvon Namvar: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B49" authorId="0" shapeId="0">
      <text>
        <r>
          <rPr>
            <b/>
            <sz val="9"/>
            <color indexed="81"/>
            <rFont val="Tahoma"/>
            <family val="2"/>
          </rPr>
          <t>Dhara Shah: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7.xml><?xml version="1.0" encoding="utf-8"?>
<comments xmlns="http://schemas.openxmlformats.org/spreadsheetml/2006/main">
  <authors>
    <author>Dhara Shah</author>
  </authors>
  <commentList>
    <comment ref="AC10" authorId="0" shapeId="0">
      <text>
        <r>
          <rPr>
            <b/>
            <sz val="9"/>
            <color indexed="81"/>
            <rFont val="Tahoma"/>
            <family val="2"/>
          </rPr>
          <t>Dhara Shah: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C11" authorId="0" shapeId="0">
      <text>
        <r>
          <rPr>
            <b/>
            <sz val="9"/>
            <color indexed="81"/>
            <rFont val="Tahoma"/>
            <family val="2"/>
          </rPr>
          <t>Dhara Shah: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C17" authorId="0" shapeId="0">
      <text>
        <r>
          <rPr>
            <b/>
            <sz val="9"/>
            <color indexed="81"/>
            <rFont val="Tahoma"/>
            <family val="2"/>
          </rPr>
          <t>Dhara Shah: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8.xml><?xml version="1.0" encoding="utf-8"?>
<comments xmlns="http://schemas.openxmlformats.org/spreadsheetml/2006/main">
  <authors>
    <author>Revelwood Report Manager</author>
  </authors>
  <commentList>
    <comment ref="K37" authorId="0" shapeId="0">
      <text>
        <r>
          <rPr>
            <sz val="9"/>
            <color indexed="81"/>
            <rFont val="Tahoma"/>
            <family val="2"/>
          </rPr>
          <t>Dynamo! Pick</t>
        </r>
      </text>
    </comment>
    <comment ref="K38" authorId="0" shapeId="0">
      <text>
        <r>
          <rPr>
            <sz val="9"/>
            <color indexed="81"/>
            <rFont val="Tahoma"/>
            <family val="2"/>
          </rPr>
          <t>Dynamo! Pick</t>
        </r>
      </text>
    </comment>
  </commentList>
</comments>
</file>

<file path=xl/comments9.xml><?xml version="1.0" encoding="utf-8"?>
<comments xmlns="http://schemas.openxmlformats.org/spreadsheetml/2006/main">
  <authors>
    <author>Ayush Mittal</author>
  </authors>
  <commentList>
    <comment ref="B16" authorId="0" shapeId="0">
      <text>
        <r>
          <rPr>
            <b/>
            <sz val="9"/>
            <color indexed="81"/>
            <rFont val="Tahoma"/>
            <family val="2"/>
          </rPr>
          <t>Ayush Mittal:</t>
        </r>
        <r>
          <rPr>
            <sz val="9"/>
            <color indexed="81"/>
            <rFont val="Tahoma"/>
            <family val="2"/>
          </rPr>
          <t xml:space="preserve">
Needs checking.</t>
        </r>
      </text>
    </comment>
  </commentList>
</comments>
</file>

<file path=xl/sharedStrings.xml><?xml version="1.0" encoding="utf-8"?>
<sst xmlns="http://schemas.openxmlformats.org/spreadsheetml/2006/main" count="3374" uniqueCount="1298">
  <si>
    <t>Management Report</t>
  </si>
  <si>
    <t>Partner Report</t>
  </si>
  <si>
    <t>A</t>
  </si>
  <si>
    <t>Z</t>
  </si>
  <si>
    <t>Management Review</t>
  </si>
  <si>
    <t>Partner Review</t>
  </si>
  <si>
    <t>Page #</t>
  </si>
  <si>
    <t>Summary Financial Statements</t>
  </si>
  <si>
    <t>Detailed Financial Statements</t>
  </si>
  <si>
    <t>Analyst Reviews</t>
  </si>
  <si>
    <t>Summary Income Statement</t>
  </si>
  <si>
    <t>Satellite Healthcare</t>
  </si>
  <si>
    <t>Privileged and Confidential</t>
  </si>
  <si>
    <t>Total</t>
  </si>
  <si>
    <t>Number of Pages</t>
  </si>
  <si>
    <t>Key Inputs and Assumptions</t>
  </si>
  <si>
    <t>Summary Exhibits</t>
  </si>
  <si>
    <t>Outline</t>
  </si>
  <si>
    <t>Analyst Report</t>
  </si>
  <si>
    <t>($000)</t>
  </si>
  <si>
    <t>Y1Q1</t>
  </si>
  <si>
    <t>Y1Q2</t>
  </si>
  <si>
    <t>Y1Q3</t>
  </si>
  <si>
    <t>Y1Q4</t>
  </si>
  <si>
    <t>Y2Q1</t>
  </si>
  <si>
    <t>Y2Q2</t>
  </si>
  <si>
    <t>Y2Q3</t>
  </si>
  <si>
    <t>Y2Q4</t>
  </si>
  <si>
    <t>M</t>
  </si>
  <si>
    <t>P</t>
  </si>
  <si>
    <t>B</t>
  </si>
  <si>
    <t>C</t>
  </si>
  <si>
    <t>Revenues</t>
  </si>
  <si>
    <t>Project Description</t>
  </si>
  <si>
    <t>Risks and Challenges</t>
  </si>
  <si>
    <t>(1)  Oregon experiencing a population growth.</t>
  </si>
  <si>
    <t>(2)  This community is currently neglected by other key vendors</t>
  </si>
  <si>
    <t>Gross Profit</t>
  </si>
  <si>
    <t>EBITDA</t>
  </si>
  <si>
    <t>EBIT</t>
  </si>
  <si>
    <t>Net Income</t>
  </si>
  <si>
    <t>Balance Sheet</t>
  </si>
  <si>
    <t>Cash</t>
  </si>
  <si>
    <t>Total Assets</t>
  </si>
  <si>
    <t>Cash Flow</t>
  </si>
  <si>
    <t>Operating Cash Flows</t>
  </si>
  <si>
    <t>Key Assumptions</t>
  </si>
  <si>
    <t>Commercial</t>
  </si>
  <si>
    <t>Medicare</t>
  </si>
  <si>
    <t>Medicaid</t>
  </si>
  <si>
    <t>Opportunity</t>
  </si>
  <si>
    <t>Economic Drivers</t>
  </si>
  <si>
    <t>Project Overview</t>
  </si>
  <si>
    <t>(3)  bhiglfkytrd</t>
  </si>
  <si>
    <t>(1)  Population growth due to economic growth</t>
  </si>
  <si>
    <t>(2)  Low operating costs in the region</t>
  </si>
  <si>
    <t>Financial Summary and Results</t>
  </si>
  <si>
    <t>Key Summary Metrics</t>
  </si>
  <si>
    <t>Cash Balance</t>
  </si>
  <si>
    <t>Debt Balance</t>
  </si>
  <si>
    <t>(3)  Monitoring a practice in Oregan may be challenging.</t>
  </si>
  <si>
    <t>(1)  One of the physicians in planning retirement in 3 years.</t>
  </si>
  <si>
    <t>(2)  The practice equipment may need to be upgraded.</t>
  </si>
  <si>
    <t>Base Case</t>
  </si>
  <si>
    <t>NPV</t>
  </si>
  <si>
    <t>Other</t>
  </si>
  <si>
    <t>Scenario Results</t>
  </si>
  <si>
    <t>Partnership Opportunity</t>
  </si>
  <si>
    <t>Qualitative Project Review</t>
  </si>
  <si>
    <t>Key Financial Metrics</t>
  </si>
  <si>
    <t>Project Name:</t>
  </si>
  <si>
    <t>Payor Mix</t>
  </si>
  <si>
    <t>AKI</t>
  </si>
  <si>
    <t>Licensing</t>
  </si>
  <si>
    <t>Hemo Dialysis</t>
  </si>
  <si>
    <t>In Center</t>
  </si>
  <si>
    <t>Nocturnal</t>
  </si>
  <si>
    <t>Home Dialysis</t>
  </si>
  <si>
    <t>Peritoneal</t>
  </si>
  <si>
    <t>CRRT</t>
  </si>
  <si>
    <t>a</t>
  </si>
  <si>
    <t>r</t>
  </si>
  <si>
    <t>Transaction Notes</t>
  </si>
  <si>
    <t>Home HD</t>
  </si>
  <si>
    <t>Non-contracted</t>
  </si>
  <si>
    <t>Contracted</t>
  </si>
  <si>
    <t>KP</t>
  </si>
  <si>
    <t>Oregon Target, located in downtown Portland, is a facility managed by 3 physicians.  The physician group is interested in a risk sharing arrangement.</t>
  </si>
  <si>
    <t>Commercial Rates</t>
  </si>
  <si>
    <t>List</t>
  </si>
  <si>
    <t>Year 2</t>
  </si>
  <si>
    <t>Year 3</t>
  </si>
  <si>
    <t>Year 4</t>
  </si>
  <si>
    <t>Year 5</t>
  </si>
  <si>
    <t>MODALITIES</t>
  </si>
  <si>
    <t>Payor Mix Used</t>
  </si>
  <si>
    <t xml:space="preserve">Centers /  </t>
  </si>
  <si>
    <t>Regions</t>
  </si>
  <si>
    <t>Revenue Growth Rates</t>
  </si>
  <si>
    <t xml:space="preserve">Treatments </t>
  </si>
  <si>
    <t>Per Mo.</t>
  </si>
  <si>
    <t>Per Q</t>
  </si>
  <si>
    <t>Per Year</t>
  </si>
  <si>
    <t>D</t>
  </si>
  <si>
    <t>3.  Revenues ($000)</t>
  </si>
  <si>
    <t>TOTAL REVENUES</t>
  </si>
  <si>
    <t>Selector</t>
  </si>
  <si>
    <t>Acute Rates</t>
  </si>
  <si>
    <t>Com'l Rates Used</t>
  </si>
  <si>
    <t>Apheresis</t>
  </si>
  <si>
    <t>Treatments / Mo.</t>
  </si>
  <si>
    <t>Treatments / Month</t>
  </si>
  <si>
    <t>TM1</t>
  </si>
  <si>
    <t>Overwrite</t>
  </si>
  <si>
    <t>Modality Offered</t>
  </si>
  <si>
    <t>Total Treatments</t>
  </si>
  <si>
    <t>Year 1</t>
  </si>
  <si>
    <t>Patient Growth</t>
  </si>
  <si>
    <t xml:space="preserve">Treatment Growth </t>
  </si>
  <si>
    <t>Payor 
Mix</t>
  </si>
  <si>
    <t>Rates per Treatment</t>
  </si>
  <si>
    <t>Acute Care Revenues</t>
  </si>
  <si>
    <t>Rates per Treatment 
(Revenue Yield)</t>
  </si>
  <si>
    <t>Revenue Yield</t>
  </si>
  <si>
    <t>1.  Treatments</t>
  </si>
  <si>
    <t>2.  Revenues ($000)</t>
  </si>
  <si>
    <t>2.  Treatments by Payor Mix</t>
  </si>
  <si>
    <t>Contractual Allowances</t>
  </si>
  <si>
    <t>Net Revenues</t>
  </si>
  <si>
    <t>Values Used</t>
  </si>
  <si>
    <t>Year end Patients</t>
  </si>
  <si>
    <t>Growth rates</t>
  </si>
  <si>
    <t>Main Toggle</t>
  </si>
  <si>
    <t>Annual</t>
  </si>
  <si>
    <t>Rate</t>
  </si>
  <si>
    <t>Inflation</t>
  </si>
  <si>
    <t>MCare - Base</t>
  </si>
  <si>
    <t>MCare - Add-on</t>
  </si>
  <si>
    <t>Payor mix</t>
  </si>
  <si>
    <t>Non-acute Year 1 Patients</t>
  </si>
  <si>
    <t>Acute Year 1 Treatments</t>
  </si>
  <si>
    <t>1.  Patient Census (Average)</t>
  </si>
  <si>
    <t>Pharmacy</t>
  </si>
  <si>
    <t>EPO</t>
  </si>
  <si>
    <t>Other 1</t>
  </si>
  <si>
    <t>Supplies</t>
  </si>
  <si>
    <t>Dialysis Supplies</t>
  </si>
  <si>
    <t>Direct Materials</t>
  </si>
  <si>
    <t>Lab Expense</t>
  </si>
  <si>
    <t>Cost of Service</t>
  </si>
  <si>
    <t>Existing / Acquired Center</t>
  </si>
  <si>
    <t>Treatments (Average)</t>
  </si>
  <si>
    <t>Total Cost of Service</t>
  </si>
  <si>
    <t>Analysis Type:</t>
  </si>
  <si>
    <t>Square Feet</t>
  </si>
  <si>
    <t>$ / Sqft</t>
  </si>
  <si>
    <t>Rent</t>
  </si>
  <si>
    <t>Utilities</t>
  </si>
  <si>
    <t>Direct Expenses</t>
  </si>
  <si>
    <t>MCare - MCaid Rates</t>
  </si>
  <si>
    <t>Labor</t>
  </si>
  <si>
    <t>General &amp; Administrative</t>
  </si>
  <si>
    <t>Management Fees</t>
  </si>
  <si>
    <t>Depreciation</t>
  </si>
  <si>
    <t>Operating Income</t>
  </si>
  <si>
    <t>Interest Expense</t>
  </si>
  <si>
    <t>Pretax Income</t>
  </si>
  <si>
    <t>Facility, Office &amp; Prof.</t>
  </si>
  <si>
    <t>ASSETS</t>
  </si>
  <si>
    <t>Accounts Receivable</t>
  </si>
  <si>
    <t>Supplies Inventory</t>
  </si>
  <si>
    <t>Fixed Assets</t>
  </si>
  <si>
    <t>Intangible Assets</t>
  </si>
  <si>
    <t>LIABILITIES</t>
  </si>
  <si>
    <t>Accounts Payable</t>
  </si>
  <si>
    <t>Total Liabilities</t>
  </si>
  <si>
    <t>Equity</t>
  </si>
  <si>
    <t>Beginning Balance</t>
  </si>
  <si>
    <t>+</t>
  </si>
  <si>
    <t>-</t>
  </si>
  <si>
    <t>Equity Ending Balance</t>
  </si>
  <si>
    <t>Total Liabilities &amp; Equity</t>
  </si>
  <si>
    <t>Incr. in Acc. Rec.</t>
  </si>
  <si>
    <t>Incr. in Acc. Payable</t>
  </si>
  <si>
    <t>Investing Cash Flows</t>
  </si>
  <si>
    <t>Capital Expenditures</t>
  </si>
  <si>
    <t>Financing Cash Flows</t>
  </si>
  <si>
    <t>Ending Cash</t>
  </si>
  <si>
    <t>A/R Days</t>
  </si>
  <si>
    <t>Incr. in Inventories</t>
  </si>
  <si>
    <t>Inputs</t>
  </si>
  <si>
    <t>A/P Days</t>
  </si>
  <si>
    <t>Expenses used of A/P calc.</t>
  </si>
  <si>
    <t>Depreciation / Year</t>
  </si>
  <si>
    <t>Year</t>
  </si>
  <si>
    <t>Total Depreciation</t>
  </si>
  <si>
    <t>Year -1</t>
  </si>
  <si>
    <t>Assets</t>
  </si>
  <si>
    <t>Additions</t>
  </si>
  <si>
    <t>Ending Balance</t>
  </si>
  <si>
    <t>Depreciation / Month</t>
  </si>
  <si>
    <t>Depreciation / Quarter</t>
  </si>
  <si>
    <t>Accumulated Depreciation</t>
  </si>
  <si>
    <t>Net Fixed Assets</t>
  </si>
  <si>
    <t>Pre-build Month</t>
  </si>
  <si>
    <t>Year 1 Month</t>
  </si>
  <si>
    <t>Beg. Fixed Assets</t>
  </si>
  <si>
    <t>Cap. Exp.</t>
  </si>
  <si>
    <t>Depr.</t>
  </si>
  <si>
    <t>Ending Fixed Assets</t>
  </si>
  <si>
    <t>Prebuild formatting logic</t>
  </si>
  <si>
    <t>Year 2 Quarters</t>
  </si>
  <si>
    <t>Q1</t>
  </si>
  <si>
    <t>Q2</t>
  </si>
  <si>
    <t>Q3</t>
  </si>
  <si>
    <t>Q4</t>
  </si>
  <si>
    <t>Pre-build Monthly Fixed Asset Schedule</t>
  </si>
  <si>
    <t>Year 1 Monthly Fixed Asset Schedule</t>
  </si>
  <si>
    <t>Year 2 Quarterly Fixed Asset Schedule</t>
  </si>
  <si>
    <t>Operating Module Assumptions</t>
  </si>
  <si>
    <t>Financing Module</t>
  </si>
  <si>
    <t>Debt</t>
  </si>
  <si>
    <t>Type</t>
  </si>
  <si>
    <t>Amount</t>
  </si>
  <si>
    <t>LOC</t>
  </si>
  <si>
    <t>Fixed</t>
  </si>
  <si>
    <t>Inputs in $; Results in $000</t>
  </si>
  <si>
    <t>Other Dir. Costs</t>
  </si>
  <si>
    <t>Other Drugs</t>
  </si>
  <si>
    <t>Treatments</t>
  </si>
  <si>
    <t>Stations</t>
  </si>
  <si>
    <t>$ / Hr</t>
  </si>
  <si>
    <t>RN</t>
  </si>
  <si>
    <t>Medical Director</t>
  </si>
  <si>
    <t>Patients</t>
  </si>
  <si>
    <t>Territory Tech Manager</t>
  </si>
  <si>
    <t>Biomed Technician</t>
  </si>
  <si>
    <t>Dietician</t>
  </si>
  <si>
    <t>Social Worker</t>
  </si>
  <si>
    <t>Administrative Support</t>
  </si>
  <si>
    <t>Benchmark Center 1:</t>
  </si>
  <si>
    <t>Benchmark Center 2:</t>
  </si>
  <si>
    <t>Benchmark Center 3:</t>
  </si>
  <si>
    <t>MC Base</t>
  </si>
  <si>
    <t>MC Add-on</t>
  </si>
  <si>
    <t>Values Selected</t>
  </si>
  <si>
    <t>TM1 Data Link</t>
  </si>
  <si>
    <t>Labor Loaded Rate</t>
  </si>
  <si>
    <t>CCHT (PCT)</t>
  </si>
  <si>
    <t>ID</t>
  </si>
  <si>
    <t>Clinical Manager</t>
  </si>
  <si>
    <t>1.  Network Statistics</t>
  </si>
  <si>
    <t>Acute Care</t>
  </si>
  <si>
    <t>3.  Total Salaries ($000)</t>
  </si>
  <si>
    <t>Direct</t>
  </si>
  <si>
    <t>Indirect</t>
  </si>
  <si>
    <t>Acute Treatments</t>
  </si>
  <si>
    <t>Scenario driven by commercial rates selector</t>
  </si>
  <si>
    <t>Com'l Rates</t>
  </si>
  <si>
    <t>Treatment / Mo.</t>
  </si>
  <si>
    <t>TM1,Manual Toggles</t>
  </si>
  <si>
    <t>Scen Used</t>
  </si>
  <si>
    <t>Main Modality</t>
  </si>
  <si>
    <t>Tm1/Toggle</t>
  </si>
  <si>
    <t>Final Scen.</t>
  </si>
  <si>
    <t>Acute Rate</t>
  </si>
  <si>
    <t>Final Scen</t>
  </si>
  <si>
    <t>Staffing</t>
  </si>
  <si>
    <t>Partnering Module</t>
  </si>
  <si>
    <t>Name</t>
  </si>
  <si>
    <t>Ownership</t>
  </si>
  <si>
    <t>Depr. Years</t>
  </si>
  <si>
    <t>Tenant Impr.</t>
  </si>
  <si>
    <t xml:space="preserve">Other </t>
  </si>
  <si>
    <t>Prebuild</t>
  </si>
  <si>
    <t>Bad Debt Expense</t>
  </si>
  <si>
    <t>Balance Sheet (Days)</t>
  </si>
  <si>
    <t>Inventory</t>
  </si>
  <si>
    <t>Occupancy ($/Mo.)</t>
  </si>
  <si>
    <t>Operating Expenses ($/Mo.)</t>
  </si>
  <si>
    <t>Bad Debt Exp.</t>
  </si>
  <si>
    <t xml:space="preserve">EPO Units </t>
  </si>
  <si>
    <t>Total Patients</t>
  </si>
  <si>
    <t>Office Expense</t>
  </si>
  <si>
    <t>Outside Service</t>
  </si>
  <si>
    <t>Other G&amp;A</t>
  </si>
  <si>
    <t>Depreciation Years</t>
  </si>
  <si>
    <t>Patient / FTE</t>
  </si>
  <si>
    <t>Clinical Coordinator</t>
  </si>
  <si>
    <t>Equipment</t>
  </si>
  <si>
    <t>Operating Costs</t>
  </si>
  <si>
    <t>TOTAL LOADED SALARIES</t>
  </si>
  <si>
    <t>Effective Hourly Rates ($/Hr)</t>
  </si>
  <si>
    <t>EPO (units / Trtmnt)</t>
  </si>
  <si>
    <t>EPO ($/Unit)</t>
  </si>
  <si>
    <t>Loaded</t>
  </si>
  <si>
    <t>Hours /</t>
  </si>
  <si>
    <t>$/Yr ($000)</t>
  </si>
  <si>
    <t>Centers /
Regions</t>
  </si>
  <si>
    <t>Trnng Rm/FTE</t>
  </si>
  <si>
    <t>3.  Salary Calculations Using FTE</t>
  </si>
  <si>
    <t>2.  Salary Calculations Using Treatment Hours</t>
  </si>
  <si>
    <t>Partnering</t>
  </si>
  <si>
    <t>FTE</t>
  </si>
  <si>
    <t>Expenses</t>
  </si>
  <si>
    <t>Income Statement (Expenses)</t>
  </si>
  <si>
    <t>Prebuild Assumptions</t>
  </si>
  <si>
    <t>Total Loss</t>
  </si>
  <si>
    <t>Bal Sh Error</t>
  </si>
  <si>
    <t>BLANCE SHEET</t>
  </si>
  <si>
    <t>Avg Expenses</t>
  </si>
  <si>
    <t>CASH FLOW</t>
  </si>
  <si>
    <t>Change in Cash</t>
  </si>
  <si>
    <t>Last Month of info</t>
  </si>
  <si>
    <t>Months in Period</t>
  </si>
  <si>
    <t>Months bef. Opening</t>
  </si>
  <si>
    <t>Prebuild Phase</t>
  </si>
  <si>
    <t>Licensing Phase</t>
  </si>
  <si>
    <t>Combined Phase</t>
  </si>
  <si>
    <t>Mo. In Phase</t>
  </si>
  <si>
    <t>Mo. bef. Opening</t>
  </si>
  <si>
    <t>Cm Mo.</t>
  </si>
  <si>
    <t>Months CM Paid</t>
  </si>
  <si>
    <t>Months CM Hired bef. Opening</t>
  </si>
  <si>
    <t>Operating Income Statement</t>
  </si>
  <si>
    <t>Operating Balance Sheet</t>
  </si>
  <si>
    <t>Financial Statements - Prebuild Phase</t>
  </si>
  <si>
    <t>Loan 1</t>
  </si>
  <si>
    <t>Years</t>
  </si>
  <si>
    <t>Term</t>
  </si>
  <si>
    <t>Loan 3</t>
  </si>
  <si>
    <t>Loan 4</t>
  </si>
  <si>
    <t>Year 0</t>
  </si>
  <si>
    <t>Interest Payment</t>
  </si>
  <si>
    <t>Financial Statements - Licensing &amp; Permit Phase</t>
  </si>
  <si>
    <t>Debt Borrowed</t>
  </si>
  <si>
    <t>Debt Raised</t>
  </si>
  <si>
    <t>Used</t>
  </si>
  <si>
    <t>year</t>
  </si>
  <si>
    <t>Starting Debt</t>
  </si>
  <si>
    <t>Year 1 avg monthly paydown</t>
  </si>
  <si>
    <t>Total Debt Payments</t>
  </si>
  <si>
    <t>Operation Phase</t>
  </si>
  <si>
    <t>Phase</t>
  </si>
  <si>
    <t>Income Allocation</t>
  </si>
  <si>
    <t>Working Capital Adjustments</t>
  </si>
  <si>
    <t>Fixed Asset Adjustments</t>
  </si>
  <si>
    <t>Financing Adjustments</t>
  </si>
  <si>
    <t>1.  Free Cash Flow Estimation</t>
  </si>
  <si>
    <t>Terminal CF</t>
  </si>
  <si>
    <t>Duration (Months)</t>
  </si>
  <si>
    <t>Mid Point</t>
  </si>
  <si>
    <t>Timing from T(0)</t>
  </si>
  <si>
    <t>Duration (Fraction of Year)</t>
  </si>
  <si>
    <t>2.  Discount Factor</t>
  </si>
  <si>
    <t xml:space="preserve">Percentage </t>
  </si>
  <si>
    <t>Debt (% Total)</t>
  </si>
  <si>
    <t>Cost of</t>
  </si>
  <si>
    <t>Capital</t>
  </si>
  <si>
    <t>WACC</t>
  </si>
  <si>
    <t>Present Value of Annual Cash Flows</t>
  </si>
  <si>
    <t>Terminal Cash Flow</t>
  </si>
  <si>
    <t>PV TCF</t>
  </si>
  <si>
    <t>PV TCF at Year 5</t>
  </si>
  <si>
    <t>Terminal CF Valuation</t>
  </si>
  <si>
    <t>Years 1 - 5 CFs</t>
  </si>
  <si>
    <t>TCF</t>
  </si>
  <si>
    <t>DCF Valuation Summary</t>
  </si>
  <si>
    <t>Recurring TCF</t>
  </si>
  <si>
    <t>Discount Factor @</t>
  </si>
  <si>
    <t>Valuation of Management Income and Partner Proceeds</t>
  </si>
  <si>
    <t>Distributions to Partner(s)</t>
  </si>
  <si>
    <t>Summary Statement of Cash Flows</t>
  </si>
  <si>
    <t>Summary Balance Sheet</t>
  </si>
  <si>
    <t>$ / Treatment</t>
  </si>
  <si>
    <t>Operating Phase</t>
  </si>
  <si>
    <t>Months CM Hired before Opening</t>
  </si>
  <si>
    <t xml:space="preserve">Prebuild Util. as % Normal Expense </t>
  </si>
  <si>
    <t>Debt Financing (Paydown)</t>
  </si>
  <si>
    <t>Payor Mix Summary</t>
  </si>
  <si>
    <t>Network Statistics</t>
  </si>
  <si>
    <t>Loan 2</t>
  </si>
  <si>
    <t>Salary/ Mo.</t>
  </si>
  <si>
    <t>Hours / Mo.</t>
  </si>
  <si>
    <t>FTE Summary</t>
  </si>
  <si>
    <t>PATIENTS</t>
  </si>
  <si>
    <t>TREATMENTS</t>
  </si>
  <si>
    <t>Total Staffing</t>
  </si>
  <si>
    <t>STAFFING (FTE)</t>
  </si>
  <si>
    <t>Terminal</t>
  </si>
  <si>
    <t>Stand-alone Value</t>
  </si>
  <si>
    <t>PLEASE DO NOT INSERT ANY ROWS OR COLUMNS IN THIS SHEET.</t>
  </si>
  <si>
    <t>IRR</t>
  </si>
  <si>
    <t>Rev. Yield</t>
  </si>
  <si>
    <t>SUMMARY RESULTS</t>
  </si>
  <si>
    <t>Tennt Improv</t>
  </si>
  <si>
    <t>Pre-build Cap X</t>
  </si>
  <si>
    <t>Pos Pos</t>
  </si>
  <si>
    <t>Neg Neg</t>
  </si>
  <si>
    <t>Pos Neg</t>
  </si>
  <si>
    <t>Neg Pos</t>
  </si>
  <si>
    <t>1st box</t>
  </si>
  <si>
    <t>2nd</t>
  </si>
  <si>
    <t>3rd</t>
  </si>
  <si>
    <t>line 1</t>
  </si>
  <si>
    <t>line 2</t>
  </si>
  <si>
    <t>line 3</t>
  </si>
  <si>
    <t>2nd box</t>
  </si>
  <si>
    <t>3rd box</t>
  </si>
  <si>
    <t>Chart area</t>
  </si>
  <si>
    <t>Match error</t>
  </si>
  <si>
    <t>F</t>
  </si>
  <si>
    <t>Work Papers</t>
  </si>
  <si>
    <t>Income bef. Partner Distributions</t>
  </si>
  <si>
    <t>Work Paper Tabs</t>
  </si>
  <si>
    <t>Terminal Growth</t>
  </si>
  <si>
    <t>Total Error</t>
  </si>
  <si>
    <t xml:space="preserve">Income </t>
  </si>
  <si>
    <t>Cash Generation</t>
  </si>
  <si>
    <t>Ending Cash Balance</t>
  </si>
  <si>
    <t>Delivery Capacity Limit Estimations</t>
  </si>
  <si>
    <t>In Center Volume per Station</t>
  </si>
  <si>
    <t>Lab or used</t>
  </si>
  <si>
    <t>Annual error</t>
  </si>
  <si>
    <t>Monthly Error</t>
  </si>
  <si>
    <t>Nocturnal Volume per Station</t>
  </si>
  <si>
    <t>Network Capacity Available (Exceeded)</t>
  </si>
  <si>
    <t>Y1</t>
  </si>
  <si>
    <t>Y2</t>
  </si>
  <si>
    <t>Y3</t>
  </si>
  <si>
    <t>Y4</t>
  </si>
  <si>
    <t>Y5</t>
  </si>
  <si>
    <t>Scenario</t>
  </si>
  <si>
    <t>Treatments (000)</t>
  </si>
  <si>
    <t>M1</t>
  </si>
  <si>
    <t>M2</t>
  </si>
  <si>
    <t>M3</t>
  </si>
  <si>
    <t>M4</t>
  </si>
  <si>
    <t>M5</t>
  </si>
  <si>
    <t>M6</t>
  </si>
  <si>
    <t>M7</t>
  </si>
  <si>
    <t>M8</t>
  </si>
  <si>
    <t>M9</t>
  </si>
  <si>
    <t>M10</t>
  </si>
  <si>
    <t>M11</t>
  </si>
  <si>
    <t>M12</t>
  </si>
  <si>
    <t>Stand-alone</t>
  </si>
  <si>
    <t>Combined</t>
  </si>
  <si>
    <t>Valuation Chart</t>
  </si>
  <si>
    <t xml:space="preserve">TOGGLES </t>
  </si>
  <si>
    <t>CHART AREA</t>
  </si>
  <si>
    <t>wacc</t>
  </si>
  <si>
    <t>Acquisition of an existing facility</t>
  </si>
  <si>
    <t>In Center Capacity Patient Limit Analysis</t>
  </si>
  <si>
    <t>Nocturnal Capacity Patient Limit Analysis</t>
  </si>
  <si>
    <t xml:space="preserve"> = Patients / Station</t>
  </si>
  <si>
    <t>Patient Limit for</t>
  </si>
  <si>
    <t>In Center Patients</t>
  </si>
  <si>
    <t>Nocturnal Patients</t>
  </si>
  <si>
    <t>Partner Investment</t>
  </si>
  <si>
    <t>Patient Shifts / Day</t>
  </si>
  <si>
    <t>Sets of Patient Shifts / Week</t>
  </si>
  <si>
    <t>Cost / Treatment</t>
  </si>
  <si>
    <t>G&amp;A</t>
  </si>
  <si>
    <t>Home Dialysis [Peritoneal] Revenues</t>
  </si>
  <si>
    <t>Hemo Dialysis [Nocturnal] Revenues</t>
  </si>
  <si>
    <t>Hemo Dialysis [In Center] Revenues</t>
  </si>
  <si>
    <t>FTE Summary (Excluding Hourly Calculations)</t>
  </si>
  <si>
    <t>1.  Census Non-acute Patients (Month-end)</t>
  </si>
  <si>
    <t>2.  Acute Treatments (Per Period)</t>
  </si>
  <si>
    <t>2.  Required Upfront Cash Investment</t>
  </si>
  <si>
    <t>Monthly</t>
  </si>
  <si>
    <t>Quarterly</t>
  </si>
  <si>
    <t>Working Capital</t>
  </si>
  <si>
    <t>Startup Losses</t>
  </si>
  <si>
    <t>Tenant Improv., Equip. &amp; Cap. Exp.</t>
  </si>
  <si>
    <t>Partner Cash Investment</t>
  </si>
  <si>
    <t>SH Cash Investment</t>
  </si>
  <si>
    <t>Partner Cash</t>
  </si>
  <si>
    <t>SH Cash</t>
  </si>
  <si>
    <t>Funding Sources</t>
  </si>
  <si>
    <t>Tenant Improv. &amp; Equipment</t>
  </si>
  <si>
    <t>Initial Funding Requirements</t>
  </si>
  <si>
    <t>Funding Requirements</t>
  </si>
  <si>
    <t>Initial</t>
  </si>
  <si>
    <t>Capitalization</t>
  </si>
  <si>
    <t>SH Investment</t>
  </si>
  <si>
    <t>Net Income bef. Distributions</t>
  </si>
  <si>
    <t>Partner (Distributions) Proceeds</t>
  </si>
  <si>
    <t>Medicare / Rates</t>
  </si>
  <si>
    <t xml:space="preserve">Medicaid </t>
  </si>
  <si>
    <t>Add-on Rate</t>
  </si>
  <si>
    <t>Add-on</t>
  </si>
  <si>
    <t>A/P YE Balances</t>
  </si>
  <si>
    <t>Prebld</t>
  </si>
  <si>
    <t>License</t>
  </si>
  <si>
    <t xml:space="preserve">Value Used as </t>
  </si>
  <si>
    <t>Starting A/P</t>
  </si>
  <si>
    <t>Monthly addtn</t>
  </si>
  <si>
    <t>Prebuild Duration (Mo.)</t>
  </si>
  <si>
    <t>Licensing Duration (Mo.)</t>
  </si>
  <si>
    <t>Treatment Revenues</t>
  </si>
  <si>
    <t>Add-on Revenues</t>
  </si>
  <si>
    <t>Forecast</t>
  </si>
  <si>
    <t>Capacity</t>
  </si>
  <si>
    <t>Facility Patient Capacity vs. Forecast</t>
  </si>
  <si>
    <t>Patient Projections Greater than Capacity Limits</t>
  </si>
  <si>
    <t>Medicaid Rates</t>
  </si>
  <si>
    <t>Uses of Capital</t>
  </si>
  <si>
    <t>Sources of Capital</t>
  </si>
  <si>
    <t>SH</t>
  </si>
  <si>
    <t>Partner</t>
  </si>
  <si>
    <t xml:space="preserve">Partner </t>
  </si>
  <si>
    <t>Cash Flow Timing</t>
  </si>
  <si>
    <t xml:space="preserve">Satellite Healthcare </t>
  </si>
  <si>
    <t>1.  Cost of Capital</t>
  </si>
  <si>
    <t>of Capital</t>
  </si>
  <si>
    <t>Partner % Total</t>
  </si>
  <si>
    <t>Contribution</t>
  </si>
  <si>
    <t>Line 4</t>
  </si>
  <si>
    <t>Equity Value</t>
  </si>
  <si>
    <t>Oper. Inc. St. (per treatment)</t>
  </si>
  <si>
    <t>SH Equity Value</t>
  </si>
  <si>
    <t>Partner NPV</t>
  </si>
  <si>
    <t>Funding</t>
  </si>
  <si>
    <t>Licensing Months</t>
  </si>
  <si>
    <t>Y1 Ending</t>
  </si>
  <si>
    <t>Year 1 Inputs and Scenarios for Patients &amp; Treatments</t>
  </si>
  <si>
    <t>TI &amp; Equip.</t>
  </si>
  <si>
    <t>WC</t>
  </si>
  <si>
    <t>Operating Module Worksheets</t>
  </si>
  <si>
    <t>Financing and Valuation Worksheets</t>
  </si>
  <si>
    <t>Bal Sheet QA</t>
  </si>
  <si>
    <t>Detail</t>
  </si>
  <si>
    <t>Model</t>
  </si>
  <si>
    <t>Debt Financing</t>
  </si>
  <si>
    <t>Valuation of Management Income</t>
  </si>
  <si>
    <t>Y</t>
  </si>
  <si>
    <t>TI Dep. Yrs</t>
  </si>
  <si>
    <t>Income Statement Summary</t>
  </si>
  <si>
    <t>Operating Cost Summary</t>
  </si>
  <si>
    <t>Partner Percentage of Initial Cash Funding</t>
  </si>
  <si>
    <t>Operating Financial Summary</t>
  </si>
  <si>
    <t>FUNDING REQUIREMENTS</t>
  </si>
  <si>
    <t>OPERATING PROFITABILITY</t>
  </si>
  <si>
    <t>CASH POSITION AND GENERATION</t>
  </si>
  <si>
    <t>Total Cash Generation (Usage)</t>
  </si>
  <si>
    <t>Partner Cash Distributions</t>
  </si>
  <si>
    <t>($000), Except When Specified</t>
  </si>
  <si>
    <t>IRR Summary</t>
  </si>
  <si>
    <t>Cost of Equity</t>
  </si>
  <si>
    <t>Cost of Debt</t>
  </si>
  <si>
    <t>Terminal Growth Rate</t>
  </si>
  <si>
    <t>Partner % Ownership</t>
  </si>
  <si>
    <t>KEY ASSUMPTIONS AND DRIVERS</t>
  </si>
  <si>
    <t>Total Partnership</t>
  </si>
  <si>
    <t>Ownership in the Facility</t>
  </si>
  <si>
    <t>Initial Investment</t>
  </si>
  <si>
    <t>Debt Assumed</t>
  </si>
  <si>
    <t>Return on Cash Investment</t>
  </si>
  <si>
    <t>Assumption of Debt</t>
  </si>
  <si>
    <t>Investment + Debt</t>
  </si>
  <si>
    <t>ROI - Initial Cash Investment Only</t>
  </si>
  <si>
    <t>ROI - Investment + Debt Assumption</t>
  </si>
  <si>
    <t>3.  ROI Analysis</t>
  </si>
  <si>
    <t>Link to Rev Modules</t>
  </si>
  <si>
    <t>5 Yr Balloon</t>
  </si>
  <si>
    <t>Return on Cash Investment and Assumption of Debt</t>
  </si>
  <si>
    <t>(3)  Monitoring a practice in Oregon may be challenging.</t>
  </si>
  <si>
    <t>Partner Non-Cash Distribution</t>
  </si>
  <si>
    <t>Principal Payment</t>
  </si>
  <si>
    <t>Timing of Clinical Manager Hiring</t>
  </si>
  <si>
    <t>Home Dialysis [Hemo Dialysis] Revenues</t>
  </si>
  <si>
    <t>Liabilities &amp; Equity</t>
  </si>
  <si>
    <t>Beginning Cash</t>
  </si>
  <si>
    <t>Y1 Beg</t>
  </si>
  <si>
    <t>Beginning cash</t>
  </si>
  <si>
    <t>Treatments per Patient</t>
  </si>
  <si>
    <t>Nocturnal Treatments</t>
  </si>
  <si>
    <t>Treatments / Patient</t>
  </si>
  <si>
    <t>Home HD Treatments</t>
  </si>
  <si>
    <t>If Number</t>
  </si>
  <si>
    <t>Initial Supplies &amp; Stock Costs</t>
  </si>
  <si>
    <t>Partner (Distribution) Contribution</t>
  </si>
  <si>
    <t>Straight line3 non cash</t>
  </si>
  <si>
    <t>Equal allocation of income &amp; loss</t>
  </si>
  <si>
    <t>at Prebuild also</t>
  </si>
  <si>
    <t>Actual cash distn</t>
  </si>
  <si>
    <t>Increase</t>
  </si>
  <si>
    <t>Partner Income Allocation</t>
  </si>
  <si>
    <t>SH Income Allocation</t>
  </si>
  <si>
    <t>Payouts</t>
  </si>
  <si>
    <t>Partner Equity</t>
  </si>
  <si>
    <t>SH Equity</t>
  </si>
  <si>
    <t>Min. Cash</t>
  </si>
  <si>
    <t>Neg. Cash</t>
  </si>
  <si>
    <t>Y2 Q1</t>
  </si>
  <si>
    <t>Y2 Q2</t>
  </si>
  <si>
    <t>Y2 Q3</t>
  </si>
  <si>
    <t>Y2 Q4</t>
  </si>
  <si>
    <t>Payback</t>
  </si>
  <si>
    <t>Investment</t>
  </si>
  <si>
    <t>Free Cash Flows</t>
  </si>
  <si>
    <t>Positive</t>
  </si>
  <si>
    <t>Partial Year</t>
  </si>
  <si>
    <t>Payback Calculation</t>
  </si>
  <si>
    <t>ROI (Cash)</t>
  </si>
  <si>
    <t>ROI (C+D)</t>
  </si>
  <si>
    <t>Financial Metrics</t>
  </si>
  <si>
    <t>1.  Valuation of Partner Proceeds</t>
  </si>
  <si>
    <t>2.  ROI Analysis</t>
  </si>
  <si>
    <t>Logical &gt;&gt;&gt;&gt;&gt;&gt;&gt;&gt; To Estimate Payback Year and Partial Year</t>
  </si>
  <si>
    <t>Year #</t>
  </si>
  <si>
    <t>Capital Expenditures and Depreciation</t>
  </si>
  <si>
    <t>Not Used</t>
  </si>
  <si>
    <t>cxmd:bpmFinance</t>
  </si>
  <si>
    <t>cxmd:bpmRevenue_Summary</t>
  </si>
  <si>
    <t>cxmd:bpmLaborAnalysis_Summary</t>
  </si>
  <si>
    <t>Acute Codes</t>
  </si>
  <si>
    <t>Total Company</t>
  </si>
  <si>
    <t>Jan</t>
  </si>
  <si>
    <t>001</t>
  </si>
  <si>
    <t>==============</t>
  </si>
  <si>
    <t>=============</t>
  </si>
  <si>
    <t>============</t>
  </si>
  <si>
    <t>Actuals</t>
  </si>
  <si>
    <t>All QMS Codes</t>
  </si>
  <si>
    <t>Yield</t>
  </si>
  <si>
    <t>bpmScenario</t>
  </si>
  <si>
    <t>7400 - ACUTE HEMODIALYSIS 1:1&lt;= 4 HRS, NORM HRS</t>
  </si>
  <si>
    <t>Total Divisions</t>
  </si>
  <si>
    <t>Feb</t>
  </si>
  <si>
    <t>002H</t>
  </si>
  <si>
    <t>All Territories</t>
  </si>
  <si>
    <t>Texas Acute Hospitals</t>
  </si>
  <si>
    <t>Budget</t>
  </si>
  <si>
    <t>Payer Mix %</t>
  </si>
  <si>
    <t>bpmCompany</t>
  </si>
  <si>
    <t>bpmPeriod</t>
  </si>
  <si>
    <t>7401 - ACUTE HEMODIALYSIS 2:1&lt;= 4 HRS, NORM HRS</t>
  </si>
  <si>
    <t>Total Insurers</t>
  </si>
  <si>
    <t>Mar</t>
  </si>
  <si>
    <t>003</t>
  </si>
  <si>
    <t>Region A</t>
  </si>
  <si>
    <t>San Antonio Acute</t>
  </si>
  <si>
    <t>PPS Base</t>
  </si>
  <si>
    <t>Quantity</t>
  </si>
  <si>
    <t>bpmLocation</t>
  </si>
  <si>
    <t>bpmYear</t>
  </si>
  <si>
    <t>Acute PD</t>
  </si>
  <si>
    <t>Total Paycodes</t>
  </si>
  <si>
    <t>Apr</t>
  </si>
  <si>
    <t>004</t>
  </si>
  <si>
    <t>The North Bay</t>
  </si>
  <si>
    <t>Highland Acute</t>
  </si>
  <si>
    <t>All Factors</t>
  </si>
  <si>
    <t>Unique Patient Count</t>
  </si>
  <si>
    <t>bpmDivision</t>
  </si>
  <si>
    <t>bpmDepartment</t>
  </si>
  <si>
    <t>Balance</t>
  </si>
  <si>
    <t>May</t>
  </si>
  <si>
    <t>005</t>
  </si>
  <si>
    <t>Sacramento / Coast</t>
  </si>
  <si>
    <t>Lodi Acute</t>
  </si>
  <si>
    <t>Statistical Count</t>
  </si>
  <si>
    <t>bpmInsurer</t>
  </si>
  <si>
    <t>TPE</t>
  </si>
  <si>
    <t>Jun</t>
  </si>
  <si>
    <t>002</t>
  </si>
  <si>
    <t>MidStates / East Coast</t>
  </si>
  <si>
    <t>Per Tx Rate</t>
  </si>
  <si>
    <t>ETs</t>
  </si>
  <si>
    <t>bpmBook</t>
  </si>
  <si>
    <t>bpmQMS</t>
  </si>
  <si>
    <t>AcuteNonTreatment</t>
  </si>
  <si>
    <t>Jul</t>
  </si>
  <si>
    <t>Dialysis</t>
  </si>
  <si>
    <t>The Central Valley</t>
  </si>
  <si>
    <t>Adjusted Hourly Rate</t>
  </si>
  <si>
    <t>RDs</t>
  </si>
  <si>
    <t>bpmAccount</t>
  </si>
  <si>
    <t>Aug</t>
  </si>
  <si>
    <t>Region B</t>
  </si>
  <si>
    <t>SWs</t>
  </si>
  <si>
    <t>bpmPayCode</t>
  </si>
  <si>
    <t>Sep</t>
  </si>
  <si>
    <t>SoCal / East Bay</t>
  </si>
  <si>
    <t>bpmRevenue_Msr</t>
  </si>
  <si>
    <t>bpmSalaryGL_Account</t>
  </si>
  <si>
    <t>Oct</t>
  </si>
  <si>
    <t>All Texas</t>
  </si>
  <si>
    <t>bpmLaborAnalysis_msr</t>
  </si>
  <si>
    <t>Nov</t>
  </si>
  <si>
    <t>The South Bay</t>
  </si>
  <si>
    <t>cxmd:bpmMedicareRevenueAnalysis</t>
  </si>
  <si>
    <t>Dec</t>
  </si>
  <si>
    <t>The Peninsula</t>
  </si>
  <si>
    <t>PPS Final</t>
  </si>
  <si>
    <t>Jan YTD</t>
  </si>
  <si>
    <t>bpmAdjustmentType</t>
  </si>
  <si>
    <t>PPS Adjustors</t>
  </si>
  <si>
    <t>Feb YTD</t>
  </si>
  <si>
    <t>SHI</t>
  </si>
  <si>
    <t>bpmQMS_Medicare</t>
  </si>
  <si>
    <t>All QMS Medicare</t>
  </si>
  <si>
    <t>Mar YTD</t>
  </si>
  <si>
    <t>SCS - Central States</t>
  </si>
  <si>
    <t>Non Treatments</t>
  </si>
  <si>
    <t>Apr YTD</t>
  </si>
  <si>
    <t>WBI</t>
  </si>
  <si>
    <t>May YTD</t>
  </si>
  <si>
    <t>TNN</t>
  </si>
  <si>
    <t>Drugs - Others</t>
  </si>
  <si>
    <t>Jun YTD</t>
  </si>
  <si>
    <t>bpmFactorMeasures</t>
  </si>
  <si>
    <t>Dialysis Supplies - Operations</t>
  </si>
  <si>
    <t>Jul YTD</t>
  </si>
  <si>
    <t>California</t>
  </si>
  <si>
    <t>bpmMedicareAnalysis_Msr</t>
  </si>
  <si>
    <t>Other Direct Costs - Operations</t>
  </si>
  <si>
    <t>Aug YTD</t>
  </si>
  <si>
    <t>Alameda</t>
  </si>
  <si>
    <t>Lab Services</t>
  </si>
  <si>
    <t>Sep YTD</t>
  </si>
  <si>
    <t>Solano</t>
  </si>
  <si>
    <t>Oct YTD</t>
  </si>
  <si>
    <t>Marin</t>
  </si>
  <si>
    <t>Nov YTD</t>
  </si>
  <si>
    <t>Sonoma</t>
  </si>
  <si>
    <t>Dec YTD</t>
  </si>
  <si>
    <t>San Mateo</t>
  </si>
  <si>
    <t>San Francisco</t>
  </si>
  <si>
    <t>Santa Clara</t>
  </si>
  <si>
    <t>Santa Cruz</t>
  </si>
  <si>
    <t>Sacramento</t>
  </si>
  <si>
    <t>San Joaquin</t>
  </si>
  <si>
    <t>Merced</t>
  </si>
  <si>
    <t>Stanislaus</t>
  </si>
  <si>
    <t>Tuolumne</t>
  </si>
  <si>
    <t>So CA</t>
  </si>
  <si>
    <t>Non CA</t>
  </si>
  <si>
    <t>Williamson</t>
  </si>
  <si>
    <t>Tippecanoe</t>
  </si>
  <si>
    <t>Frederick</t>
  </si>
  <si>
    <t>Mercer</t>
  </si>
  <si>
    <t>Year:</t>
  </si>
  <si>
    <t>Tenn</t>
  </si>
  <si>
    <t>Month:</t>
  </si>
  <si>
    <t>94026 - Menlo Park</t>
  </si>
  <si>
    <t>Benchmark 1:</t>
  </si>
  <si>
    <t>94063 - Redwood City</t>
  </si>
  <si>
    <t>Benchmark 2:</t>
  </si>
  <si>
    <t>94403 - San Mateo</t>
  </si>
  <si>
    <t>Benchmark 3:</t>
  </si>
  <si>
    <t>95355 - Modesto</t>
  </si>
  <si>
    <t>95370 - Sonora</t>
  </si>
  <si>
    <t>95380 - Turlock</t>
  </si>
  <si>
    <t>Benchmark 1</t>
  </si>
  <si>
    <t>Benchmark 2</t>
  </si>
  <si>
    <t>Benchmark 3</t>
  </si>
  <si>
    <t>95357 - N Modesto</t>
  </si>
  <si>
    <t>60026 - Glenview</t>
  </si>
  <si>
    <t>95307 - Ceres</t>
  </si>
  <si>
    <t>95130 - South Bascom</t>
  </si>
  <si>
    <t>94080 - South San Francisco</t>
  </si>
  <si>
    <t>94014 - Daly City</t>
  </si>
  <si>
    <t>Contract</t>
  </si>
  <si>
    <t>94042 - Mountain View</t>
  </si>
  <si>
    <t>Kaiser</t>
  </si>
  <si>
    <t>95035 - Milpitas</t>
  </si>
  <si>
    <t>Non Medicare</t>
  </si>
  <si>
    <t>95116 - East San Jose</t>
  </si>
  <si>
    <t>95121 - Silver Creek</t>
  </si>
  <si>
    <t>95126 - Stevens Creek</t>
  </si>
  <si>
    <t>95129 - Cupertino</t>
  </si>
  <si>
    <t>95119 - Santa Teresa</t>
  </si>
  <si>
    <t>Mix</t>
  </si>
  <si>
    <t>95123 - South San Jose</t>
  </si>
  <si>
    <t>95492 - Windsor</t>
  </si>
  <si>
    <t>94939 - Larkspur</t>
  </si>
  <si>
    <t>95401 - Santa Rosa</t>
  </si>
  <si>
    <t>94928 - Rohnert Park</t>
  </si>
  <si>
    <t>94589 - Vallejo</t>
  </si>
  <si>
    <t>95240 - Lodi</t>
  </si>
  <si>
    <t>94600 - Oakland Highland</t>
  </si>
  <si>
    <t>94588 - Pleasanton</t>
  </si>
  <si>
    <t>95834 - Sacramento</t>
  </si>
  <si>
    <t>95076 - WB Santa Cruz</t>
  </si>
  <si>
    <t>Tx/Pt/Mo</t>
  </si>
  <si>
    <t>94945 - Novato</t>
  </si>
  <si>
    <t>Per Tx / Month</t>
  </si>
  <si>
    <t>94086 - Sunnyvale</t>
  </si>
  <si>
    <t>94032 - Los Gatos</t>
  </si>
  <si>
    <t>95354 - Central Modesto</t>
  </si>
  <si>
    <t>Medicare/Medicad</t>
  </si>
  <si>
    <t>95348 - Merced</t>
  </si>
  <si>
    <t>95127 - White Road</t>
  </si>
  <si>
    <t>PPS Wage Adj. Base</t>
  </si>
  <si>
    <t>95032 - Los Gatos</t>
  </si>
  <si>
    <t>PPS Add-on</t>
  </si>
  <si>
    <t>94110 - San Francisco</t>
  </si>
  <si>
    <t>94578 - San Leandro</t>
  </si>
  <si>
    <t>Add-on as % of Base</t>
  </si>
  <si>
    <t>95062 - Capitola</t>
  </si>
  <si>
    <t>94609 - Oakland</t>
  </si>
  <si>
    <t>94579 - West San Leandro</t>
  </si>
  <si>
    <t>Costs of Service</t>
  </si>
  <si>
    <t>95219 - Stockton</t>
  </si>
  <si>
    <t>92868 - Orange County</t>
  </si>
  <si>
    <t>95377 - Tracy</t>
  </si>
  <si>
    <t>90280 - Southgate</t>
  </si>
  <si>
    <t>92653 - Laguna Hills</t>
  </si>
  <si>
    <t>95020 - South County</t>
  </si>
  <si>
    <t>95037 - Morgan Hill</t>
  </si>
  <si>
    <t>95211 - University Park</t>
  </si>
  <si>
    <t>78666 - San Marcos</t>
  </si>
  <si>
    <t>Staff Rates</t>
  </si>
  <si>
    <t>78681 - Round Rock</t>
  </si>
  <si>
    <t>94109 - WB San Francisco</t>
  </si>
  <si>
    <t>94590 - WB Vallejo</t>
  </si>
  <si>
    <t>95356 - WB Modesto</t>
  </si>
  <si>
    <t>95407 - WB Santa Rosa</t>
  </si>
  <si>
    <t>95207 - WB Stockton</t>
  </si>
  <si>
    <t>95821 - WB Sacramento</t>
  </si>
  <si>
    <t>94015 - WB Daly City</t>
  </si>
  <si>
    <t>94087 - WB Mountain View</t>
  </si>
  <si>
    <t>94040 - WB Mountain View</t>
  </si>
  <si>
    <t>Hemo 1:1</t>
  </si>
  <si>
    <t>Hemo 2:1</t>
  </si>
  <si>
    <t>PD</t>
  </si>
  <si>
    <t>CCRT</t>
  </si>
  <si>
    <t>Non Treatment</t>
  </si>
  <si>
    <t>Total Acute</t>
  </si>
  <si>
    <t>94538 - WB Fremont</t>
  </si>
  <si>
    <t>38104 - Poplar</t>
  </si>
  <si>
    <t>38116 - Pace Road</t>
  </si>
  <si>
    <t>38119 - South Germantown</t>
  </si>
  <si>
    <t>38125 - Chickasaw Gardens</t>
  </si>
  <si>
    <t>78704 - Southwood</t>
  </si>
  <si>
    <t>78723 - Mueller</t>
  </si>
  <si>
    <t>78640 - Kyle</t>
  </si>
  <si>
    <t>78747 - South Austin</t>
  </si>
  <si>
    <t>78758 - Austin</t>
  </si>
  <si>
    <t>78229 - San Antonio</t>
  </si>
  <si>
    <t>08619 - WB Mercer</t>
  </si>
  <si>
    <t>21702 - WB Frederick</t>
  </si>
  <si>
    <t>47905 - WB Lafayette</t>
  </si>
  <si>
    <t>60077 - WB Evanston</t>
  </si>
  <si>
    <t>77030 - WB Houston</t>
  </si>
  <si>
    <t>95359 - WB North Modesto</t>
  </si>
  <si>
    <t>78744 - WB South Austin</t>
  </si>
  <si>
    <t>38138 - WB Memphis</t>
  </si>
  <si>
    <t>94025 - WB Menlo Park</t>
  </si>
  <si>
    <t>94404 - WB San Mateo</t>
  </si>
  <si>
    <t>94577 - WB San Leandro</t>
  </si>
  <si>
    <t>94608 - WB Emeryville</t>
  </si>
  <si>
    <t>95036 - WB Milpitas</t>
  </si>
  <si>
    <t>95125 - WB San Jose</t>
  </si>
  <si>
    <t>Income aft. Minority Interest</t>
  </si>
  <si>
    <t>Income bef. Minority Interest</t>
  </si>
  <si>
    <t>pcts</t>
  </si>
  <si>
    <t>rns</t>
  </si>
  <si>
    <t>Utilities Costs</t>
  </si>
  <si>
    <t>Outside Services</t>
  </si>
  <si>
    <t>G&amp;A Expenses</t>
  </si>
  <si>
    <t>Sequestration Adjustment</t>
  </si>
  <si>
    <t>Contractual</t>
  </si>
  <si>
    <t>Allowances</t>
  </si>
  <si>
    <t>Acute 3</t>
  </si>
  <si>
    <t>Acute 2</t>
  </si>
  <si>
    <t>Acute 1</t>
  </si>
  <si>
    <t>Acute Yields</t>
  </si>
  <si>
    <t xml:space="preserve"> </t>
  </si>
  <si>
    <t>Acute 3:</t>
  </si>
  <si>
    <t>Acute 2:</t>
  </si>
  <si>
    <t>Acute 1:</t>
  </si>
  <si>
    <t>GL Code</t>
  </si>
  <si>
    <t>Total Locations</t>
  </si>
  <si>
    <t>All Acutes</t>
  </si>
  <si>
    <t>Add-on 
Rate</t>
  </si>
  <si>
    <t>1x1</t>
  </si>
  <si>
    <t>2x1</t>
  </si>
  <si>
    <t>Acute Operating Expenses</t>
  </si>
  <si>
    <t>Acute</t>
  </si>
  <si>
    <t>Acute Cos</t>
  </si>
  <si>
    <t>CoS Inflat'n</t>
  </si>
  <si>
    <t>Synergies</t>
  </si>
  <si>
    <t>Cumulative Payments (Including Investment)</t>
  </si>
  <si>
    <t>Increase in</t>
  </si>
  <si>
    <t>Com'l Mix</t>
  </si>
  <si>
    <t>Commercial Mix Change</t>
  </si>
  <si>
    <t>Year 1 Payor Mix</t>
  </si>
  <si>
    <t>% Com'l</t>
  </si>
  <si>
    <t>% Non-Com'l</t>
  </si>
  <si>
    <t>Non-Commercial</t>
  </si>
  <si>
    <t>Percentage of Total Mix</t>
  </si>
  <si>
    <t xml:space="preserve">Growth in Commercial </t>
  </si>
  <si>
    <t>Management Fees Collected by SH</t>
  </si>
  <si>
    <t>As Percentage of Revenues</t>
  </si>
  <si>
    <t>Valuation of Management Fees to SH</t>
  </si>
  <si>
    <t>Misc. Calculations and Work Papers</t>
  </si>
  <si>
    <t>P&amp;L Summary ($ Mil.)</t>
  </si>
  <si>
    <t xml:space="preserve">Admin Max </t>
  </si>
  <si>
    <t>Max FTE</t>
  </si>
  <si>
    <t>Treatments (Total)</t>
  </si>
  <si>
    <t>SH (Distributions) Proceeds</t>
  </si>
  <si>
    <t>Cash for Investing</t>
  </si>
  <si>
    <t>Debt Proceeds (Payments)</t>
  </si>
  <si>
    <t>Valuation of Cash Flow Distribution to Satellite Healthcare</t>
  </si>
  <si>
    <t>Valuation of Firm to Satellite Healthcare</t>
  </si>
  <si>
    <t>Cost of Capital Analysis</t>
  </si>
  <si>
    <t>Distributions to SH</t>
  </si>
  <si>
    <t>Cash Distributions to Satellite Healthcare</t>
  </si>
  <si>
    <t>Total Cash Proceeds (Payments) bef. SH Distribution</t>
  </si>
  <si>
    <t>Cash Generation (Usage)</t>
  </si>
  <si>
    <t xml:space="preserve">2.  Valuation of Cash Flows </t>
  </si>
  <si>
    <t xml:space="preserve"> TCF</t>
  </si>
  <si>
    <t>Non-Acute Rate</t>
  </si>
  <si>
    <t>Prtnering</t>
  </si>
  <si>
    <t>Cost of Labor Selector</t>
  </si>
  <si>
    <t>TM1 ACUTE labor cost</t>
  </si>
  <si>
    <t>TM1 NON-ACUTE labor cost</t>
  </si>
  <si>
    <t>Final</t>
  </si>
  <si>
    <t>Rate Selected</t>
  </si>
  <si>
    <t>Payor Mix Scenario:</t>
  </si>
  <si>
    <t>Instructions:</t>
  </si>
  <si>
    <t>Selected</t>
  </si>
  <si>
    <t>1.  Cash Generation (Usage)</t>
  </si>
  <si>
    <t>2.  Cash Reserve Rquirements</t>
  </si>
  <si>
    <t>Operating Expenses Used for Cash Reserve</t>
  </si>
  <si>
    <t>Principal Debt Payments</t>
  </si>
  <si>
    <t>Months Cash Required</t>
  </si>
  <si>
    <t>Change in cash excl. Distributions</t>
  </si>
  <si>
    <t>QA - Chng in Cash excl. distn from Apndx 3</t>
  </si>
  <si>
    <t>3. Cash Balance and Distributions</t>
  </si>
  <si>
    <t xml:space="preserve">Change in Cash </t>
  </si>
  <si>
    <t>Cash Available bef. Distributions</t>
  </si>
  <si>
    <t>Distributions</t>
  </si>
  <si>
    <t>Distributions to:</t>
  </si>
  <si>
    <t>Satellite Healthcare @</t>
  </si>
  <si>
    <t>Partners @</t>
  </si>
  <si>
    <t>Financial Commitments</t>
  </si>
  <si>
    <t>Partner(s)</t>
  </si>
  <si>
    <t>Working Capital Requirements</t>
  </si>
  <si>
    <t>Operating cash</t>
  </si>
  <si>
    <t>Investing cash</t>
  </si>
  <si>
    <t>Data from CF Statement</t>
  </si>
  <si>
    <t>error w/ above</t>
  </si>
  <si>
    <t>Cash Generated (Used) for Operation</t>
  </si>
  <si>
    <t>Partners</t>
  </si>
  <si>
    <t>Capital Commitment</t>
  </si>
  <si>
    <t>Income Net of Depreciation</t>
  </si>
  <si>
    <t>Operating Expenses</t>
  </si>
  <si>
    <t>Initial Capital Infusion</t>
  </si>
  <si>
    <t>Total Capital</t>
  </si>
  <si>
    <t xml:space="preserve">  </t>
  </si>
  <si>
    <t>+-</t>
  </si>
  <si>
    <t>Hemo</t>
  </si>
  <si>
    <t>Home</t>
  </si>
  <si>
    <t>Hemo or Home</t>
  </si>
  <si>
    <t>Average Treatments / Month</t>
  </si>
  <si>
    <t>average / Mo.</t>
  </si>
  <si>
    <t>Capital expenditures set to zero when only acute business</t>
  </si>
  <si>
    <t>Error in payor Mix Assumptions</t>
  </si>
  <si>
    <t>Payor Mix Error</t>
  </si>
  <si>
    <t>1.  Valuation of Distributions to SH</t>
  </si>
  <si>
    <t>Valuation of Distributions to Partner</t>
  </si>
  <si>
    <t>Equity Cash Flows to SH</t>
  </si>
  <si>
    <t>='D5'!J37/1000</t>
  </si>
  <si>
    <t>=IF(Q2=TRUE,'D7'!K18/1000,0)</t>
  </si>
  <si>
    <t>Prev.Cumul. Value</t>
  </si>
  <si>
    <t>Total Equity Value</t>
  </si>
  <si>
    <t>Total Value to SH</t>
  </si>
  <si>
    <t>Partner Value</t>
  </si>
  <si>
    <t>Partner Equity Value</t>
  </si>
  <si>
    <t>Mo. Cash on Hand</t>
  </si>
  <si>
    <t>Debt Assumption</t>
  </si>
  <si>
    <t>Cost of Cap. Used</t>
  </si>
  <si>
    <t>SH Cash Distributions</t>
  </si>
  <si>
    <t>Valuation of Partner Distributions</t>
  </si>
  <si>
    <t>CF Adj.</t>
  </si>
  <si>
    <t>Debt Principal Payments</t>
  </si>
  <si>
    <t>Includes:  Direct expenses, all G&amp;A and interest expense</t>
  </si>
  <si>
    <t>Two Condition for Dist'n:</t>
  </si>
  <si>
    <t>(2) Cash Avail. bef. Distribution &gt; Required Cash</t>
  </si>
  <si>
    <t>(1) Cash generation positive</t>
  </si>
  <si>
    <t>Includes interest expense</t>
  </si>
  <si>
    <t>Did not include the initial expenditures as part of cash flow since</t>
  </si>
  <si>
    <t>The initial cash outlay flow through the capital requirement.</t>
  </si>
  <si>
    <t>Total Value of Dist'n to SH</t>
  </si>
  <si>
    <t>Total Debt</t>
  </si>
  <si>
    <t>Standalone PV to SH</t>
  </si>
  <si>
    <t>2.  IRR Analysis</t>
  </si>
  <si>
    <t>Time 0</t>
  </si>
  <si>
    <t>Cash Flows</t>
  </si>
  <si>
    <t>Timing</t>
  </si>
  <si>
    <t>PV Cash Flows</t>
  </si>
  <si>
    <t>Exhibit</t>
  </si>
  <si>
    <t>Solving for IRR</t>
  </si>
  <si>
    <t>SH IRR</t>
  </si>
  <si>
    <t>Partner IRR</t>
  </si>
  <si>
    <t>Disc. Rate</t>
  </si>
  <si>
    <t>Did not add Prebuild &amp; Licensing CF since already included in initial investment</t>
  </si>
  <si>
    <t>Simulator Scenario Inputs</t>
  </si>
  <si>
    <t xml:space="preserve">% Increase in Commercial Medicare </t>
  </si>
  <si>
    <t>Scen. 1</t>
  </si>
  <si>
    <t>Scen. 2</t>
  </si>
  <si>
    <t>Scen. 3</t>
  </si>
  <si>
    <t>Scen. 4</t>
  </si>
  <si>
    <t>Scen. 5</t>
  </si>
  <si>
    <t>Scen. 6</t>
  </si>
  <si>
    <t>Scen. 7</t>
  </si>
  <si>
    <t>Commercial Mix Scenario</t>
  </si>
  <si>
    <t>NPV SH</t>
  </si>
  <si>
    <t>NPV Partner</t>
  </si>
  <si>
    <t>Increase (Decrease) in Commercial Mix</t>
  </si>
  <si>
    <t>NPV of Distributions</t>
  </si>
  <si>
    <t>Years 1-5 SH Distributions</t>
  </si>
  <si>
    <t>Terminal SH Distribution</t>
  </si>
  <si>
    <t>Value to Partner</t>
  </si>
  <si>
    <t>SH Debt Assumed</t>
  </si>
  <si>
    <t>NPV of Proceeds to Satellite Healthcare</t>
  </si>
  <si>
    <t>NPV of Proceeds to Partner</t>
  </si>
  <si>
    <t>Scensitivity and Scenario Analysis</t>
  </si>
  <si>
    <t>Project Notes</t>
  </si>
  <si>
    <t>Term Years</t>
  </si>
  <si>
    <t>=IF('A1'!B83=1,'A3'!$H12*'A3'!I33/2,'A3'!$H12*'A3'!I33) ====</t>
  </si>
  <si>
    <t>% Total Committed Capital</t>
  </si>
  <si>
    <t>Partner Distr.</t>
  </si>
  <si>
    <t>Total Distr.</t>
  </si>
  <si>
    <t>SH Distr.</t>
  </si>
  <si>
    <t>Cash Distributions to Satellite Healthcare and Partners</t>
  </si>
  <si>
    <t>Added a weighted average payor mix…</t>
  </si>
  <si>
    <t>put in management report</t>
  </si>
  <si>
    <t>Staffing Costs</t>
  </si>
  <si>
    <t>Present Value of Cash Flows</t>
  </si>
  <si>
    <t>Weighted Average Payor Mix</t>
  </si>
  <si>
    <t>NETWORK OVERVIEW</t>
  </si>
  <si>
    <t>Region:</t>
  </si>
  <si>
    <t>Population Served:</t>
  </si>
  <si>
    <t>San Jose, Sunnyvale</t>
  </si>
  <si>
    <t>Units in Actual Numbers</t>
  </si>
  <si>
    <t>STAFFING</t>
  </si>
  <si>
    <t>Total FTE</t>
  </si>
  <si>
    <t>http://www.digital-topo-maps.com/county-map/</t>
  </si>
  <si>
    <t>Map source:</t>
  </si>
  <si>
    <t>Abc Health</t>
  </si>
  <si>
    <t>XYZ Centers</t>
  </si>
  <si>
    <t>aaa Health</t>
  </si>
  <si>
    <t>Total Non-Acute</t>
  </si>
  <si>
    <t>WEIGHTED AVERAGE PAYOR MIX</t>
  </si>
  <si>
    <t># Competitors:</t>
  </si>
  <si>
    <t>Apndx 3 - beg cash</t>
  </si>
  <si>
    <t>Apndx 3 - ending cash</t>
  </si>
  <si>
    <t>Change in cash, excl. distn</t>
  </si>
  <si>
    <t>exclueds debt in D1</t>
  </si>
  <si>
    <t>Non-acute</t>
  </si>
  <si>
    <t>Link to update chart</t>
  </si>
  <si>
    <t>Total Trtmnts</t>
  </si>
  <si>
    <t>From Apndx 1</t>
  </si>
  <si>
    <t>Year end Y2</t>
  </si>
  <si>
    <t>QA</t>
  </si>
  <si>
    <t>BBB Network</t>
  </si>
  <si>
    <t>TM1:</t>
  </si>
  <si>
    <t>This sheet has live data links with TM1.</t>
  </si>
  <si>
    <t xml:space="preserve">The values from this sheet are linked to the model.  In tab A1, there is toggle to choose between TM1 Live data link or data inputs copied from TM1. </t>
  </si>
  <si>
    <t>Custom Model</t>
  </si>
  <si>
    <t>Balance Sheet of an Existing Asset</t>
  </si>
  <si>
    <t>Notes receivable</t>
  </si>
  <si>
    <t>Bank Deposits</t>
  </si>
  <si>
    <t>Building</t>
  </si>
  <si>
    <t>Liabilities</t>
  </si>
  <si>
    <t>Accrued Liabilities</t>
  </si>
  <si>
    <t>Short Term Debt</t>
  </si>
  <si>
    <t>Long Term Debt</t>
  </si>
  <si>
    <t>Equities</t>
  </si>
  <si>
    <t>Wages Payable</t>
  </si>
  <si>
    <t>Target Balance Sheet</t>
  </si>
  <si>
    <t>Cash Carried from Acquisition</t>
  </si>
  <si>
    <t xml:space="preserve">Indicate the percentages of each balance sheet </t>
  </si>
  <si>
    <t>Working Cap.</t>
  </si>
  <si>
    <t>In the light yellow cells, index line items</t>
  </si>
  <si>
    <t>to map to Growth Model balance sheet</t>
  </si>
  <si>
    <t>line item flowing as cash into the model</t>
  </si>
  <si>
    <t>Refundble Svc Fees</t>
  </si>
  <si>
    <t>Existing Owners</t>
  </si>
  <si>
    <t>Acquisition Cash</t>
  </si>
  <si>
    <t xml:space="preserve">Comitted Capital </t>
  </si>
  <si>
    <t>All Partners</t>
  </si>
  <si>
    <t>PV</t>
  </si>
  <si>
    <t>Summary Valuation</t>
  </si>
  <si>
    <t>Valuation Summary</t>
  </si>
  <si>
    <t xml:space="preserve">Total Equity NPV </t>
  </si>
  <si>
    <t>Balnce sheet added to initial Balance Sheet</t>
  </si>
  <si>
    <t>Acq. Cash as Source of Cash</t>
  </si>
  <si>
    <t xml:space="preserve">Balance Sheet Added to Starting B/S </t>
  </si>
  <si>
    <t>Acquis.</t>
  </si>
  <si>
    <t>B/S</t>
  </si>
  <si>
    <t>Cash Flowing into Model</t>
  </si>
  <si>
    <t xml:space="preserve">Increase </t>
  </si>
  <si>
    <t>in W/C</t>
  </si>
  <si>
    <t>Yr 1 Incr.</t>
  </si>
  <si>
    <t>in WC</t>
  </si>
  <si>
    <t>Incr. in</t>
  </si>
  <si>
    <t>Per mo.</t>
  </si>
  <si>
    <t>B/S Error</t>
  </si>
  <si>
    <t>starting A/P</t>
  </si>
  <si>
    <t>Acquisition Fixed Assets:</t>
  </si>
  <si>
    <t>Acquisition Fixed Assets Added</t>
  </si>
  <si>
    <t>Acq. Fixed Assets</t>
  </si>
  <si>
    <t>Starting</t>
  </si>
  <si>
    <t>Cash Added to BS</t>
  </si>
  <si>
    <t>Actual Cash at Acquisition</t>
  </si>
  <si>
    <t>Add Calc. Cash from Acq.to cash requirements</t>
  </si>
  <si>
    <t>Net Debt</t>
  </si>
  <si>
    <t>Adjustment</t>
  </si>
  <si>
    <t>Acquis. Cash</t>
  </si>
  <si>
    <t>Dr. Arquilla</t>
  </si>
  <si>
    <t>Dr. Pham</t>
  </si>
  <si>
    <t>InterCompany Account</t>
  </si>
  <si>
    <t>Other CL</t>
  </si>
  <si>
    <t>Equity Fund Balance</t>
  </si>
  <si>
    <t>Retained Earnings-Current Year</t>
  </si>
  <si>
    <t>Salary Inflation:</t>
  </si>
  <si>
    <t>Treatment /Mo.</t>
  </si>
  <si>
    <t>PD Rooms</t>
  </si>
  <si>
    <t>Relocation of Center</t>
  </si>
  <si>
    <t>if yes, then input 1 mo in Q37</t>
  </si>
  <si>
    <t>Is it Relocation of an existing center?</t>
  </si>
  <si>
    <t>No</t>
  </si>
  <si>
    <t>CUBE:</t>
  </si>
  <si>
    <t>001 - Hemodialysis</t>
  </si>
  <si>
    <t>SDC &amp; SCS - Locations</t>
  </si>
  <si>
    <t>Plan</t>
  </si>
  <si>
    <t>002 - PD</t>
  </si>
  <si>
    <t>SCS</t>
  </si>
  <si>
    <t>003 - Home Hemo</t>
  </si>
  <si>
    <t>Qtr 1</t>
  </si>
  <si>
    <t>004 - Acute Dialysis</t>
  </si>
  <si>
    <t>005 - Nocturnal</t>
  </si>
  <si>
    <t>PD &amp; HH</t>
  </si>
  <si>
    <t>2011</t>
  </si>
  <si>
    <t>Hemo &amp; PD</t>
  </si>
  <si>
    <t>Qtr 2</t>
  </si>
  <si>
    <t>Hemo &amp; Acute</t>
  </si>
  <si>
    <t>Account</t>
  </si>
  <si>
    <t>Hemo Acute &amp; Nocturnal</t>
  </si>
  <si>
    <t>CXMD:bpmAccount</t>
  </si>
  <si>
    <t>Qtr 3</t>
  </si>
  <si>
    <t>cxmd:bpmRevenue_Summary_values</t>
  </si>
  <si>
    <t>0002</t>
  </si>
  <si>
    <t>Qtr 4</t>
  </si>
  <si>
    <t>in rows</t>
  </si>
  <si>
    <t>Units per Treatment</t>
  </si>
  <si>
    <t>Hemo &amp; Noc</t>
  </si>
  <si>
    <t>Dollars</t>
  </si>
  <si>
    <t>Per Treatment</t>
  </si>
  <si>
    <t>Net Revenue - Dialysis</t>
  </si>
  <si>
    <t>Patient Count</t>
  </si>
  <si>
    <t>Direct Labor</t>
  </si>
  <si>
    <t>Benefits &amp; Payroll Taxes-Direct Labor</t>
  </si>
  <si>
    <t>Pharmacy Supplies</t>
  </si>
  <si>
    <t>Other Direct Costs</t>
  </si>
  <si>
    <t>Productive Costs</t>
  </si>
  <si>
    <t>Indirect Labor</t>
  </si>
  <si>
    <t>Benefits &amp; Payroll Taxes-Indirect Labor</t>
  </si>
  <si>
    <t>Salaries &amp; Benefits Costs</t>
  </si>
  <si>
    <t>Total Direct Costs</t>
  </si>
  <si>
    <t>Facility, Property Tax &amp; Equip. Costs</t>
  </si>
  <si>
    <t>Office Expenses</t>
  </si>
  <si>
    <t>Travel</t>
  </si>
  <si>
    <t>Insurance</t>
  </si>
  <si>
    <t>Advertising</t>
  </si>
  <si>
    <t>Professional Fees</t>
  </si>
  <si>
    <t>Bad Debt</t>
  </si>
  <si>
    <t>Management Services</t>
  </si>
  <si>
    <t>G&amp;A - Dialysis</t>
  </si>
  <si>
    <t>EBITDA - Dialysis</t>
  </si>
  <si>
    <t>EBITDA %</t>
  </si>
  <si>
    <t xml:space="preserve">                  Depreciation/Amortization</t>
  </si>
  <si>
    <t>Other Income / (Expense)</t>
  </si>
  <si>
    <t>Net Income - Operations</t>
  </si>
  <si>
    <t>Management Service % of Net Rev</t>
  </si>
  <si>
    <t>Bad Debt % of Net Rev</t>
  </si>
  <si>
    <t>Capital Expenditures ($)</t>
  </si>
  <si>
    <t>Total Patient Count</t>
  </si>
  <si>
    <t>Treatments - Hemo Eqv.</t>
  </si>
  <si>
    <t>Actual patient count for M1 calculated based on 2016 M12 patient count. Based on Juston's e-mail dated 01/31/17</t>
  </si>
  <si>
    <t>Partial Period Adjustment</t>
  </si>
  <si>
    <t>EBITDA (Adjusted Mgmt @ 10%)</t>
  </si>
  <si>
    <t>Implied Labor Loaded Rate</t>
  </si>
  <si>
    <t>Rate/tx</t>
  </si>
  <si>
    <t>2018 Monthly Patient Count</t>
  </si>
  <si>
    <t>System:</t>
  </si>
  <si>
    <t>Page:</t>
  </si>
  <si>
    <t>User Date:</t>
  </si>
  <si>
    <t>User ID:</t>
  </si>
  <si>
    <t>KhababaS</t>
  </si>
  <si>
    <t>Fixed Assets Inventory List</t>
  </si>
  <si>
    <t>Ranges:</t>
  </si>
  <si>
    <t>Asset ID:      First to Last</t>
  </si>
  <si>
    <t>Description:   First to Last</t>
  </si>
  <si>
    <t>Asset Type:    First to Last</t>
  </si>
  <si>
    <t>Cost Basis:    First to Last</t>
  </si>
  <si>
    <t>Accum Depr:    First to Last</t>
  </si>
  <si>
    <t>Class ID:      First to Last</t>
  </si>
  <si>
    <t>Net Book:      First to Last</t>
  </si>
  <si>
    <t>Amort Code:    First to Last</t>
  </si>
  <si>
    <t>Property Type: First to Last</t>
  </si>
  <si>
    <t>Pl in Svc Date:First to Last</t>
  </si>
  <si>
    <t>Quantity:      First to Last</t>
  </si>
  <si>
    <t>Acquire Date:  First to Last</t>
  </si>
  <si>
    <t>Sorted By:</t>
  </si>
  <si>
    <t>Asset ID</t>
  </si>
  <si>
    <t>Description</t>
  </si>
  <si>
    <t>Location ID</t>
  </si>
  <si>
    <t>Date Added</t>
  </si>
  <si>
    <t>Qty</t>
  </si>
  <si>
    <t>Cost Basis</t>
  </si>
  <si>
    <t>Accum Depr</t>
  </si>
  <si>
    <t>Net Book</t>
  </si>
  <si>
    <t>-----------------------------------------------------------------------</t>
  </si>
  <si>
    <t>-------------------------------------------------------------</t>
  </si>
  <si>
    <t>------</t>
  </si>
  <si>
    <t>------------------</t>
  </si>
  <si>
    <t>======</t>
  </si>
  <si>
    <t>==================</t>
  </si>
  <si>
    <t>Previous Valuation Forecast</t>
  </si>
  <si>
    <t>Current Forecast</t>
  </si>
  <si>
    <t>TI</t>
  </si>
  <si>
    <t>Build out cost</t>
  </si>
  <si>
    <t>Net asset balance</t>
  </si>
  <si>
    <t>WB Santa Cruz</t>
  </si>
  <si>
    <t>Net Income (Adjusted Mgmt @ 10%)</t>
  </si>
  <si>
    <t>Satellite Dialysis Centers</t>
  </si>
  <si>
    <t>Structure ID:  First to Last</t>
  </si>
  <si>
    <t>Location ID:   01.002.95076 to 01.002.95076</t>
  </si>
  <si>
    <t>Type (Equipment / TI)</t>
  </si>
  <si>
    <t>AUTO DOOR OPENER</t>
  </si>
  <si>
    <t>10016-1</t>
  </si>
  <si>
    <t>01.002.95076</t>
  </si>
  <si>
    <t>INSTALL NEW CIRCUIT</t>
  </si>
  <si>
    <t>10017-1</t>
  </si>
  <si>
    <t>4 FORTRESS WHEAT DIALYSIS</t>
  </si>
  <si>
    <t>10481-1</t>
  </si>
  <si>
    <t>ARMOIRE</t>
  </si>
  <si>
    <t>6102-1</t>
  </si>
  <si>
    <t>SANTA CRUZ PD BUILDOUT</t>
  </si>
  <si>
    <t>8462-1</t>
  </si>
  <si>
    <t>FLUID WARMER</t>
  </si>
  <si>
    <t>8463-1</t>
  </si>
  <si>
    <t>MEDICAL REFRIGERATOR</t>
  </si>
  <si>
    <t>8464-1</t>
  </si>
  <si>
    <t>OVERSIZED WHEELCHAIR</t>
  </si>
  <si>
    <t>8465-1</t>
  </si>
  <si>
    <t>6-DRAWER MEDICAL CARTS</t>
  </si>
  <si>
    <t>8466-1</t>
  </si>
  <si>
    <t>ON-SITE AED</t>
  </si>
  <si>
    <t>8467-1</t>
  </si>
  <si>
    <t>NEC SV8100  - TELEPHONE S</t>
  </si>
  <si>
    <t>8468-1</t>
  </si>
  <si>
    <t>COLOR COPIER</t>
  </si>
  <si>
    <t>8469-1</t>
  </si>
  <si>
    <t>REFRIGERATOR</t>
  </si>
  <si>
    <t>8470-1</t>
  </si>
  <si>
    <t>MINI BLINDS</t>
  </si>
  <si>
    <t>8471-1</t>
  </si>
  <si>
    <t>FURNITURE/WORKSTATIONS</t>
  </si>
  <si>
    <t>8472-1</t>
  </si>
  <si>
    <t>BAXTER 620I FLO-GARD IV P</t>
  </si>
  <si>
    <t>8493-1</t>
  </si>
  <si>
    <t>6 DRAWER MEDICAL CART</t>
  </si>
  <si>
    <t>8646-1</t>
  </si>
  <si>
    <t>DRYWALL REPAIR</t>
  </si>
  <si>
    <t>9074-1</t>
  </si>
  <si>
    <t>SIGNAGE</t>
  </si>
  <si>
    <t>9084-1</t>
  </si>
  <si>
    <t>9170-1</t>
  </si>
  <si>
    <t>FLOORING</t>
  </si>
  <si>
    <t>9561-1</t>
  </si>
  <si>
    <t>INSTALL DRYWALL &amp; DOORS</t>
  </si>
  <si>
    <t>9581-1</t>
  </si>
  <si>
    <t>RELOCATE NURSE CALL</t>
  </si>
  <si>
    <t>9772-1</t>
  </si>
  <si>
    <t>HERORIN PUMP</t>
  </si>
  <si>
    <t>THERMOSTATE SET UP</t>
  </si>
  <si>
    <t>FA Not Capitalized Yet</t>
  </si>
  <si>
    <t>Ptnt Limit</t>
  </si>
  <si>
    <t>Hrs / Trtmnt</t>
  </si>
  <si>
    <t>Station / FTE</t>
  </si>
  <si>
    <t>Antiemetics Adjustment</t>
  </si>
  <si>
    <t>Year 6</t>
  </si>
  <si>
    <t>Year 7</t>
  </si>
  <si>
    <t>Year 8</t>
  </si>
  <si>
    <t>Year 9</t>
  </si>
  <si>
    <t>Year 10</t>
  </si>
  <si>
    <t>Year 11</t>
  </si>
  <si>
    <t>Overall Replacement Capex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</si>
</sst>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3">
    <numFmt numFmtId="5" formatCode="&quot;$&quot;#,##0_);\(&quot;$&quot;#,##0\)"/>
    <numFmt numFmtId="6" formatCode="&quot;$&quot;#,##0_);[Red]\(&quot;$&quot;#,##0\)"/>
    <numFmt numFmtId="7" formatCode="&quot;$&quot;#,##0.00_);\(&quot;$&quot;#,##0.00\)"/>
    <numFmt numFmtId="8" formatCode="&quot;$&quot;#,##0.00_);[Red]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&quot;Year &quot;0_);_(* \(#,##0\);_(* &quot;-&quot;??_);_(@_)"/>
    <numFmt numFmtId="165" formatCode="_(* &quot;Year &quot;0_);_(* &quot;Year -&quot;0_);_(* &quot;-&quot;??_);_(@_)"/>
    <numFmt numFmtId="166" formatCode="[$-409]mmmm\ d\,\ yyyy;@"/>
    <numFmt numFmtId="167" formatCode="&quot;Page &quot;0"/>
    <numFmt numFmtId="168" formatCode="&quot;Mo. &quot;0"/>
    <numFmt numFmtId="169" formatCode="&quot;Mo. -&quot;0"/>
    <numFmt numFmtId="170" formatCode="0.0%"/>
    <numFmt numFmtId="171" formatCode="_(* #,##0_);_(* \(#,##0\);_(* &quot;-&quot;??_);_(@_)"/>
    <numFmt numFmtId="172" formatCode="0.000"/>
    <numFmt numFmtId="173" formatCode="&quot;$&quot;#,##0"/>
    <numFmt numFmtId="174" formatCode="_(* #,##0.0_);_(* \(#,##0.0\);_(* &quot;-&quot;??_);_(@_)"/>
    <numFmt numFmtId="175" formatCode="0.0"/>
    <numFmt numFmtId="176" formatCode="#,##0.0_);\(#,##0.0\)"/>
    <numFmt numFmtId="177" formatCode="&quot;$&quot;#,##0.0_);\(&quot;$&quot;#,##0.0\)"/>
    <numFmt numFmtId="178" formatCode="0.0\ &quot;HPT&quot;"/>
    <numFmt numFmtId="179" formatCode="_(* #,##0.0_);_(* \(#,##0.0\);_(* &quot;-&quot;?_);_(@_)"/>
    <numFmt numFmtId="180" formatCode="&quot;$&quot;#,##0.0"/>
    <numFmt numFmtId="181" formatCode="0\ &quot;Mo.&quot;"/>
    <numFmt numFmtId="182" formatCode="0.0\ &quot;SPF&quot;"/>
    <numFmt numFmtId="183" formatCode="0.0\ &quot;PPF&quot;"/>
    <numFmt numFmtId="184" formatCode="&quot;$&quot;#,##0.0000_);\(&quot;$&quot;#,##0.0000\)"/>
    <numFmt numFmtId="185" formatCode="#,##0.000_);\(#,##0.000\)"/>
    <numFmt numFmtId="186" formatCode="_(* #,##0.0000_);_(* \(#,##0.0000\);_(* &quot;-&quot;??_);_(@_)"/>
    <numFmt numFmtId="187" formatCode="&quot;M&quot;\ 0"/>
    <numFmt numFmtId="188" formatCode="0.0\ \x"/>
    <numFmt numFmtId="189" formatCode="0;_(* \(#,##0.00\);&quot;-&quot;;_(@_)"/>
    <numFmt numFmtId="190" formatCode="0.00;_(* \(#,##0.0000\);&quot;-&quot;;_(@_)"/>
    <numFmt numFmtId="191" formatCode="_(&quot;$&quot;* #,##0_);_(&quot;$&quot;* \(#,##0\);_(&quot;$&quot;* &quot;-&quot;??_);_(@_)"/>
    <numFmt numFmtId="192" formatCode="0.0_);\(0.0\)"/>
    <numFmt numFmtId="193" formatCode="0.0\ &quot;Mo.&quot;"/>
    <numFmt numFmtId="194" formatCode="0.00\ \x"/>
    <numFmt numFmtId="195" formatCode="0_);\(0\)"/>
    <numFmt numFmtId="196" formatCode="[$-409]mmm\-yy;@"/>
    <numFmt numFmtId="197" formatCode="_(* #,##0.000_);_(* \(#,##0.000\);_(* &quot;-&quot;??_);_(@_)"/>
    <numFmt numFmtId="198" formatCode="0.0000%"/>
    <numFmt numFmtId="199" formatCode="0.0000"/>
    <numFmt numFmtId="200" formatCode="mm/dd/yy;@"/>
  </numFmts>
  <fonts count="133" x14ac:knownFonts="1">
    <font>
      <sz val="11"/>
      <color theme="1"/>
      <name val="Times New Roman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Times New Roman"/>
      <family val="2"/>
    </font>
    <font>
      <b/>
      <sz val="11"/>
      <color theme="1"/>
      <name val="Times New Roman"/>
      <family val="1"/>
    </font>
    <font>
      <u val="singleAccounting"/>
      <sz val="11"/>
      <color theme="1"/>
      <name val="Times New Roman"/>
      <family val="2"/>
    </font>
    <font>
      <b/>
      <sz val="11"/>
      <color theme="4" tint="-0.499984740745262"/>
      <name val="Times New Roman"/>
      <family val="1"/>
    </font>
    <font>
      <sz val="11"/>
      <color theme="0"/>
      <name val="Times New Roman"/>
      <family val="2"/>
    </font>
    <font>
      <b/>
      <sz val="32"/>
      <color theme="4" tint="-0.499984740745262"/>
      <name val="Times New Roman"/>
      <family val="2"/>
    </font>
    <font>
      <sz val="32"/>
      <color theme="1"/>
      <name val="Times New Roman"/>
      <family val="2"/>
    </font>
    <font>
      <i/>
      <sz val="20"/>
      <color theme="1"/>
      <name val="Times New Roman"/>
      <family val="1"/>
    </font>
    <font>
      <i/>
      <sz val="20"/>
      <color theme="4" tint="-0.499984740745262"/>
      <name val="Times New Roman"/>
      <family val="1"/>
    </font>
    <font>
      <sz val="11"/>
      <color theme="4" tint="-0.499984740745262"/>
      <name val="Times New Roman"/>
      <family val="2"/>
    </font>
    <font>
      <b/>
      <sz val="40"/>
      <color theme="4" tint="-0.499984740745262"/>
      <name val="Times New Roman"/>
      <family val="2"/>
    </font>
    <font>
      <sz val="30"/>
      <color theme="4" tint="-0.499984740745262"/>
      <name val="Times New Roman"/>
      <family val="1"/>
    </font>
    <font>
      <b/>
      <sz val="12"/>
      <color theme="4" tint="-0.499984740745262"/>
      <name val="Times New Roman"/>
      <family val="1"/>
    </font>
    <font>
      <sz val="12"/>
      <color theme="1"/>
      <name val="Times New Roman"/>
      <family val="1"/>
    </font>
    <font>
      <i/>
      <sz val="26"/>
      <color theme="4" tint="-0.499984740745262"/>
      <name val="Times New Roman"/>
      <family val="1"/>
    </font>
    <font>
      <i/>
      <sz val="26"/>
      <color indexed="62" tint="-0.499984740745262"/>
      <name val="Times New Roman"/>
      <family val="1"/>
    </font>
    <font>
      <b/>
      <sz val="11"/>
      <color theme="4" tint="-0.249977111117893"/>
      <name val="Times New Roman"/>
      <family val="1"/>
    </font>
    <font>
      <i/>
      <sz val="11"/>
      <color theme="1"/>
      <name val="Times New Roman"/>
      <family val="1"/>
    </font>
    <font>
      <b/>
      <sz val="11"/>
      <color theme="0"/>
      <name val="Times New Roman"/>
      <family val="2"/>
    </font>
    <font>
      <sz val="11"/>
      <name val="Times New Roman"/>
      <family val="2"/>
    </font>
    <font>
      <b/>
      <u val="singleAccounting"/>
      <sz val="11"/>
      <color theme="1"/>
      <name val="Times New Roman"/>
      <family val="1"/>
    </font>
    <font>
      <sz val="12"/>
      <color theme="1"/>
      <name val="Times New Roman"/>
      <family val="2"/>
    </font>
    <font>
      <b/>
      <sz val="12"/>
      <color theme="1"/>
      <name val="Times New Roman"/>
      <family val="2"/>
    </font>
    <font>
      <u val="singleAccounting"/>
      <sz val="12"/>
      <color theme="1"/>
      <name val="Times New Roman"/>
      <family val="2"/>
    </font>
    <font>
      <b/>
      <u val="singleAccounting"/>
      <sz val="12"/>
      <color theme="1"/>
      <name val="Times New Roman"/>
      <family val="2"/>
    </font>
    <font>
      <b/>
      <u val="singleAccounting"/>
      <sz val="14"/>
      <color theme="0"/>
      <name val="Times New Roman"/>
      <family val="2"/>
    </font>
    <font>
      <u val="singleAccounting"/>
      <sz val="14"/>
      <color theme="0"/>
      <name val="Times New Roman"/>
      <family val="2"/>
    </font>
    <font>
      <b/>
      <sz val="11"/>
      <color theme="0"/>
      <name val="Times New Roman"/>
      <family val="1"/>
    </font>
    <font>
      <b/>
      <u/>
      <sz val="11"/>
      <color theme="1"/>
      <name val="Times New Roman"/>
      <family val="1"/>
    </font>
    <font>
      <sz val="11"/>
      <color theme="1"/>
      <name val="Webdings"/>
      <family val="1"/>
      <charset val="2"/>
    </font>
    <font>
      <sz val="11"/>
      <color theme="0" tint="-4.9989318521683403E-2"/>
      <name val="Times New Roman"/>
      <family val="2"/>
    </font>
    <font>
      <b/>
      <sz val="11"/>
      <color theme="0" tint="-4.9989318521683403E-2"/>
      <name val="Times New Roman"/>
      <family val="1"/>
    </font>
    <font>
      <u val="singleAccounting"/>
      <sz val="11"/>
      <color theme="1"/>
      <name val="Times New Roman"/>
      <family val="1"/>
    </font>
    <font>
      <u/>
      <sz val="11"/>
      <color theme="1"/>
      <name val="Times New Roman"/>
      <family val="2"/>
    </font>
    <font>
      <sz val="11"/>
      <color theme="1"/>
      <name val="Times New Roman"/>
      <family val="1"/>
    </font>
    <font>
      <b/>
      <sz val="12"/>
      <color theme="0" tint="-0.499984740745262"/>
      <name val="Times New Roman"/>
      <family val="1"/>
    </font>
    <font>
      <b/>
      <sz val="12"/>
      <color theme="1"/>
      <name val="Times New Roman"/>
      <family val="1"/>
    </font>
    <font>
      <b/>
      <u val="singleAccounting"/>
      <sz val="12"/>
      <color theme="1"/>
      <name val="Times New Roman"/>
      <family val="1"/>
    </font>
    <font>
      <u/>
      <sz val="11"/>
      <color theme="0" tint="-4.9989318521683403E-2"/>
      <name val="Times New Roman"/>
      <family val="2"/>
    </font>
    <font>
      <b/>
      <u/>
      <sz val="11"/>
      <color theme="0" tint="-4.9989318521683403E-2"/>
      <name val="Times New Roman"/>
      <family val="1"/>
    </font>
    <font>
      <i/>
      <sz val="11"/>
      <color indexed="8"/>
      <name val="Times New Roman"/>
      <family val="1"/>
    </font>
    <font>
      <sz val="11"/>
      <color indexed="8"/>
      <name val="Times New Roman"/>
      <family val="1"/>
    </font>
    <font>
      <u val="singleAccounting"/>
      <sz val="11"/>
      <color indexed="8"/>
      <name val="Times New Roman"/>
      <family val="1"/>
    </font>
    <font>
      <u/>
      <sz val="11"/>
      <color theme="1"/>
      <name val="Times New Roman"/>
      <family val="1"/>
    </font>
    <font>
      <i/>
      <u/>
      <sz val="11"/>
      <color theme="1"/>
      <name val="Times New Roman"/>
      <family val="1"/>
    </font>
    <font>
      <b/>
      <sz val="12"/>
      <color theme="4" tint="-0.249977111117893"/>
      <name val="Times New Roman"/>
      <family val="1"/>
    </font>
    <font>
      <sz val="11"/>
      <color theme="0"/>
      <name val="Times New Roman"/>
      <family val="1"/>
    </font>
    <font>
      <b/>
      <sz val="12"/>
      <color theme="0"/>
      <name val="Times New Roman"/>
      <family val="1"/>
    </font>
    <font>
      <sz val="11"/>
      <color theme="4" tint="-0.249977111117893"/>
      <name val="Times New Roman"/>
      <family val="1"/>
    </font>
    <font>
      <sz val="11"/>
      <color theme="0" tint="-0.499984740745262"/>
      <name val="Times New Roman"/>
      <family val="2"/>
    </font>
    <font>
      <i/>
      <sz val="11"/>
      <color theme="0" tint="-0.34998626667073579"/>
      <name val="Times New Roman"/>
      <family val="1"/>
    </font>
    <font>
      <sz val="11"/>
      <color theme="0"/>
      <name val="Webdings"/>
      <family val="1"/>
      <charset val="2"/>
    </font>
    <font>
      <b/>
      <sz val="11"/>
      <color indexed="8"/>
      <name val="Times New Roman"/>
      <family val="1"/>
    </font>
    <font>
      <sz val="11"/>
      <color theme="6" tint="0.79998168889431442"/>
      <name val="Times New Roman"/>
      <family val="2"/>
    </font>
    <font>
      <sz val="11"/>
      <color theme="6" tint="0.79998168889431442"/>
      <name val="Times New Roman"/>
      <family val="1"/>
    </font>
    <font>
      <b/>
      <sz val="10"/>
      <color theme="4" tint="-0.249977111117893"/>
      <name val="Times New Roman"/>
      <family val="1"/>
    </font>
    <font>
      <sz val="11"/>
      <name val="Times New Roman"/>
      <family val="1"/>
    </font>
    <font>
      <b/>
      <u val="singleAccounting"/>
      <sz val="11"/>
      <color theme="0"/>
      <name val="Times New Roman"/>
      <family val="1"/>
    </font>
    <font>
      <u val="singleAccounting"/>
      <sz val="11"/>
      <color theme="0"/>
      <name val="Times New Roman"/>
      <family val="1"/>
    </font>
    <font>
      <sz val="9"/>
      <color theme="1"/>
      <name val="Times New Roman"/>
      <family val="2"/>
    </font>
    <font>
      <b/>
      <sz val="11"/>
      <color theme="4" tint="-0.249977111117893"/>
      <name val="Times New Roman"/>
      <family val="2"/>
    </font>
    <font>
      <b/>
      <u/>
      <sz val="11"/>
      <color theme="0"/>
      <name val="Times New Roman"/>
      <family val="2"/>
    </font>
    <font>
      <b/>
      <u/>
      <sz val="11"/>
      <color rgb="FFFF0000"/>
      <name val="Times New Roman"/>
      <family val="1"/>
    </font>
    <font>
      <i/>
      <sz val="11"/>
      <name val="Times New Roman"/>
      <family val="1"/>
    </font>
    <font>
      <i/>
      <sz val="10"/>
      <color theme="1"/>
      <name val="Times New Roman"/>
      <family val="1"/>
    </font>
    <font>
      <i/>
      <sz val="10"/>
      <name val="Times New Roman"/>
      <family val="1"/>
    </font>
    <font>
      <b/>
      <u val="singleAccounting"/>
      <sz val="12"/>
      <color theme="0"/>
      <name val="Times New Roman"/>
      <family val="1"/>
    </font>
    <font>
      <b/>
      <sz val="11"/>
      <color theme="1" tint="0.499984740745262"/>
      <name val="Times New Roman"/>
      <family val="1"/>
    </font>
    <font>
      <b/>
      <i/>
      <sz val="11"/>
      <color theme="1"/>
      <name val="Times New Roman"/>
      <family val="1"/>
    </font>
    <font>
      <b/>
      <sz val="14"/>
      <color rgb="FFFF0000"/>
      <name val="Times New Roman"/>
      <family val="1"/>
    </font>
    <font>
      <b/>
      <sz val="11"/>
      <color rgb="FFFF0000"/>
      <name val="Times New Roman"/>
      <family val="1"/>
    </font>
    <font>
      <b/>
      <u val="singleAccounting"/>
      <sz val="11"/>
      <color theme="1"/>
      <name val="Times New Roman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Times New Roman"/>
      <family val="2"/>
    </font>
    <font>
      <u val="singleAccounting"/>
      <sz val="11"/>
      <color theme="0"/>
      <name val="Times New Roman"/>
      <family val="2"/>
    </font>
    <font>
      <b/>
      <sz val="12"/>
      <color rgb="FFFF0000"/>
      <name val="Times New Roman"/>
      <family val="1"/>
    </font>
    <font>
      <b/>
      <sz val="11"/>
      <color theme="6" tint="0.79998168889431442"/>
      <name val="Times New Roman"/>
      <family val="1"/>
    </font>
    <font>
      <b/>
      <u val="singleAccounting"/>
      <sz val="11"/>
      <color theme="4" tint="-0.249977111117893"/>
      <name val="Times New Roman"/>
      <family val="2"/>
    </font>
    <font>
      <b/>
      <i/>
      <u val="singleAccounting"/>
      <sz val="10"/>
      <color theme="1"/>
      <name val="Times New Roman"/>
      <family val="1"/>
    </font>
    <font>
      <sz val="11"/>
      <color rgb="FFFF0000"/>
      <name val="Times New Roman"/>
      <family val="2"/>
    </font>
    <font>
      <b/>
      <sz val="14"/>
      <color theme="1"/>
      <name val="Times New Roman"/>
      <family val="2"/>
    </font>
    <font>
      <sz val="14"/>
      <color theme="1"/>
      <name val="Times New Roman"/>
      <family val="2"/>
    </font>
    <font>
      <u/>
      <sz val="11"/>
      <color theme="0"/>
      <name val="Times New Roman"/>
      <family val="2"/>
    </font>
    <font>
      <sz val="10"/>
      <color theme="1"/>
      <name val="Times New Roman"/>
      <family val="2"/>
    </font>
    <font>
      <sz val="11"/>
      <name val="Webdings"/>
      <family val="1"/>
      <charset val="2"/>
    </font>
    <font>
      <b/>
      <sz val="11"/>
      <color theme="9" tint="0.39997558519241921"/>
      <name val="Times New Roman"/>
      <family val="1"/>
    </font>
    <font>
      <b/>
      <sz val="11"/>
      <color rgb="FF0000FF"/>
      <name val="Times New Roman"/>
      <family val="1"/>
    </font>
    <font>
      <b/>
      <i/>
      <sz val="11"/>
      <color rgb="FF0000FF"/>
      <name val="Times New Roman"/>
      <family val="1"/>
    </font>
    <font>
      <b/>
      <sz val="12"/>
      <color rgb="FF0000FF"/>
      <name val="Times New Roman"/>
      <family val="1"/>
    </font>
    <font>
      <sz val="10"/>
      <color rgb="FF0000FF"/>
      <name val="Times New Roman"/>
      <family val="1"/>
    </font>
    <font>
      <sz val="10"/>
      <color theme="4" tint="-0.249977111117893"/>
      <name val="Times New Roman"/>
      <family val="1"/>
    </font>
    <font>
      <sz val="11"/>
      <color rgb="FF0000FF"/>
      <name val="Times New Roman"/>
      <family val="1"/>
    </font>
    <font>
      <sz val="8"/>
      <color theme="1"/>
      <name val="Times New Roman"/>
      <family val="2"/>
    </font>
    <font>
      <sz val="8"/>
      <name val="Times New Roman"/>
      <family val="2"/>
    </font>
    <font>
      <i/>
      <sz val="11"/>
      <color theme="1"/>
      <name val="Times New Roman"/>
      <family val="2"/>
    </font>
    <font>
      <sz val="11"/>
      <color rgb="FF0000FF"/>
      <name val="Times New Roman"/>
      <family val="2"/>
    </font>
    <font>
      <u/>
      <sz val="11"/>
      <color rgb="FF0000FF"/>
      <name val="Times New Roman"/>
      <family val="1"/>
    </font>
    <font>
      <sz val="11"/>
      <color rgb="FFFFFFFF"/>
      <name val="Times New Roman"/>
      <family val="2"/>
    </font>
    <font>
      <sz val="11"/>
      <color theme="0" tint="-0.249977111117893"/>
      <name val="Times New Roman"/>
      <family val="2"/>
    </font>
    <font>
      <sz val="10"/>
      <color theme="1"/>
      <name val="Times New Roman"/>
      <family val="1"/>
    </font>
    <font>
      <u/>
      <sz val="11"/>
      <color theme="10"/>
      <name val="Times New Roman"/>
      <family val="2"/>
    </font>
    <font>
      <b/>
      <sz val="16"/>
      <color rgb="FFC00000"/>
      <name val="Times New Roman"/>
      <family val="1"/>
    </font>
    <font>
      <sz val="8"/>
      <color rgb="FF000000"/>
      <name val="Segoe UI"/>
      <family val="2"/>
    </font>
    <font>
      <b/>
      <sz val="16"/>
      <color theme="1"/>
      <name val="Times New Roman"/>
      <family val="1"/>
    </font>
    <font>
      <i/>
      <sz val="9"/>
      <color theme="1"/>
      <name val="Times New Roman"/>
      <family val="1"/>
    </font>
    <font>
      <b/>
      <sz val="12"/>
      <color theme="0" tint="-4.9989318521683403E-2"/>
      <name val="Times New Roman"/>
      <family val="1"/>
    </font>
    <font>
      <sz val="10"/>
      <color indexed="8"/>
      <name val="Arial"/>
      <family val="2"/>
    </font>
    <font>
      <sz val="11"/>
      <color theme="1"/>
      <name val="Verdana"/>
      <family val="2"/>
    </font>
    <font>
      <sz val="9"/>
      <color theme="1"/>
      <name val="Verdana"/>
      <family val="2"/>
    </font>
    <font>
      <b/>
      <sz val="11"/>
      <color theme="1"/>
      <name val="Verdana"/>
      <family val="2"/>
    </font>
    <font>
      <b/>
      <sz val="10"/>
      <color theme="1"/>
      <name val="Verdana"/>
      <family val="2"/>
    </font>
    <font>
      <sz val="10"/>
      <color theme="1"/>
      <name val="Verdana"/>
      <family val="2"/>
    </font>
    <font>
      <b/>
      <sz val="11"/>
      <name val="Verdana"/>
      <family val="2"/>
    </font>
    <font>
      <b/>
      <sz val="11"/>
      <color rgb="FFFF0000"/>
      <name val="Verdana"/>
      <family val="2"/>
    </font>
    <font>
      <b/>
      <sz val="8.5"/>
      <color rgb="FFFF0000"/>
      <name val="Verdana"/>
      <family val="2"/>
    </font>
    <font>
      <b/>
      <sz val="9.5"/>
      <color theme="1"/>
      <name val="Verdana"/>
      <family val="2"/>
    </font>
    <font>
      <b/>
      <sz val="12"/>
      <color theme="1"/>
      <name val="Calibri"/>
      <family val="2"/>
      <scheme val="minor"/>
    </font>
    <font>
      <b/>
      <i/>
      <sz val="10"/>
      <color theme="1"/>
      <name val="Verdana"/>
      <family val="2"/>
    </font>
    <font>
      <sz val="11"/>
      <color rgb="FF0070C0"/>
      <name val="Times New Roman"/>
      <family val="2"/>
    </font>
    <font>
      <sz val="8.85"/>
      <color rgb="FF000000"/>
      <name val="Arial"/>
      <family val="2"/>
    </font>
    <font>
      <b/>
      <sz val="11"/>
      <name val="Times New Roman"/>
      <family val="1"/>
    </font>
    <font>
      <sz val="11"/>
      <color indexed="17"/>
      <name val="Times New Roman"/>
      <family val="2"/>
    </font>
    <font>
      <sz val="11"/>
      <color indexed="10"/>
      <name val="Times New Roman"/>
      <family val="2"/>
    </font>
    <font>
      <sz val="11"/>
      <color rgb="FF008000"/>
      <name val="Times New Roman"/>
      <family val="2"/>
    </font>
    <font>
      <b/>
      <sz val="11"/>
      <color theme="1"/>
      <name val="Calibri"/>
      <family val="2"/>
      <scheme val="minor"/>
    </font>
  </fonts>
  <fills count="25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/>
        <bgColor indexed="11"/>
      </patternFill>
    </fill>
    <fill>
      <patternFill patternType="solid">
        <fgColor theme="9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0000"/>
        <bgColor indexed="64"/>
      </patternFill>
    </fill>
  </fills>
  <borders count="87">
    <border>
      <left/>
      <right/>
      <top/>
      <bottom/>
      <diagonal/>
    </border>
    <border>
      <left/>
      <right/>
      <top/>
      <bottom style="thick">
        <color theme="8" tint="-0.499984740745262"/>
      </bottom>
      <diagonal/>
    </border>
    <border>
      <left/>
      <right/>
      <top style="thick">
        <color theme="8" tint="-0.499984740745262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 style="medium">
        <color indexed="64"/>
      </top>
      <bottom/>
      <diagonal/>
    </border>
    <border>
      <left/>
      <right style="thick">
        <color indexed="64"/>
      </right>
      <top style="medium">
        <color indexed="64"/>
      </top>
      <bottom/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medium">
        <color indexed="64"/>
      </bottom>
      <diagonal/>
    </border>
    <border>
      <left/>
      <right style="thick">
        <color indexed="64"/>
      </right>
      <top/>
      <bottom style="medium">
        <color indexed="64"/>
      </bottom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medium">
        <color indexed="64"/>
      </right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ck">
        <color theme="8" tint="-0.499984740745262"/>
      </top>
      <bottom/>
      <diagonal/>
    </border>
    <border>
      <left style="thin">
        <color indexed="64"/>
      </left>
      <right/>
      <top/>
      <bottom style="thick">
        <color theme="8" tint="-0.499984740745262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ck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theme="1"/>
      </bottom>
      <diagonal/>
    </border>
    <border>
      <left/>
      <right/>
      <top/>
      <bottom style="thin">
        <color theme="1"/>
      </bottom>
      <diagonal/>
    </border>
    <border>
      <left/>
      <right style="medium">
        <color theme="0" tint="-0.24994659260841701"/>
      </right>
      <top/>
      <bottom/>
      <diagonal/>
    </border>
    <border>
      <left/>
      <right/>
      <top/>
      <bottom style="medium">
        <color theme="0" tint="-0.24994659260841701"/>
      </bottom>
      <diagonal/>
    </border>
    <border>
      <left/>
      <right style="medium">
        <color theme="0" tint="-0.24994659260841701"/>
      </right>
      <top/>
      <bottom style="medium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</borders>
  <cellStyleXfs count="20">
    <xf numFmtId="0" fontId="0" fillId="0" borderId="0"/>
    <xf numFmtId="43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0" fontId="108" fillId="0" borderId="0" applyNumberFormat="0" applyFill="0" applyBorder="0" applyAlignment="0" applyProtection="0"/>
    <xf numFmtId="0" fontId="114" fillId="0" borderId="0" applyNumberFormat="0" applyBorder="0" applyAlignment="0"/>
    <xf numFmtId="0" fontId="6" fillId="0" borderId="0"/>
    <xf numFmtId="43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127" fillId="0" borderId="0" applyAlignment="0"/>
    <xf numFmtId="0" fontId="5" fillId="0" borderId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4" fillId="0" borderId="0"/>
    <xf numFmtId="43" fontId="3" fillId="0" borderId="0" applyFont="0" applyFill="0" applyBorder="0" applyAlignment="0" applyProtection="0"/>
    <xf numFmtId="0" fontId="3" fillId="0" borderId="0"/>
    <xf numFmtId="0" fontId="2" fillId="0" borderId="0"/>
    <xf numFmtId="0" fontId="1" fillId="0" borderId="0"/>
    <xf numFmtId="0" fontId="7" fillId="0" borderId="0"/>
    <xf numFmtId="43" fontId="7" fillId="0" borderId="0" applyFont="0" applyFill="0" applyBorder="0" applyAlignment="0" applyProtection="0"/>
  </cellStyleXfs>
  <cellXfs count="1734">
    <xf numFmtId="0" fontId="0" fillId="0" borderId="0" xfId="0"/>
    <xf numFmtId="0" fontId="0" fillId="0" borderId="0" xfId="0" applyProtection="1">
      <protection locked="0" hidden="1"/>
    </xf>
    <xf numFmtId="0" fontId="0" fillId="0" borderId="0" xfId="0" quotePrefix="1" applyProtection="1">
      <protection locked="0" hidden="1"/>
    </xf>
    <xf numFmtId="0" fontId="0" fillId="0" borderId="0" xfId="0" quotePrefix="1" applyAlignment="1" applyProtection="1">
      <alignment horizontal="center"/>
      <protection locked="0" hidden="1"/>
    </xf>
    <xf numFmtId="0" fontId="0" fillId="0" borderId="0" xfId="0" applyAlignment="1" applyProtection="1">
      <alignment horizontal="right"/>
      <protection locked="0" hidden="1"/>
    </xf>
    <xf numFmtId="0" fontId="77" fillId="0" borderId="0" xfId="0" applyFont="1" applyAlignment="1" applyProtection="1">
      <alignment horizontal="right"/>
      <protection locked="0" hidden="1"/>
    </xf>
    <xf numFmtId="0" fontId="8" fillId="8" borderId="34" xfId="0" applyFont="1" applyFill="1" applyBorder="1" applyAlignment="1" applyProtection="1">
      <alignment horizontal="center" vertical="center"/>
      <protection locked="0" hidden="1"/>
    </xf>
    <xf numFmtId="0" fontId="0" fillId="0" borderId="34" xfId="0" applyBorder="1" applyProtection="1">
      <protection locked="0" hidden="1"/>
    </xf>
    <xf numFmtId="0" fontId="8" fillId="6" borderId="43" xfId="0" applyFont="1" applyFill="1" applyBorder="1" applyAlignment="1" applyProtection="1">
      <alignment horizontal="right" vertical="center" wrapText="1"/>
      <protection locked="0" hidden="1"/>
    </xf>
    <xf numFmtId="0" fontId="8" fillId="6" borderId="3" xfId="0" applyFont="1" applyFill="1" applyBorder="1" applyAlignment="1" applyProtection="1">
      <alignment horizontal="right" vertical="center" wrapText="1"/>
      <protection locked="0" hidden="1"/>
    </xf>
    <xf numFmtId="0" fontId="8" fillId="6" borderId="35" xfId="0" applyFont="1" applyFill="1" applyBorder="1" applyAlignment="1" applyProtection="1">
      <alignment horizontal="right" vertical="center" wrapText="1"/>
      <protection locked="0" hidden="1"/>
    </xf>
    <xf numFmtId="0" fontId="8" fillId="0" borderId="37" xfId="0" applyFont="1" applyBorder="1" applyAlignment="1" applyProtection="1">
      <alignment horizontal="right"/>
      <protection locked="0" hidden="1"/>
    </xf>
    <xf numFmtId="171" fontId="0" fillId="0" borderId="14" xfId="1" applyNumberFormat="1" applyFont="1" applyBorder="1" applyProtection="1">
      <protection locked="0" hidden="1"/>
    </xf>
    <xf numFmtId="171" fontId="0" fillId="0" borderId="0" xfId="1" applyNumberFormat="1" applyFont="1" applyProtection="1">
      <protection locked="0" hidden="1"/>
    </xf>
    <xf numFmtId="171" fontId="0" fillId="0" borderId="15" xfId="1" applyNumberFormat="1" applyFont="1" applyBorder="1" applyProtection="1">
      <protection locked="0" hidden="1"/>
    </xf>
    <xf numFmtId="0" fontId="8" fillId="0" borderId="38" xfId="0" applyFont="1" applyBorder="1" applyAlignment="1" applyProtection="1">
      <alignment horizontal="right"/>
      <protection locked="0" hidden="1"/>
    </xf>
    <xf numFmtId="171" fontId="8" fillId="0" borderId="42" xfId="1" applyNumberFormat="1" applyFont="1" applyBorder="1" applyProtection="1">
      <protection locked="0" hidden="1"/>
    </xf>
    <xf numFmtId="171" fontId="8" fillId="0" borderId="39" xfId="1" applyNumberFormat="1" applyFont="1" applyBorder="1" applyProtection="1">
      <protection locked="0" hidden="1"/>
    </xf>
    <xf numFmtId="171" fontId="8" fillId="0" borderId="41" xfId="1" applyNumberFormat="1" applyFont="1" applyBorder="1" applyProtection="1">
      <protection locked="0" hidden="1"/>
    </xf>
    <xf numFmtId="0" fontId="8" fillId="0" borderId="36" xfId="0" applyFont="1" applyBorder="1" applyAlignment="1" applyProtection="1">
      <alignment horizontal="right"/>
      <protection locked="0" hidden="1"/>
    </xf>
    <xf numFmtId="170" fontId="0" fillId="0" borderId="12" xfId="2" applyNumberFormat="1" applyFont="1" applyBorder="1" applyProtection="1">
      <protection locked="0" hidden="1"/>
    </xf>
    <xf numFmtId="170" fontId="0" fillId="0" borderId="13" xfId="2" applyNumberFormat="1" applyFont="1" applyBorder="1" applyProtection="1">
      <protection locked="0" hidden="1"/>
    </xf>
    <xf numFmtId="170" fontId="0" fillId="0" borderId="40" xfId="2" applyNumberFormat="1" applyFont="1" applyBorder="1" applyProtection="1">
      <protection locked="0" hidden="1"/>
    </xf>
    <xf numFmtId="0" fontId="0" fillId="0" borderId="13" xfId="0" applyBorder="1" applyProtection="1">
      <protection locked="0" hidden="1"/>
    </xf>
    <xf numFmtId="170" fontId="0" fillId="0" borderId="14" xfId="2" applyNumberFormat="1" applyFont="1" applyBorder="1" applyProtection="1">
      <protection locked="0" hidden="1"/>
    </xf>
    <xf numFmtId="170" fontId="0" fillId="0" borderId="0" xfId="2" applyNumberFormat="1" applyFont="1" applyProtection="1">
      <protection locked="0" hidden="1"/>
    </xf>
    <xf numFmtId="170" fontId="0" fillId="0" borderId="15" xfId="2" applyNumberFormat="1" applyFont="1" applyBorder="1" applyProtection="1">
      <protection locked="0" hidden="1"/>
    </xf>
    <xf numFmtId="9" fontId="8" fillId="0" borderId="42" xfId="2" applyFont="1" applyBorder="1" applyProtection="1">
      <protection locked="0" hidden="1"/>
    </xf>
    <xf numFmtId="9" fontId="8" fillId="0" borderId="39" xfId="2" applyFont="1" applyBorder="1" applyProtection="1">
      <protection locked="0" hidden="1"/>
    </xf>
    <xf numFmtId="9" fontId="8" fillId="0" borderId="41" xfId="2" applyFont="1" applyBorder="1" applyProtection="1">
      <protection locked="0" hidden="1"/>
    </xf>
    <xf numFmtId="9" fontId="8" fillId="0" borderId="39" xfId="0" applyNumberFormat="1" applyFont="1" applyBorder="1" applyProtection="1">
      <protection locked="0" hidden="1"/>
    </xf>
    <xf numFmtId="0" fontId="8" fillId="0" borderId="43" xfId="0" applyFont="1" applyBorder="1" applyAlignment="1" applyProtection="1">
      <alignment horizontal="right"/>
      <protection locked="0" hidden="1"/>
    </xf>
    <xf numFmtId="174" fontId="8" fillId="0" borderId="3" xfId="1" applyNumberFormat="1" applyFont="1" applyBorder="1" applyProtection="1">
      <protection locked="0" hidden="1"/>
    </xf>
    <xf numFmtId="174" fontId="8" fillId="0" borderId="35" xfId="1" applyNumberFormat="1" applyFont="1" applyBorder="1" applyProtection="1">
      <protection locked="0" hidden="1"/>
    </xf>
    <xf numFmtId="0" fontId="8" fillId="0" borderId="3" xfId="0" applyFont="1" applyBorder="1" applyProtection="1">
      <protection locked="0" hidden="1"/>
    </xf>
    <xf numFmtId="174" fontId="8" fillId="0" borderId="43" xfId="1" applyNumberFormat="1" applyFont="1" applyBorder="1" applyProtection="1">
      <protection locked="0" hidden="1"/>
    </xf>
    <xf numFmtId="174" fontId="0" fillId="0" borderId="0" xfId="1" applyNumberFormat="1" applyFont="1" applyProtection="1">
      <protection locked="0" hidden="1"/>
    </xf>
    <xf numFmtId="171" fontId="0" fillId="0" borderId="12" xfId="1" applyNumberFormat="1" applyFont="1" applyBorder="1" applyProtection="1">
      <protection locked="0" hidden="1"/>
    </xf>
    <xf numFmtId="171" fontId="0" fillId="0" borderId="13" xfId="1" applyNumberFormat="1" applyFont="1" applyBorder="1" applyProtection="1">
      <protection locked="0" hidden="1"/>
    </xf>
    <xf numFmtId="171" fontId="0" fillId="0" borderId="40" xfId="1" applyNumberFormat="1" applyFont="1" applyBorder="1" applyProtection="1">
      <protection locked="0" hidden="1"/>
    </xf>
    <xf numFmtId="1" fontId="0" fillId="0" borderId="14" xfId="0" applyNumberFormat="1" applyBorder="1" applyProtection="1">
      <protection locked="0" hidden="1"/>
    </xf>
    <xf numFmtId="1" fontId="0" fillId="0" borderId="0" xfId="0" applyNumberFormat="1" applyProtection="1">
      <protection locked="0" hidden="1"/>
    </xf>
    <xf numFmtId="1" fontId="0" fillId="0" borderId="15" xfId="0" applyNumberFormat="1" applyBorder="1" applyProtection="1">
      <protection locked="0" hidden="1"/>
    </xf>
    <xf numFmtId="170" fontId="0" fillId="0" borderId="42" xfId="2" applyNumberFormat="1" applyFont="1" applyBorder="1" applyProtection="1">
      <protection locked="0" hidden="1"/>
    </xf>
    <xf numFmtId="170" fontId="0" fillId="0" borderId="39" xfId="2" applyNumberFormat="1" applyFont="1" applyBorder="1" applyProtection="1">
      <protection locked="0" hidden="1"/>
    </xf>
    <xf numFmtId="170" fontId="0" fillId="0" borderId="41" xfId="2" applyNumberFormat="1" applyFont="1" applyBorder="1" applyProtection="1">
      <protection locked="0" hidden="1"/>
    </xf>
    <xf numFmtId="0" fontId="0" fillId="0" borderId="39" xfId="0" applyBorder="1" applyProtection="1">
      <protection locked="0" hidden="1"/>
    </xf>
    <xf numFmtId="174" fontId="0" fillId="0" borderId="12" xfId="1" applyNumberFormat="1" applyFont="1" applyBorder="1" applyProtection="1">
      <protection locked="0" hidden="1"/>
    </xf>
    <xf numFmtId="174" fontId="0" fillId="0" borderId="13" xfId="1" applyNumberFormat="1" applyFont="1" applyBorder="1" applyProtection="1">
      <protection locked="0" hidden="1"/>
    </xf>
    <xf numFmtId="174" fontId="0" fillId="0" borderId="40" xfId="1" applyNumberFormat="1" applyFont="1" applyBorder="1" applyProtection="1">
      <protection locked="0" hidden="1"/>
    </xf>
    <xf numFmtId="174" fontId="0" fillId="0" borderId="14" xfId="1" applyNumberFormat="1" applyFont="1" applyBorder="1" applyProtection="1">
      <protection locked="0" hidden="1"/>
    </xf>
    <xf numFmtId="174" fontId="0" fillId="0" borderId="15" xfId="1" applyNumberFormat="1" applyFont="1" applyBorder="1" applyProtection="1">
      <protection locked="0" hidden="1"/>
    </xf>
    <xf numFmtId="174" fontId="0" fillId="0" borderId="42" xfId="1" applyNumberFormat="1" applyFont="1" applyBorder="1" applyProtection="1">
      <protection locked="0" hidden="1"/>
    </xf>
    <xf numFmtId="174" fontId="0" fillId="0" borderId="39" xfId="1" applyNumberFormat="1" applyFont="1" applyBorder="1" applyProtection="1">
      <protection locked="0" hidden="1"/>
    </xf>
    <xf numFmtId="174" fontId="0" fillId="0" borderId="41" xfId="1" applyNumberFormat="1" applyFont="1" applyBorder="1" applyProtection="1">
      <protection locked="0" hidden="1"/>
    </xf>
    <xf numFmtId="0" fontId="0" fillId="0" borderId="34" xfId="0" applyBorder="1" applyAlignment="1" applyProtection="1">
      <alignment horizontal="right"/>
      <protection locked="0" hidden="1"/>
    </xf>
    <xf numFmtId="175" fontId="0" fillId="0" borderId="0" xfId="0" applyNumberFormat="1" applyProtection="1">
      <protection locked="0" hidden="1"/>
    </xf>
    <xf numFmtId="175" fontId="0" fillId="0" borderId="15" xfId="0" applyNumberFormat="1" applyBorder="1" applyProtection="1">
      <protection locked="0" hidden="1"/>
    </xf>
    <xf numFmtId="0" fontId="8" fillId="6" borderId="34" xfId="0" applyFont="1" applyFill="1" applyBorder="1" applyAlignment="1" applyProtection="1">
      <alignment horizontal="right"/>
      <protection locked="0" hidden="1"/>
    </xf>
    <xf numFmtId="175" fontId="0" fillId="6" borderId="3" xfId="0" applyNumberFormat="1" applyFill="1" applyBorder="1" applyProtection="1">
      <protection locked="0" hidden="1"/>
    </xf>
    <xf numFmtId="175" fontId="0" fillId="6" borderId="35" xfId="0" applyNumberFormat="1" applyFill="1" applyBorder="1" applyProtection="1">
      <protection locked="0" hidden="1"/>
    </xf>
    <xf numFmtId="0" fontId="87" fillId="0" borderId="0" xfId="0" applyFont="1" applyProtection="1">
      <protection locked="0" hidden="1"/>
    </xf>
    <xf numFmtId="0" fontId="8" fillId="8" borderId="34" xfId="0" applyFont="1" applyFill="1" applyBorder="1" applyAlignment="1" applyProtection="1">
      <alignment horizontal="center"/>
      <protection locked="0" hidden="1"/>
    </xf>
    <xf numFmtId="0" fontId="8" fillId="0" borderId="43" xfId="0" applyFont="1" applyBorder="1" applyProtection="1">
      <protection locked="0" hidden="1"/>
    </xf>
    <xf numFmtId="0" fontId="8" fillId="0" borderId="3" xfId="0" applyFont="1" applyBorder="1" applyAlignment="1" applyProtection="1">
      <alignment horizontal="right" vertical="center"/>
      <protection locked="0" hidden="1"/>
    </xf>
    <xf numFmtId="0" fontId="8" fillId="0" borderId="35" xfId="0" applyFont="1" applyBorder="1" applyAlignment="1" applyProtection="1">
      <alignment horizontal="right" vertical="center"/>
      <protection locked="0" hidden="1"/>
    </xf>
    <xf numFmtId="0" fontId="8" fillId="0" borderId="34" xfId="0" applyFont="1" applyBorder="1" applyAlignment="1" applyProtection="1">
      <alignment horizontal="right" vertical="center"/>
      <protection locked="0" hidden="1"/>
    </xf>
    <xf numFmtId="191" fontId="0" fillId="0" borderId="3" xfId="3" applyNumberFormat="1" applyFont="1" applyBorder="1" applyProtection="1">
      <protection locked="0" hidden="1"/>
    </xf>
    <xf numFmtId="191" fontId="0" fillId="0" borderId="35" xfId="3" applyNumberFormat="1" applyFont="1" applyBorder="1" applyProtection="1">
      <protection locked="0" hidden="1"/>
    </xf>
    <xf numFmtId="171" fontId="8" fillId="0" borderId="36" xfId="1" applyNumberFormat="1" applyFont="1" applyBorder="1" applyAlignment="1" applyProtection="1">
      <alignment horizontal="right"/>
      <protection locked="0" hidden="1"/>
    </xf>
    <xf numFmtId="171" fontId="8" fillId="0" borderId="37" xfId="1" applyNumberFormat="1" applyFont="1" applyBorder="1" applyAlignment="1" applyProtection="1">
      <alignment horizontal="right"/>
      <protection locked="0" hidden="1"/>
    </xf>
    <xf numFmtId="171" fontId="8" fillId="0" borderId="38" xfId="1" applyNumberFormat="1" applyFont="1" applyBorder="1" applyAlignment="1" applyProtection="1">
      <alignment horizontal="right"/>
      <protection locked="0" hidden="1"/>
    </xf>
    <xf numFmtId="171" fontId="0" fillId="0" borderId="42" xfId="1" applyNumberFormat="1" applyFont="1" applyBorder="1" applyProtection="1">
      <protection locked="0" hidden="1"/>
    </xf>
    <xf numFmtId="171" fontId="0" fillId="0" borderId="39" xfId="1" applyNumberFormat="1" applyFont="1" applyBorder="1" applyProtection="1">
      <protection locked="0" hidden="1"/>
    </xf>
    <xf numFmtId="0" fontId="76" fillId="0" borderId="0" xfId="0" applyFont="1" applyProtection="1">
      <protection locked="0" hidden="1"/>
    </xf>
    <xf numFmtId="43" fontId="9" fillId="0" borderId="0" xfId="1" quotePrefix="1" applyFont="1" applyAlignment="1" applyProtection="1">
      <alignment horizontal="center"/>
      <protection locked="0" hidden="1"/>
    </xf>
    <xf numFmtId="9" fontId="0" fillId="0" borderId="0" xfId="0" applyNumberFormat="1" applyProtection="1">
      <protection locked="0" hidden="1"/>
    </xf>
    <xf numFmtId="9" fontId="0" fillId="0" borderId="0" xfId="0" applyNumberFormat="1" applyAlignment="1" applyProtection="1">
      <alignment horizontal="center"/>
      <protection locked="0" hidden="1"/>
    </xf>
    <xf numFmtId="43" fontId="0" fillId="0" borderId="0" xfId="1" applyFont="1" applyAlignment="1" applyProtection="1">
      <alignment horizontal="center"/>
      <protection locked="0" hidden="1"/>
    </xf>
    <xf numFmtId="9" fontId="0" fillId="0" borderId="0" xfId="2" applyFont="1" applyAlignment="1" applyProtection="1">
      <alignment horizontal="center"/>
      <protection locked="0" hidden="1"/>
    </xf>
    <xf numFmtId="5" fontId="0" fillId="0" borderId="0" xfId="0" applyNumberFormat="1" applyProtection="1">
      <protection locked="0" hidden="1"/>
    </xf>
    <xf numFmtId="43" fontId="0" fillId="0" borderId="0" xfId="1" applyFont="1" applyProtection="1">
      <protection locked="0" hidden="1"/>
    </xf>
    <xf numFmtId="43" fontId="0" fillId="0" borderId="0" xfId="0" applyNumberFormat="1" applyProtection="1">
      <protection locked="0" hidden="1"/>
    </xf>
    <xf numFmtId="0" fontId="0" fillId="0" borderId="0" xfId="0" applyAlignment="1" applyProtection="1">
      <alignment horizontal="left"/>
      <protection locked="0" hidden="1"/>
    </xf>
    <xf numFmtId="186" fontId="0" fillId="0" borderId="0" xfId="1" applyNumberFormat="1" applyFont="1" applyProtection="1">
      <protection locked="0" hidden="1"/>
    </xf>
    <xf numFmtId="0" fontId="0" fillId="0" borderId="1" xfId="0" applyBorder="1" applyProtection="1">
      <protection locked="0" hidden="1"/>
    </xf>
    <xf numFmtId="0" fontId="10" fillId="0" borderId="1" xfId="0" applyFont="1" applyBorder="1" applyProtection="1">
      <protection locked="0" hidden="1"/>
    </xf>
    <xf numFmtId="0" fontId="10" fillId="0" borderId="1" xfId="0" applyFont="1" applyBorder="1" applyAlignment="1" applyProtection="1">
      <alignment horizontal="center"/>
      <protection locked="0" hidden="1"/>
    </xf>
    <xf numFmtId="0" fontId="10" fillId="2" borderId="0" xfId="0" applyFont="1" applyFill="1" applyProtection="1">
      <protection locked="0" hidden="1"/>
    </xf>
    <xf numFmtId="0" fontId="0" fillId="2" borderId="0" xfId="0" applyFill="1" applyProtection="1">
      <protection locked="0" hidden="1"/>
    </xf>
    <xf numFmtId="0" fontId="16" fillId="2" borderId="0" xfId="0" applyFont="1" applyFill="1" applyAlignment="1" applyProtection="1">
      <alignment horizontal="center"/>
      <protection locked="0" hidden="1"/>
    </xf>
    <xf numFmtId="0" fontId="12" fillId="2" borderId="0" xfId="0" applyFont="1" applyFill="1" applyProtection="1">
      <protection locked="0" hidden="1"/>
    </xf>
    <xf numFmtId="0" fontId="13" fillId="2" borderId="0" xfId="0" applyFont="1" applyFill="1" applyProtection="1">
      <protection locked="0" hidden="1"/>
    </xf>
    <xf numFmtId="0" fontId="17" fillId="2" borderId="0" xfId="0" applyFont="1" applyFill="1" applyAlignment="1" applyProtection="1">
      <alignment horizontal="center"/>
      <protection locked="0" hidden="1"/>
    </xf>
    <xf numFmtId="0" fontId="13" fillId="0" borderId="0" xfId="0" applyFont="1" applyProtection="1">
      <protection locked="0" hidden="1"/>
    </xf>
    <xf numFmtId="0" fontId="18" fillId="2" borderId="0" xfId="0" applyFont="1" applyFill="1" applyAlignment="1" applyProtection="1">
      <alignment horizontal="center"/>
      <protection locked="0" hidden="1"/>
    </xf>
    <xf numFmtId="0" fontId="10" fillId="2" borderId="1" xfId="0" applyFont="1" applyFill="1" applyBorder="1" applyProtection="1">
      <protection locked="0" hidden="1"/>
    </xf>
    <xf numFmtId="0" fontId="0" fillId="2" borderId="1" xfId="0" applyFill="1" applyBorder="1" applyProtection="1">
      <protection locked="0" hidden="1"/>
    </xf>
    <xf numFmtId="0" fontId="16" fillId="2" borderId="1" xfId="0" applyFont="1" applyFill="1" applyBorder="1" applyAlignment="1" applyProtection="1">
      <alignment horizontal="center"/>
      <protection locked="0" hidden="1"/>
    </xf>
    <xf numFmtId="0" fontId="15" fillId="0" borderId="0" xfId="0" applyFont="1" applyAlignment="1" applyProtection="1">
      <alignment horizontal="center"/>
      <protection locked="0" hidden="1"/>
    </xf>
    <xf numFmtId="166" fontId="14" fillId="0" borderId="0" xfId="0" applyNumberFormat="1" applyFont="1" applyAlignment="1" applyProtection="1">
      <alignment horizontal="center"/>
      <protection locked="0" hidden="1"/>
    </xf>
    <xf numFmtId="43" fontId="9" fillId="0" borderId="0" xfId="1" applyFont="1" applyAlignment="1" applyProtection="1">
      <alignment horizontal="center" wrapText="1"/>
      <protection locked="0" hidden="1"/>
    </xf>
    <xf numFmtId="43" fontId="19" fillId="2" borderId="0" xfId="1" applyFont="1" applyFill="1" applyProtection="1">
      <protection locked="0" hidden="1"/>
    </xf>
    <xf numFmtId="0" fontId="60" fillId="2" borderId="0" xfId="0" applyFont="1" applyFill="1" applyProtection="1">
      <protection locked="0" hidden="1"/>
    </xf>
    <xf numFmtId="43" fontId="19" fillId="2" borderId="1" xfId="1" applyFont="1" applyFill="1" applyBorder="1" applyProtection="1">
      <protection locked="0" hidden="1"/>
    </xf>
    <xf numFmtId="0" fontId="20" fillId="0" borderId="0" xfId="0" applyFont="1" applyProtection="1">
      <protection locked="0" hidden="1"/>
    </xf>
    <xf numFmtId="0" fontId="8" fillId="0" borderId="0" xfId="0" applyFont="1" applyProtection="1">
      <protection locked="0" hidden="1"/>
    </xf>
    <xf numFmtId="43" fontId="8" fillId="0" borderId="0" xfId="1" applyFont="1" applyProtection="1">
      <protection locked="0" hidden="1"/>
    </xf>
    <xf numFmtId="0" fontId="10" fillId="0" borderId="0" xfId="0" applyFont="1" applyProtection="1">
      <protection locked="0" hidden="1"/>
    </xf>
    <xf numFmtId="0" fontId="0" fillId="12" borderId="0" xfId="0" applyFill="1" applyProtection="1">
      <protection locked="0" hidden="1"/>
    </xf>
    <xf numFmtId="43" fontId="19" fillId="2" borderId="2" xfId="1" applyFont="1" applyFill="1" applyBorder="1" applyProtection="1">
      <protection locked="0" hidden="1"/>
    </xf>
    <xf numFmtId="0" fontId="0" fillId="2" borderId="2" xfId="0" applyFill="1" applyBorder="1" applyProtection="1">
      <protection locked="0" hidden="1"/>
    </xf>
    <xf numFmtId="43" fontId="41" fillId="2" borderId="54" xfId="1" applyFont="1" applyFill="1" applyBorder="1" applyAlignment="1" applyProtection="1">
      <alignment horizontal="left"/>
      <protection locked="0" hidden="1"/>
    </xf>
    <xf numFmtId="43" fontId="7" fillId="2" borderId="54" xfId="1" applyFill="1" applyBorder="1" applyAlignment="1" applyProtection="1">
      <alignment horizontal="left" vertical="center"/>
      <protection locked="0" hidden="1"/>
    </xf>
    <xf numFmtId="0" fontId="7" fillId="2" borderId="2" xfId="0" applyFont="1" applyFill="1" applyBorder="1" applyAlignment="1" applyProtection="1">
      <alignment horizontal="left" vertical="center"/>
      <protection locked="0" hidden="1"/>
    </xf>
    <xf numFmtId="0" fontId="7" fillId="2" borderId="2" xfId="0" applyFont="1" applyFill="1" applyBorder="1" applyAlignment="1" applyProtection="1">
      <alignment vertical="center"/>
      <protection locked="0" hidden="1"/>
    </xf>
    <xf numFmtId="0" fontId="11" fillId="2" borderId="2" xfId="0" applyFont="1" applyFill="1" applyBorder="1" applyAlignment="1" applyProtection="1">
      <alignment vertical="center"/>
      <protection locked="0" hidden="1"/>
    </xf>
    <xf numFmtId="0" fontId="67" fillId="2" borderId="2" xfId="0" applyFont="1" applyFill="1" applyBorder="1" applyProtection="1">
      <protection locked="0" hidden="1"/>
    </xf>
    <xf numFmtId="0" fontId="60" fillId="2" borderId="2" xfId="0" applyFont="1" applyFill="1" applyBorder="1" applyProtection="1">
      <protection locked="0" hidden="1"/>
    </xf>
    <xf numFmtId="0" fontId="37" fillId="2" borderId="2" xfId="0" applyFont="1" applyFill="1" applyBorder="1" applyProtection="1">
      <protection locked="0" hidden="1"/>
    </xf>
    <xf numFmtId="0" fontId="7" fillId="2" borderId="2" xfId="0" applyFont="1" applyFill="1" applyBorder="1" applyProtection="1">
      <protection locked="0" hidden="1"/>
    </xf>
    <xf numFmtId="0" fontId="0" fillId="0" borderId="34" xfId="0" applyBorder="1" applyAlignment="1" applyProtection="1">
      <alignment horizontal="center" vertical="center" wrapText="1"/>
      <protection locked="0" hidden="1"/>
    </xf>
    <xf numFmtId="0" fontId="0" fillId="12" borderId="0" xfId="0" applyFill="1" applyAlignment="1" applyProtection="1">
      <alignment horizontal="center" vertical="center" wrapText="1"/>
      <protection locked="0" hidden="1"/>
    </xf>
    <xf numFmtId="0" fontId="11" fillId="0" borderId="0" xfId="0" applyFont="1" applyProtection="1">
      <protection locked="0" hidden="1"/>
    </xf>
    <xf numFmtId="43" fontId="0" fillId="2" borderId="14" xfId="1" applyFont="1" applyFill="1" applyBorder="1" applyAlignment="1" applyProtection="1">
      <alignment horizontal="left"/>
      <protection locked="0" hidden="1"/>
    </xf>
    <xf numFmtId="43" fontId="0" fillId="2" borderId="14" xfId="1" applyFont="1" applyFill="1" applyBorder="1" applyAlignment="1" applyProtection="1">
      <alignment horizontal="left" vertical="center"/>
      <protection locked="0" hidden="1"/>
    </xf>
    <xf numFmtId="0" fontId="0" fillId="2" borderId="0" xfId="0" applyFill="1" applyAlignment="1" applyProtection="1">
      <alignment horizontal="left" vertical="center"/>
      <protection locked="0" hidden="1"/>
    </xf>
    <xf numFmtId="0" fontId="0" fillId="2" borderId="0" xfId="0" applyFill="1" applyAlignment="1" applyProtection="1">
      <alignment vertical="center"/>
      <protection locked="0" hidden="1"/>
    </xf>
    <xf numFmtId="0" fontId="11" fillId="2" borderId="0" xfId="0" applyFont="1" applyFill="1" applyAlignment="1" applyProtection="1">
      <alignment vertical="center"/>
      <protection locked="0" hidden="1"/>
    </xf>
    <xf numFmtId="43" fontId="0" fillId="2" borderId="0" xfId="1" applyFont="1" applyFill="1" applyAlignment="1" applyProtection="1">
      <alignment horizontal="left"/>
      <protection locked="0" hidden="1"/>
    </xf>
    <xf numFmtId="0" fontId="61" fillId="2" borderId="0" xfId="1" applyNumberFormat="1" applyFont="1" applyFill="1" applyAlignment="1" applyProtection="1">
      <alignment horizontal="right"/>
      <protection locked="0" hidden="1"/>
    </xf>
    <xf numFmtId="43" fontId="83" fillId="2" borderId="55" xfId="1" applyFont="1" applyFill="1" applyBorder="1" applyProtection="1">
      <protection locked="0" hidden="1"/>
    </xf>
    <xf numFmtId="43" fontId="0" fillId="2" borderId="55" xfId="1" applyFont="1" applyFill="1" applyBorder="1" applyAlignment="1" applyProtection="1">
      <alignment horizontal="left" vertical="center"/>
      <protection locked="0" hidden="1"/>
    </xf>
    <xf numFmtId="0" fontId="0" fillId="2" borderId="1" xfId="0" applyFill="1" applyBorder="1" applyAlignment="1" applyProtection="1">
      <alignment horizontal="left" vertical="center"/>
      <protection locked="0" hidden="1"/>
    </xf>
    <xf numFmtId="0" fontId="0" fillId="2" borderId="1" xfId="0" applyFill="1" applyBorder="1" applyAlignment="1" applyProtection="1">
      <alignment vertical="center"/>
      <protection locked="0" hidden="1"/>
    </xf>
    <xf numFmtId="0" fontId="11" fillId="2" borderId="1" xfId="0" applyFont="1" applyFill="1" applyBorder="1" applyAlignment="1" applyProtection="1">
      <alignment vertical="center"/>
      <protection locked="0" hidden="1"/>
    </xf>
    <xf numFmtId="0" fontId="61" fillId="2" borderId="1" xfId="0" applyFont="1" applyFill="1" applyBorder="1" applyProtection="1">
      <protection locked="0" hidden="1"/>
    </xf>
    <xf numFmtId="43" fontId="43" fillId="2" borderId="55" xfId="1" applyFont="1" applyFill="1" applyBorder="1" applyAlignment="1" applyProtection="1">
      <alignment horizontal="left" vertical="center"/>
      <protection locked="0" hidden="1"/>
    </xf>
    <xf numFmtId="0" fontId="24" fillId="2" borderId="1" xfId="0" quotePrefix="1" applyFont="1" applyFill="1" applyBorder="1" applyAlignment="1" applyProtection="1">
      <alignment horizontal="right"/>
      <protection locked="0" hidden="1"/>
    </xf>
    <xf numFmtId="43" fontId="44" fillId="0" borderId="21" xfId="1" applyFont="1" applyBorder="1" applyAlignment="1" applyProtection="1">
      <alignment horizontal="centerContinuous"/>
      <protection locked="0" hidden="1"/>
    </xf>
    <xf numFmtId="43" fontId="44" fillId="0" borderId="22" xfId="1" applyFont="1" applyBorder="1" applyAlignment="1" applyProtection="1">
      <alignment horizontal="centerContinuous"/>
      <protection locked="0" hidden="1"/>
    </xf>
    <xf numFmtId="0" fontId="43" fillId="0" borderId="22" xfId="0" applyFont="1" applyBorder="1" applyAlignment="1" applyProtection="1">
      <alignment horizontal="centerContinuous"/>
      <protection locked="0" hidden="1"/>
    </xf>
    <xf numFmtId="0" fontId="43" fillId="0" borderId="23" xfId="0" applyFont="1" applyBorder="1" applyAlignment="1" applyProtection="1">
      <alignment horizontal="centerContinuous"/>
      <protection locked="0" hidden="1"/>
    </xf>
    <xf numFmtId="0" fontId="0" fillId="8" borderId="0" xfId="0" applyFill="1" applyProtection="1">
      <protection locked="0" hidden="1"/>
    </xf>
    <xf numFmtId="43" fontId="73" fillId="9" borderId="4" xfId="1" applyFont="1" applyFill="1" applyBorder="1" applyAlignment="1" applyProtection="1">
      <alignment horizontal="centerContinuous"/>
      <protection locked="0" hidden="1"/>
    </xf>
    <xf numFmtId="43" fontId="73" fillId="9" borderId="5" xfId="1" applyFont="1" applyFill="1" applyBorder="1" applyAlignment="1" applyProtection="1">
      <alignment horizontal="centerContinuous"/>
      <protection locked="0" hidden="1"/>
    </xf>
    <xf numFmtId="43" fontId="39" fillId="10" borderId="5" xfId="1" applyFont="1" applyFill="1" applyBorder="1" applyAlignment="1" applyProtection="1">
      <alignment horizontal="centerContinuous"/>
      <protection locked="0" hidden="1"/>
    </xf>
    <xf numFmtId="43" fontId="39" fillId="10" borderId="6" xfId="1" applyFont="1" applyFill="1" applyBorder="1" applyAlignment="1" applyProtection="1">
      <alignment horizontal="centerContinuous"/>
      <protection locked="0" hidden="1"/>
    </xf>
    <xf numFmtId="0" fontId="0" fillId="0" borderId="26" xfId="0" applyBorder="1" applyProtection="1">
      <protection locked="0" hidden="1"/>
    </xf>
    <xf numFmtId="0" fontId="0" fillId="0" borderId="27" xfId="0" applyBorder="1" applyProtection="1">
      <protection locked="0" hidden="1"/>
    </xf>
    <xf numFmtId="0" fontId="0" fillId="0" borderId="7" xfId="0" applyBorder="1" applyProtection="1">
      <protection locked="0" hidden="1"/>
    </xf>
    <xf numFmtId="0" fontId="0" fillId="0" borderId="8" xfId="0" applyBorder="1" applyProtection="1">
      <protection locked="0" hidden="1"/>
    </xf>
    <xf numFmtId="0" fontId="0" fillId="10" borderId="0" xfId="0" applyFill="1" applyProtection="1">
      <protection locked="0" hidden="1"/>
    </xf>
    <xf numFmtId="43" fontId="9" fillId="10" borderId="0" xfId="1" applyFont="1" applyFill="1" applyAlignment="1" applyProtection="1">
      <alignment horizontal="center"/>
      <protection locked="0" hidden="1"/>
    </xf>
    <xf numFmtId="0" fontId="0" fillId="10" borderId="8" xfId="0" applyFill="1" applyBorder="1" applyProtection="1">
      <protection locked="0" hidden="1"/>
    </xf>
    <xf numFmtId="43" fontId="0" fillId="0" borderId="0" xfId="1" applyFont="1" applyAlignment="1" applyProtection="1">
      <alignment horizontal="center" wrapText="1"/>
      <protection locked="0" hidden="1"/>
    </xf>
    <xf numFmtId="43" fontId="0" fillId="0" borderId="7" xfId="1" applyFont="1" applyBorder="1" applyAlignment="1" applyProtection="1">
      <alignment horizontal="center" wrapText="1"/>
      <protection locked="0" hidden="1"/>
    </xf>
    <xf numFmtId="0" fontId="35" fillId="0" borderId="0" xfId="0" applyFont="1" applyProtection="1">
      <protection locked="0" hidden="1"/>
    </xf>
    <xf numFmtId="37" fontId="0" fillId="10" borderId="0" xfId="1" applyNumberFormat="1" applyFont="1" applyFill="1" applyAlignment="1" applyProtection="1">
      <alignment horizontal="center"/>
      <protection locked="0" hidden="1"/>
    </xf>
    <xf numFmtId="43" fontId="0" fillId="12" borderId="0" xfId="1" applyFont="1" applyFill="1" applyAlignment="1" applyProtection="1">
      <alignment horizontal="center" wrapText="1"/>
      <protection locked="0" hidden="1"/>
    </xf>
    <xf numFmtId="43" fontId="53" fillId="9" borderId="0" xfId="1" applyFont="1" applyFill="1" applyAlignment="1" applyProtection="1">
      <alignment horizontal="center" wrapText="1"/>
      <protection locked="0" hidden="1"/>
    </xf>
    <xf numFmtId="5" fontId="0" fillId="6" borderId="0" xfId="0" applyNumberFormat="1" applyFill="1" applyAlignment="1" applyProtection="1">
      <alignment horizontal="center" vertical="center"/>
      <protection locked="0" hidden="1"/>
    </xf>
    <xf numFmtId="0" fontId="36" fillId="5" borderId="0" xfId="0" applyFont="1" applyFill="1" applyAlignment="1" applyProtection="1">
      <alignment horizontal="center" vertical="center"/>
      <protection locked="0" hidden="1"/>
    </xf>
    <xf numFmtId="0" fontId="0" fillId="7" borderId="0" xfId="0" applyFill="1" applyAlignment="1" applyProtection="1">
      <alignment horizontal="center"/>
      <protection locked="0" hidden="1"/>
    </xf>
    <xf numFmtId="9" fontId="0" fillId="10" borderId="0" xfId="2" applyFont="1" applyFill="1" applyAlignment="1" applyProtection="1">
      <alignment horizontal="center"/>
      <protection locked="0" hidden="1"/>
    </xf>
    <xf numFmtId="0" fontId="0" fillId="0" borderId="5" xfId="0" applyBorder="1" applyProtection="1">
      <protection locked="0" hidden="1"/>
    </xf>
    <xf numFmtId="5" fontId="37" fillId="6" borderId="14" xfId="0" applyNumberFormat="1" applyFont="1" applyFill="1" applyBorder="1" applyAlignment="1" applyProtection="1">
      <alignment horizontal="center" vertical="center"/>
      <protection locked="0" hidden="1"/>
    </xf>
    <xf numFmtId="5" fontId="37" fillId="6" borderId="5" xfId="0" applyNumberFormat="1" applyFont="1" applyFill="1" applyBorder="1" applyAlignment="1" applyProtection="1">
      <alignment horizontal="center" vertical="center"/>
      <protection locked="0" hidden="1"/>
    </xf>
    <xf numFmtId="5" fontId="37" fillId="6" borderId="6" xfId="0" applyNumberFormat="1" applyFont="1" applyFill="1" applyBorder="1" applyAlignment="1" applyProtection="1">
      <alignment horizontal="center" vertical="center"/>
      <protection locked="0" hidden="1"/>
    </xf>
    <xf numFmtId="0" fontId="0" fillId="10" borderId="15" xfId="0" applyFill="1" applyBorder="1" applyProtection="1">
      <protection locked="0" hidden="1"/>
    </xf>
    <xf numFmtId="0" fontId="0" fillId="0" borderId="12" xfId="0" applyBorder="1" applyProtection="1">
      <protection locked="0" hidden="1"/>
    </xf>
    <xf numFmtId="5" fontId="37" fillId="6" borderId="0" xfId="0" applyNumberFormat="1" applyFont="1" applyFill="1" applyAlignment="1" applyProtection="1">
      <alignment horizontal="center" vertical="center"/>
      <protection locked="0" hidden="1"/>
    </xf>
    <xf numFmtId="0" fontId="0" fillId="0" borderId="14" xfId="0" applyBorder="1" applyProtection="1">
      <protection locked="0" hidden="1"/>
    </xf>
    <xf numFmtId="0" fontId="0" fillId="0" borderId="0" xfId="0" applyAlignment="1" applyProtection="1">
      <alignment horizontal="center"/>
      <protection locked="0" hidden="1"/>
    </xf>
    <xf numFmtId="0" fontId="0" fillId="0" borderId="15" xfId="0" applyBorder="1" applyAlignment="1" applyProtection="1">
      <alignment horizontal="center"/>
      <protection locked="0" hidden="1"/>
    </xf>
    <xf numFmtId="43" fontId="0" fillId="0" borderId="0" xfId="1" applyFont="1" applyAlignment="1" applyProtection="1">
      <alignment horizontal="left"/>
      <protection locked="0" hidden="1"/>
    </xf>
    <xf numFmtId="5" fontId="37" fillId="6" borderId="42" xfId="0" applyNumberFormat="1" applyFont="1" applyFill="1" applyBorder="1" applyAlignment="1" applyProtection="1">
      <alignment horizontal="center" vertical="center"/>
      <protection locked="0" hidden="1"/>
    </xf>
    <xf numFmtId="5" fontId="37" fillId="6" borderId="39" xfId="0" applyNumberFormat="1" applyFont="1" applyFill="1" applyBorder="1" applyAlignment="1" applyProtection="1">
      <alignment horizontal="center" vertical="center"/>
      <protection locked="0" hidden="1"/>
    </xf>
    <xf numFmtId="0" fontId="0" fillId="0" borderId="42" xfId="0" applyBorder="1" applyProtection="1">
      <protection locked="0" hidden="1"/>
    </xf>
    <xf numFmtId="0" fontId="0" fillId="0" borderId="39" xfId="0" applyBorder="1" applyAlignment="1" applyProtection="1">
      <alignment horizontal="center"/>
      <protection locked="0" hidden="1"/>
    </xf>
    <xf numFmtId="0" fontId="0" fillId="0" borderId="41" xfId="0" applyBorder="1" applyAlignment="1" applyProtection="1">
      <alignment horizontal="center"/>
      <protection locked="0" hidden="1"/>
    </xf>
    <xf numFmtId="0" fontId="58" fillId="0" borderId="3" xfId="0" applyFont="1" applyBorder="1" applyAlignment="1" applyProtection="1">
      <alignment horizontal="center" vertical="center"/>
      <protection locked="0" hidden="1"/>
    </xf>
    <xf numFmtId="0" fontId="58" fillId="0" borderId="48" xfId="0" applyFont="1" applyBorder="1" applyAlignment="1" applyProtection="1">
      <alignment horizontal="center" vertical="center"/>
      <protection locked="0" hidden="1"/>
    </xf>
    <xf numFmtId="5" fontId="63" fillId="0" borderId="0" xfId="0" applyNumberFormat="1" applyFont="1" applyAlignment="1" applyProtection="1">
      <alignment horizontal="center" vertical="center"/>
      <protection locked="0" hidden="1"/>
    </xf>
    <xf numFmtId="0" fontId="0" fillId="0" borderId="40" xfId="0" applyBorder="1" applyProtection="1">
      <protection locked="0" hidden="1"/>
    </xf>
    <xf numFmtId="5" fontId="38" fillId="6" borderId="12" xfId="0" applyNumberFormat="1" applyFont="1" applyFill="1" applyBorder="1" applyAlignment="1" applyProtection="1">
      <alignment horizontal="center" vertical="center"/>
      <protection locked="0" hidden="1"/>
    </xf>
    <xf numFmtId="5" fontId="38" fillId="6" borderId="13" xfId="0" applyNumberFormat="1" applyFont="1" applyFill="1" applyBorder="1" applyAlignment="1" applyProtection="1">
      <alignment horizontal="center" vertical="center"/>
      <protection locked="0" hidden="1"/>
    </xf>
    <xf numFmtId="5" fontId="38" fillId="6" borderId="18" xfId="0" applyNumberFormat="1" applyFont="1" applyFill="1" applyBorder="1" applyAlignment="1" applyProtection="1">
      <alignment horizontal="center" vertical="center"/>
      <protection locked="0" hidden="1"/>
    </xf>
    <xf numFmtId="0" fontId="0" fillId="0" borderId="15" xfId="0" applyBorder="1" applyProtection="1">
      <protection locked="0" hidden="1"/>
    </xf>
    <xf numFmtId="5" fontId="38" fillId="6" borderId="14" xfId="0" applyNumberFormat="1" applyFont="1" applyFill="1" applyBorder="1" applyAlignment="1" applyProtection="1">
      <alignment horizontal="center" vertical="center"/>
      <protection locked="0" hidden="1"/>
    </xf>
    <xf numFmtId="5" fontId="38" fillId="6" borderId="0" xfId="0" applyNumberFormat="1" applyFont="1" applyFill="1" applyAlignment="1" applyProtection="1">
      <alignment horizontal="center" vertical="center"/>
      <protection locked="0" hidden="1"/>
    </xf>
    <xf numFmtId="5" fontId="38" fillId="6" borderId="8" xfId="0" applyNumberFormat="1" applyFont="1" applyFill="1" applyBorder="1" applyAlignment="1" applyProtection="1">
      <alignment horizontal="center" vertical="center"/>
      <protection locked="0" hidden="1"/>
    </xf>
    <xf numFmtId="0" fontId="0" fillId="10" borderId="10" xfId="0" applyFill="1" applyBorder="1" applyProtection="1">
      <protection locked="0" hidden="1"/>
    </xf>
    <xf numFmtId="0" fontId="0" fillId="10" borderId="11" xfId="0" applyFill="1" applyBorder="1" applyProtection="1">
      <protection locked="0" hidden="1"/>
    </xf>
    <xf numFmtId="0" fontId="0" fillId="0" borderId="19" xfId="0" applyBorder="1" applyProtection="1">
      <protection locked="0" hidden="1"/>
    </xf>
    <xf numFmtId="5" fontId="38" fillId="6" borderId="20" xfId="0" applyNumberFormat="1" applyFont="1" applyFill="1" applyBorder="1" applyAlignment="1" applyProtection="1">
      <alignment horizontal="center" vertical="center"/>
      <protection locked="0" hidden="1"/>
    </xf>
    <xf numFmtId="5" fontId="38" fillId="6" borderId="10" xfId="0" applyNumberFormat="1" applyFont="1" applyFill="1" applyBorder="1" applyAlignment="1" applyProtection="1">
      <alignment horizontal="center" vertical="center"/>
      <protection locked="0" hidden="1"/>
    </xf>
    <xf numFmtId="5" fontId="38" fillId="6" borderId="11" xfId="0" applyNumberFormat="1" applyFont="1" applyFill="1" applyBorder="1" applyAlignment="1" applyProtection="1">
      <alignment horizontal="center" vertical="center"/>
      <protection locked="0" hidden="1"/>
    </xf>
    <xf numFmtId="5" fontId="0" fillId="3" borderId="5" xfId="0" applyNumberFormat="1" applyFill="1" applyBorder="1" applyAlignment="1" applyProtection="1">
      <alignment horizontal="center"/>
      <protection locked="0" hidden="1"/>
    </xf>
    <xf numFmtId="5" fontId="0" fillId="3" borderId="16" xfId="0" applyNumberFormat="1" applyFill="1" applyBorder="1" applyAlignment="1" applyProtection="1">
      <alignment horizontal="center"/>
      <protection locked="0" hidden="1"/>
    </xf>
    <xf numFmtId="43" fontId="86" fillId="3" borderId="17" xfId="1" applyFont="1" applyFill="1" applyBorder="1" applyAlignment="1" applyProtection="1">
      <alignment horizontal="centerContinuous"/>
      <protection locked="0" hidden="1"/>
    </xf>
    <xf numFmtId="5" fontId="0" fillId="3" borderId="5" xfId="0" applyNumberFormat="1" applyFill="1" applyBorder="1" applyAlignment="1" applyProtection="1">
      <alignment horizontal="centerContinuous"/>
      <protection locked="0" hidden="1"/>
    </xf>
    <xf numFmtId="0" fontId="0" fillId="3" borderId="6" xfId="0" applyFill="1" applyBorder="1" applyAlignment="1" applyProtection="1">
      <alignment horizontal="centerContinuous"/>
      <protection locked="0" hidden="1"/>
    </xf>
    <xf numFmtId="9" fontId="0" fillId="0" borderId="65" xfId="2" applyFont="1" applyBorder="1" applyProtection="1">
      <protection locked="0" hidden="1"/>
    </xf>
    <xf numFmtId="5" fontId="37" fillId="6" borderId="17" xfId="0" applyNumberFormat="1" applyFont="1" applyFill="1" applyBorder="1" applyAlignment="1" applyProtection="1">
      <alignment horizontal="center" vertical="center"/>
      <protection locked="0" hidden="1"/>
    </xf>
    <xf numFmtId="0" fontId="35" fillId="0" borderId="0" xfId="0" applyFont="1" applyAlignment="1" applyProtection="1">
      <alignment horizontal="left"/>
      <protection locked="0" hidden="1"/>
    </xf>
    <xf numFmtId="5" fontId="0" fillId="3" borderId="0" xfId="0" applyNumberFormat="1" applyFill="1" applyAlignment="1" applyProtection="1">
      <alignment horizontal="center"/>
      <protection locked="0" hidden="1"/>
    </xf>
    <xf numFmtId="5" fontId="0" fillId="3" borderId="15" xfId="0" applyNumberFormat="1" applyFill="1" applyBorder="1" applyAlignment="1" applyProtection="1">
      <alignment horizontal="center"/>
      <protection locked="0" hidden="1"/>
    </xf>
    <xf numFmtId="0" fontId="0" fillId="3" borderId="8" xfId="0" applyFill="1" applyBorder="1" applyProtection="1">
      <protection locked="0" hidden="1"/>
    </xf>
    <xf numFmtId="9" fontId="0" fillId="0" borderId="37" xfId="2" applyFont="1" applyBorder="1" applyProtection="1">
      <protection locked="0" hidden="1"/>
    </xf>
    <xf numFmtId="0" fontId="58" fillId="0" borderId="14" xfId="0" applyFont="1" applyBorder="1" applyAlignment="1" applyProtection="1">
      <alignment horizontal="center" vertical="center"/>
      <protection locked="0" hidden="1"/>
    </xf>
    <xf numFmtId="0" fontId="58" fillId="0" borderId="0" xfId="0" applyFont="1" applyAlignment="1" applyProtection="1">
      <alignment horizontal="center" vertical="center"/>
      <protection locked="0" hidden="1"/>
    </xf>
    <xf numFmtId="0" fontId="58" fillId="0" borderId="8" xfId="0" applyFont="1" applyBorder="1" applyAlignment="1" applyProtection="1">
      <alignment horizontal="center" vertical="center"/>
      <protection locked="0" hidden="1"/>
    </xf>
    <xf numFmtId="0" fontId="0" fillId="3" borderId="0" xfId="0" applyFill="1" applyProtection="1">
      <protection locked="0" hidden="1"/>
    </xf>
    <xf numFmtId="0" fontId="0" fillId="3" borderId="15" xfId="0" applyFill="1" applyBorder="1" applyProtection="1">
      <protection locked="0" hidden="1"/>
    </xf>
    <xf numFmtId="9" fontId="0" fillId="0" borderId="46" xfId="2" applyFont="1" applyBorder="1" applyProtection="1">
      <protection locked="0" hidden="1"/>
    </xf>
    <xf numFmtId="5" fontId="84" fillId="2" borderId="10" xfId="0" applyNumberFormat="1" applyFont="1" applyFill="1" applyBorder="1" applyAlignment="1" applyProtection="1">
      <alignment horizontal="center"/>
      <protection locked="0" hidden="1"/>
    </xf>
    <xf numFmtId="5" fontId="84" fillId="2" borderId="11" xfId="0" applyNumberFormat="1" applyFont="1" applyFill="1" applyBorder="1" applyAlignment="1" applyProtection="1">
      <alignment horizontal="center"/>
      <protection locked="0" hidden="1"/>
    </xf>
    <xf numFmtId="9" fontId="0" fillId="0" borderId="16" xfId="2" applyFont="1" applyBorder="1" applyProtection="1">
      <protection locked="0" hidden="1"/>
    </xf>
    <xf numFmtId="0" fontId="40" fillId="0" borderId="0" xfId="0" applyFont="1" applyAlignment="1" applyProtection="1">
      <alignment horizontal="center"/>
      <protection locked="0" hidden="1"/>
    </xf>
    <xf numFmtId="9" fontId="0" fillId="0" borderId="15" xfId="2" applyFont="1" applyBorder="1" applyAlignment="1" applyProtection="1">
      <alignment horizontal="left" indent="1"/>
      <protection locked="0" hidden="1"/>
    </xf>
    <xf numFmtId="170" fontId="37" fillId="6" borderId="14" xfId="2" applyNumberFormat="1" applyFont="1" applyFill="1" applyBorder="1" applyAlignment="1" applyProtection="1">
      <alignment horizontal="center" vertical="center"/>
      <protection locked="0" hidden="1"/>
    </xf>
    <xf numFmtId="170" fontId="37" fillId="6" borderId="0" xfId="2" applyNumberFormat="1" applyFont="1" applyFill="1" applyAlignment="1" applyProtection="1">
      <alignment horizontal="center" vertical="center"/>
      <protection locked="0" hidden="1"/>
    </xf>
    <xf numFmtId="170" fontId="37" fillId="6" borderId="8" xfId="2" applyNumberFormat="1" applyFont="1" applyFill="1" applyBorder="1" applyAlignment="1" applyProtection="1">
      <alignment horizontal="center" vertical="center"/>
      <protection locked="0" hidden="1"/>
    </xf>
    <xf numFmtId="9" fontId="0" fillId="0" borderId="15" xfId="2" applyFont="1" applyBorder="1" applyProtection="1">
      <protection locked="0" hidden="1"/>
    </xf>
    <xf numFmtId="9" fontId="0" fillId="0" borderId="0" xfId="2" applyFont="1" applyProtection="1">
      <protection locked="0" hidden="1"/>
    </xf>
    <xf numFmtId="170" fontId="37" fillId="6" borderId="14" xfId="2" applyNumberFormat="1" applyFont="1" applyFill="1" applyBorder="1" applyAlignment="1" applyProtection="1">
      <alignment horizontal="center"/>
      <protection locked="0" hidden="1"/>
    </xf>
    <xf numFmtId="170" fontId="37" fillId="6" borderId="0" xfId="2" applyNumberFormat="1" applyFont="1" applyFill="1" applyAlignment="1" applyProtection="1">
      <alignment horizontal="center"/>
      <protection locked="0" hidden="1"/>
    </xf>
    <xf numFmtId="170" fontId="37" fillId="6" borderId="8" xfId="2" applyNumberFormat="1" applyFont="1" applyFill="1" applyBorder="1" applyAlignment="1" applyProtection="1">
      <alignment horizontal="center"/>
      <protection locked="0" hidden="1"/>
    </xf>
    <xf numFmtId="0" fontId="0" fillId="3" borderId="10" xfId="0" applyFill="1" applyBorder="1" applyProtection="1">
      <protection locked="0" hidden="1"/>
    </xf>
    <xf numFmtId="0" fontId="0" fillId="3" borderId="19" xfId="0" applyFill="1" applyBorder="1" applyProtection="1">
      <protection locked="0" hidden="1"/>
    </xf>
    <xf numFmtId="0" fontId="0" fillId="3" borderId="11" xfId="0" applyFill="1" applyBorder="1" applyProtection="1">
      <protection locked="0" hidden="1"/>
    </xf>
    <xf numFmtId="170" fontId="45" fillId="6" borderId="14" xfId="2" applyNumberFormat="1" applyFont="1" applyFill="1" applyBorder="1" applyAlignment="1" applyProtection="1">
      <alignment horizontal="center"/>
      <protection locked="0" hidden="1"/>
    </xf>
    <xf numFmtId="170" fontId="45" fillId="6" borderId="0" xfId="2" applyNumberFormat="1" applyFont="1" applyFill="1" applyAlignment="1" applyProtection="1">
      <alignment horizontal="center"/>
      <protection locked="0" hidden="1"/>
    </xf>
    <xf numFmtId="170" fontId="45" fillId="6" borderId="8" xfId="2" applyNumberFormat="1" applyFont="1" applyFill="1" applyBorder="1" applyAlignment="1" applyProtection="1">
      <alignment horizontal="center"/>
      <protection locked="0" hidden="1"/>
    </xf>
    <xf numFmtId="9" fontId="0" fillId="0" borderId="39" xfId="2" applyFont="1" applyBorder="1" applyProtection="1">
      <protection locked="0" hidden="1"/>
    </xf>
    <xf numFmtId="170" fontId="37" fillId="6" borderId="42" xfId="0" applyNumberFormat="1" applyFont="1" applyFill="1" applyBorder="1" applyAlignment="1" applyProtection="1">
      <alignment horizontal="center"/>
      <protection locked="0" hidden="1"/>
    </xf>
    <xf numFmtId="170" fontId="37" fillId="6" borderId="39" xfId="0" applyNumberFormat="1" applyFont="1" applyFill="1" applyBorder="1" applyAlignment="1" applyProtection="1">
      <alignment horizontal="center"/>
      <protection locked="0" hidden="1"/>
    </xf>
    <xf numFmtId="170" fontId="37" fillId="6" borderId="47" xfId="0" applyNumberFormat="1" applyFont="1" applyFill="1" applyBorder="1" applyAlignment="1" applyProtection="1">
      <alignment horizontal="center"/>
      <protection locked="0" hidden="1"/>
    </xf>
    <xf numFmtId="43" fontId="0" fillId="0" borderId="12" xfId="1" applyFont="1" applyBorder="1" applyProtection="1">
      <protection locked="0" hidden="1"/>
    </xf>
    <xf numFmtId="9" fontId="0" fillId="0" borderId="13" xfId="2" applyFont="1" applyBorder="1" applyAlignment="1" applyProtection="1">
      <alignment horizontal="center"/>
      <protection locked="0" hidden="1"/>
    </xf>
    <xf numFmtId="9" fontId="0" fillId="0" borderId="40" xfId="2" applyFont="1" applyBorder="1" applyAlignment="1" applyProtection="1">
      <alignment horizontal="center"/>
      <protection locked="0" hidden="1"/>
    </xf>
    <xf numFmtId="0" fontId="0" fillId="0" borderId="0" xfId="2" applyNumberFormat="1" applyFont="1" applyAlignment="1" applyProtection="1">
      <alignment horizontal="center"/>
      <protection locked="0" hidden="1"/>
    </xf>
    <xf numFmtId="5" fontId="55" fillId="0" borderId="0" xfId="0" applyNumberFormat="1" applyFont="1" applyAlignment="1" applyProtection="1">
      <alignment horizontal="center" vertical="center"/>
      <protection locked="0" hidden="1"/>
    </xf>
    <xf numFmtId="0" fontId="23" fillId="0" borderId="0" xfId="0" applyFont="1" applyAlignment="1" applyProtection="1">
      <alignment horizontal="center"/>
      <protection locked="0" hidden="1"/>
    </xf>
    <xf numFmtId="43" fontId="0" fillId="0" borderId="14" xfId="1" applyFont="1" applyBorder="1" applyProtection="1">
      <protection locked="0" hidden="1"/>
    </xf>
    <xf numFmtId="9" fontId="0" fillId="0" borderId="15" xfId="2" applyFont="1" applyBorder="1" applyAlignment="1" applyProtection="1">
      <alignment horizontal="center"/>
      <protection locked="0" hidden="1"/>
    </xf>
    <xf numFmtId="9" fontId="0" fillId="0" borderId="40" xfId="2" applyFont="1" applyBorder="1" applyProtection="1">
      <protection locked="0" hidden="1"/>
    </xf>
    <xf numFmtId="170" fontId="38" fillId="6" borderId="0" xfId="2" applyNumberFormat="1" applyFont="1" applyFill="1" applyAlignment="1" applyProtection="1">
      <alignment horizontal="center"/>
      <protection locked="0" hidden="1"/>
    </xf>
    <xf numFmtId="170" fontId="38" fillId="6" borderId="8" xfId="2" applyNumberFormat="1" applyFont="1" applyFill="1" applyBorder="1" applyAlignment="1" applyProtection="1">
      <alignment horizontal="center"/>
      <protection locked="0" hidden="1"/>
    </xf>
    <xf numFmtId="43" fontId="73" fillId="0" borderId="0" xfId="1" applyFont="1" applyAlignment="1" applyProtection="1">
      <alignment horizontal="centerContinuous"/>
      <protection locked="0" hidden="1"/>
    </xf>
    <xf numFmtId="43" fontId="0" fillId="0" borderId="42" xfId="1" applyFont="1" applyBorder="1" applyProtection="1">
      <protection locked="0" hidden="1"/>
    </xf>
    <xf numFmtId="9" fontId="0" fillId="0" borderId="39" xfId="2" applyFont="1" applyBorder="1" applyAlignment="1" applyProtection="1">
      <alignment horizontal="center"/>
      <protection locked="0" hidden="1"/>
    </xf>
    <xf numFmtId="9" fontId="0" fillId="0" borderId="41" xfId="2" applyFont="1" applyBorder="1" applyAlignment="1" applyProtection="1">
      <alignment horizontal="center"/>
      <protection locked="0" hidden="1"/>
    </xf>
    <xf numFmtId="170" fontId="46" fillId="6" borderId="0" xfId="2" applyNumberFormat="1" applyFont="1" applyFill="1" applyAlignment="1" applyProtection="1">
      <alignment horizontal="center"/>
      <protection locked="0" hidden="1"/>
    </xf>
    <xf numFmtId="170" fontId="46" fillId="6" borderId="8" xfId="2" applyNumberFormat="1" applyFont="1" applyFill="1" applyBorder="1" applyAlignment="1" applyProtection="1">
      <alignment horizontal="center"/>
      <protection locked="0" hidden="1"/>
    </xf>
    <xf numFmtId="0" fontId="0" fillId="0" borderId="9" xfId="0" applyBorder="1" applyProtection="1">
      <protection locked="0" hidden="1"/>
    </xf>
    <xf numFmtId="0" fontId="0" fillId="0" borderId="10" xfId="0" applyBorder="1" applyProtection="1">
      <protection locked="0" hidden="1"/>
    </xf>
    <xf numFmtId="0" fontId="0" fillId="0" borderId="11" xfId="0" applyBorder="1" applyProtection="1">
      <protection locked="0" hidden="1"/>
    </xf>
    <xf numFmtId="0" fontId="0" fillId="10" borderId="39" xfId="0" applyFill="1" applyBorder="1" applyProtection="1">
      <protection locked="0" hidden="1"/>
    </xf>
    <xf numFmtId="0" fontId="0" fillId="10" borderId="41" xfId="0" applyFill="1" applyBorder="1" applyProtection="1">
      <protection locked="0" hidden="1"/>
    </xf>
    <xf numFmtId="0" fontId="0" fillId="10" borderId="47" xfId="0" applyFill="1" applyBorder="1" applyProtection="1">
      <protection locked="0" hidden="1"/>
    </xf>
    <xf numFmtId="9" fontId="0" fillId="0" borderId="19" xfId="2" applyFont="1" applyBorder="1" applyProtection="1">
      <protection locked="0" hidden="1"/>
    </xf>
    <xf numFmtId="0" fontId="0" fillId="0" borderId="3" xfId="0" applyBorder="1" applyAlignment="1" applyProtection="1">
      <alignment horizontal="center"/>
      <protection locked="0" hidden="1"/>
    </xf>
    <xf numFmtId="0" fontId="0" fillId="0" borderId="35" xfId="0" applyBorder="1" applyAlignment="1" applyProtection="1">
      <alignment horizontal="center"/>
      <protection locked="0" hidden="1"/>
    </xf>
    <xf numFmtId="176" fontId="37" fillId="6" borderId="17" xfId="0" applyNumberFormat="1" applyFont="1" applyFill="1" applyBorder="1" applyAlignment="1" applyProtection="1">
      <alignment horizontal="center" vertical="center"/>
      <protection locked="0" hidden="1"/>
    </xf>
    <xf numFmtId="176" fontId="37" fillId="6" borderId="5" xfId="0" applyNumberFormat="1" applyFont="1" applyFill="1" applyBorder="1" applyAlignment="1" applyProtection="1">
      <alignment horizontal="center" vertical="center"/>
      <protection locked="0" hidden="1"/>
    </xf>
    <xf numFmtId="176" fontId="37" fillId="6" borderId="6" xfId="0" applyNumberFormat="1" applyFont="1" applyFill="1" applyBorder="1" applyAlignment="1" applyProtection="1">
      <alignment horizontal="center" vertical="center"/>
      <protection locked="0" hidden="1"/>
    </xf>
    <xf numFmtId="43" fontId="9" fillId="0" borderId="0" xfId="1" applyFont="1" applyProtection="1">
      <protection locked="0" hidden="1"/>
    </xf>
    <xf numFmtId="5" fontId="40" fillId="10" borderId="15" xfId="0" applyNumberFormat="1" applyFont="1" applyFill="1" applyBorder="1" applyProtection="1">
      <protection locked="0" hidden="1"/>
    </xf>
    <xf numFmtId="0" fontId="11" fillId="0" borderId="7" xfId="0" applyFont="1" applyBorder="1" applyProtection="1">
      <protection locked="0" hidden="1"/>
    </xf>
    <xf numFmtId="5" fontId="0" fillId="10" borderId="15" xfId="0" applyNumberFormat="1" applyFill="1" applyBorder="1" applyProtection="1">
      <protection locked="0" hidden="1"/>
    </xf>
    <xf numFmtId="176" fontId="38" fillId="6" borderId="20" xfId="0" applyNumberFormat="1" applyFont="1" applyFill="1" applyBorder="1" applyAlignment="1" applyProtection="1">
      <alignment horizontal="center" vertical="center"/>
      <protection locked="0" hidden="1"/>
    </xf>
    <xf numFmtId="176" fontId="38" fillId="6" borderId="10" xfId="0" applyNumberFormat="1" applyFont="1" applyFill="1" applyBorder="1" applyAlignment="1" applyProtection="1">
      <alignment horizontal="center" vertical="center"/>
      <protection locked="0" hidden="1"/>
    </xf>
    <xf numFmtId="176" fontId="38" fillId="6" borderId="11" xfId="0" applyNumberFormat="1" applyFont="1" applyFill="1" applyBorder="1" applyAlignment="1" applyProtection="1">
      <alignment horizontal="center" vertical="center"/>
      <protection locked="0" hidden="1"/>
    </xf>
    <xf numFmtId="9" fontId="23" fillId="0" borderId="0" xfId="2" applyFont="1" applyAlignment="1" applyProtection="1">
      <alignment horizontal="center"/>
      <protection locked="0" hidden="1"/>
    </xf>
    <xf numFmtId="9" fontId="23" fillId="0" borderId="8" xfId="2" applyFont="1" applyBorder="1" applyAlignment="1" applyProtection="1">
      <alignment horizontal="center"/>
      <protection locked="0" hidden="1"/>
    </xf>
    <xf numFmtId="5" fontId="0" fillId="0" borderId="39" xfId="0" applyNumberFormat="1" applyBorder="1" applyAlignment="1" applyProtection="1">
      <alignment horizontal="center"/>
      <protection locked="0" hidden="1"/>
    </xf>
    <xf numFmtId="10" fontId="0" fillId="0" borderId="39" xfId="2" applyNumberFormat="1" applyFont="1" applyBorder="1" applyAlignment="1" applyProtection="1">
      <alignment horizontal="center"/>
      <protection locked="0" hidden="1"/>
    </xf>
    <xf numFmtId="9" fontId="23" fillId="0" borderId="10" xfId="2" applyFont="1" applyBorder="1" applyAlignment="1" applyProtection="1">
      <alignment horizontal="center"/>
      <protection locked="0" hidden="1"/>
    </xf>
    <xf numFmtId="9" fontId="23" fillId="0" borderId="11" xfId="2" applyFont="1" applyBorder="1" applyAlignment="1" applyProtection="1">
      <alignment horizontal="center"/>
      <protection locked="0" hidden="1"/>
    </xf>
    <xf numFmtId="0" fontId="0" fillId="0" borderId="12" xfId="0" applyBorder="1" applyAlignment="1" applyProtection="1">
      <alignment horizontal="left"/>
      <protection locked="0" hidden="1"/>
    </xf>
    <xf numFmtId="9" fontId="0" fillId="0" borderId="65" xfId="2" applyFont="1" applyBorder="1" applyAlignment="1" applyProtection="1">
      <alignment horizontal="left"/>
      <protection locked="0" hidden="1"/>
    </xf>
    <xf numFmtId="0" fontId="0" fillId="6" borderId="5" xfId="0" applyFill="1" applyBorder="1" applyProtection="1">
      <protection locked="0" hidden="1"/>
    </xf>
    <xf numFmtId="0" fontId="0" fillId="6" borderId="6" xfId="0" applyFill="1" applyBorder="1" applyProtection="1">
      <protection locked="0" hidden="1"/>
    </xf>
    <xf numFmtId="0" fontId="0" fillId="0" borderId="14" xfId="0" applyBorder="1" applyAlignment="1" applyProtection="1">
      <alignment horizontal="left" indent="2"/>
      <protection locked="0" hidden="1"/>
    </xf>
    <xf numFmtId="7" fontId="0" fillId="0" borderId="0" xfId="0" applyNumberFormat="1" applyAlignment="1" applyProtection="1">
      <alignment horizontal="center"/>
      <protection locked="0" hidden="1"/>
    </xf>
    <xf numFmtId="7" fontId="0" fillId="0" borderId="15" xfId="0" applyNumberFormat="1" applyBorder="1" applyAlignment="1" applyProtection="1">
      <alignment horizontal="center"/>
      <protection locked="0" hidden="1"/>
    </xf>
    <xf numFmtId="9" fontId="0" fillId="0" borderId="37" xfId="2" applyFont="1" applyBorder="1" applyAlignment="1" applyProtection="1">
      <alignment horizontal="left" indent="1"/>
      <protection locked="0" hidden="1"/>
    </xf>
    <xf numFmtId="3" fontId="38" fillId="6" borderId="0" xfId="0" applyNumberFormat="1" applyFont="1" applyFill="1" applyAlignment="1" applyProtection="1">
      <alignment horizontal="center" vertical="center"/>
      <protection locked="0" hidden="1"/>
    </xf>
    <xf numFmtId="3" fontId="38" fillId="6" borderId="8" xfId="0" applyNumberFormat="1" applyFont="1" applyFill="1" applyBorder="1" applyAlignment="1" applyProtection="1">
      <alignment horizontal="center" vertical="center"/>
      <protection locked="0" hidden="1"/>
    </xf>
    <xf numFmtId="43" fontId="9" fillId="0" borderId="0" xfId="1" applyFont="1" applyAlignment="1" applyProtection="1">
      <alignment horizontal="center"/>
      <protection locked="0" hidden="1"/>
    </xf>
    <xf numFmtId="43" fontId="9" fillId="0" borderId="0" xfId="1" applyFont="1" applyAlignment="1" applyProtection="1">
      <alignment horizontal="centerContinuous"/>
      <protection locked="0" hidden="1"/>
    </xf>
    <xf numFmtId="43" fontId="85" fillId="0" borderId="0" xfId="1" applyFont="1" applyAlignment="1" applyProtection="1">
      <alignment horizontal="centerContinuous"/>
      <protection locked="0" hidden="1"/>
    </xf>
    <xf numFmtId="184" fontId="38" fillId="6" borderId="0" xfId="0" applyNumberFormat="1" applyFont="1" applyFill="1" applyAlignment="1" applyProtection="1">
      <alignment horizontal="center" vertical="center"/>
      <protection locked="0" hidden="1"/>
    </xf>
    <xf numFmtId="184" fontId="38" fillId="6" borderId="8" xfId="0" applyNumberFormat="1" applyFont="1" applyFill="1" applyBorder="1" applyAlignment="1" applyProtection="1">
      <alignment horizontal="center" vertical="center"/>
      <protection locked="0" hidden="1"/>
    </xf>
    <xf numFmtId="43" fontId="0" fillId="0" borderId="7" xfId="1" applyFont="1" applyBorder="1" applyProtection="1">
      <protection locked="0" hidden="1"/>
    </xf>
    <xf numFmtId="10" fontId="0" fillId="10" borderId="0" xfId="0" applyNumberFormat="1" applyFill="1" applyAlignment="1" applyProtection="1">
      <alignment horizontal="center"/>
      <protection locked="0" hidden="1"/>
    </xf>
    <xf numFmtId="0" fontId="0" fillId="0" borderId="14" xfId="0" applyBorder="1" applyAlignment="1" applyProtection="1">
      <alignment horizontal="left"/>
      <protection locked="0" hidden="1"/>
    </xf>
    <xf numFmtId="9" fontId="0" fillId="7" borderId="0" xfId="2" applyFont="1" applyFill="1" applyAlignment="1" applyProtection="1">
      <alignment horizontal="center"/>
      <protection locked="0" hidden="1"/>
    </xf>
    <xf numFmtId="177" fontId="37" fillId="6" borderId="0" xfId="0" applyNumberFormat="1" applyFont="1" applyFill="1" applyAlignment="1" applyProtection="1">
      <alignment horizontal="center" vertical="center"/>
      <protection locked="0" hidden="1"/>
    </xf>
    <xf numFmtId="177" fontId="37" fillId="6" borderId="8" xfId="0" applyNumberFormat="1" applyFont="1" applyFill="1" applyBorder="1" applyAlignment="1" applyProtection="1">
      <alignment horizontal="center" vertical="center"/>
      <protection locked="0" hidden="1"/>
    </xf>
    <xf numFmtId="9" fontId="0" fillId="0" borderId="37" xfId="2" applyFont="1" applyBorder="1" applyAlignment="1" applyProtection="1">
      <alignment horizontal="left"/>
      <protection locked="0" hidden="1"/>
    </xf>
    <xf numFmtId="43" fontId="27" fillId="3" borderId="4" xfId="1" applyFont="1" applyFill="1" applyBorder="1" applyAlignment="1" applyProtection="1">
      <alignment horizontal="centerContinuous"/>
      <protection locked="0" hidden="1"/>
    </xf>
    <xf numFmtId="0" fontId="0" fillId="3" borderId="5" xfId="0" applyFill="1" applyBorder="1" applyAlignment="1" applyProtection="1">
      <alignment horizontal="centerContinuous"/>
      <protection locked="0" hidden="1"/>
    </xf>
    <xf numFmtId="43" fontId="0" fillId="3" borderId="0" xfId="1" applyFont="1" applyFill="1" applyProtection="1">
      <protection locked="0" hidden="1"/>
    </xf>
    <xf numFmtId="0" fontId="0" fillId="0" borderId="42" xfId="0" applyBorder="1" applyAlignment="1" applyProtection="1">
      <alignment horizontal="left"/>
      <protection locked="0" hidden="1"/>
    </xf>
    <xf numFmtId="0" fontId="11" fillId="0" borderId="0" xfId="0" applyFont="1" applyAlignment="1" applyProtection="1">
      <alignment horizontal="center"/>
      <protection locked="0" hidden="1"/>
    </xf>
    <xf numFmtId="0" fontId="11" fillId="0" borderId="0" xfId="0" applyFont="1" applyAlignment="1" applyProtection="1">
      <alignment horizontal="left"/>
      <protection locked="0" hidden="1"/>
    </xf>
    <xf numFmtId="5" fontId="11" fillId="0" borderId="0" xfId="0" applyNumberFormat="1" applyFont="1" applyAlignment="1" applyProtection="1">
      <alignment horizontal="center" vertical="center"/>
      <protection locked="0" hidden="1"/>
    </xf>
    <xf numFmtId="9" fontId="25" fillId="0" borderId="0" xfId="0" applyNumberFormat="1" applyFont="1" applyAlignment="1" applyProtection="1">
      <alignment horizontal="center"/>
      <protection locked="0" hidden="1"/>
    </xf>
    <xf numFmtId="9" fontId="0" fillId="0" borderId="38" xfId="2" applyFont="1" applyBorder="1" applyAlignment="1" applyProtection="1">
      <alignment horizontal="left"/>
      <protection locked="0" hidden="1"/>
    </xf>
    <xf numFmtId="9" fontId="0" fillId="0" borderId="3" xfId="2" applyFont="1" applyBorder="1" applyProtection="1">
      <protection locked="0" hidden="1"/>
    </xf>
    <xf numFmtId="0" fontId="0" fillId="0" borderId="43" xfId="0" applyBorder="1" applyProtection="1">
      <protection locked="0" hidden="1"/>
    </xf>
    <xf numFmtId="9" fontId="0" fillId="0" borderId="36" xfId="2" applyFont="1" applyBorder="1" applyAlignment="1" applyProtection="1">
      <alignment horizontal="left"/>
      <protection locked="0" hidden="1"/>
    </xf>
    <xf numFmtId="0" fontId="0" fillId="6" borderId="0" xfId="0" applyFill="1" applyProtection="1">
      <protection locked="0" hidden="1"/>
    </xf>
    <xf numFmtId="0" fontId="0" fillId="6" borderId="8" xfId="0" applyFill="1" applyBorder="1" applyProtection="1">
      <protection locked="0" hidden="1"/>
    </xf>
    <xf numFmtId="5" fontId="40" fillId="3" borderId="0" xfId="0" applyNumberFormat="1" applyFont="1" applyFill="1" applyAlignment="1" applyProtection="1">
      <alignment horizontal="center"/>
      <protection locked="0" hidden="1"/>
    </xf>
    <xf numFmtId="177" fontId="38" fillId="6" borderId="0" xfId="0" applyNumberFormat="1" applyFont="1" applyFill="1" applyAlignment="1" applyProtection="1">
      <alignment horizontal="center"/>
      <protection locked="0" hidden="1"/>
    </xf>
    <xf numFmtId="177" fontId="38" fillId="6" borderId="8" xfId="0" applyNumberFormat="1" applyFont="1" applyFill="1" applyBorder="1" applyAlignment="1" applyProtection="1">
      <alignment horizontal="center"/>
      <protection locked="0" hidden="1"/>
    </xf>
    <xf numFmtId="9" fontId="68" fillId="0" borderId="0" xfId="0" applyNumberFormat="1" applyFont="1" applyAlignment="1" applyProtection="1">
      <alignment horizontal="center"/>
      <protection locked="0" hidden="1"/>
    </xf>
    <xf numFmtId="0" fontId="0" fillId="3" borderId="7" xfId="0" applyFill="1" applyBorder="1" applyProtection="1">
      <protection locked="0" hidden="1"/>
    </xf>
    <xf numFmtId="0" fontId="0" fillId="0" borderId="42" xfId="0" applyBorder="1" applyAlignment="1" applyProtection="1">
      <alignment horizontal="center"/>
      <protection locked="0" hidden="1"/>
    </xf>
    <xf numFmtId="0" fontId="0" fillId="3" borderId="9" xfId="0" applyFill="1" applyBorder="1" applyProtection="1">
      <protection locked="0" hidden="1"/>
    </xf>
    <xf numFmtId="9" fontId="0" fillId="0" borderId="46" xfId="2" applyFont="1" applyBorder="1" applyAlignment="1" applyProtection="1">
      <alignment horizontal="left"/>
      <protection locked="0" hidden="1"/>
    </xf>
    <xf numFmtId="177" fontId="38" fillId="6" borderId="10" xfId="0" applyNumberFormat="1" applyFont="1" applyFill="1" applyBorder="1" applyAlignment="1" applyProtection="1">
      <alignment horizontal="center"/>
      <protection locked="0" hidden="1"/>
    </xf>
    <xf numFmtId="177" fontId="38" fillId="6" borderId="11" xfId="0" applyNumberFormat="1" applyFont="1" applyFill="1" applyBorder="1" applyAlignment="1" applyProtection="1">
      <alignment horizontal="center"/>
      <protection locked="0" hidden="1"/>
    </xf>
    <xf numFmtId="43" fontId="44" fillId="0" borderId="7" xfId="1" applyFont="1" applyBorder="1" applyAlignment="1" applyProtection="1">
      <alignment horizontal="centerContinuous"/>
      <protection locked="0" hidden="1"/>
    </xf>
    <xf numFmtId="43" fontId="44" fillId="0" borderId="0" xfId="1" applyFont="1" applyAlignment="1" applyProtection="1">
      <alignment horizontal="centerContinuous"/>
      <protection locked="0" hidden="1"/>
    </xf>
    <xf numFmtId="43" fontId="9" fillId="0" borderId="0" xfId="1" applyFont="1" applyAlignment="1" applyProtection="1">
      <alignment horizontal="centerContinuous" vertical="center"/>
      <protection locked="0" hidden="1"/>
    </xf>
    <xf numFmtId="0" fontId="0" fillId="0" borderId="49" xfId="0" applyBorder="1" applyProtection="1">
      <protection locked="0" hidden="1"/>
    </xf>
    <xf numFmtId="43" fontId="0" fillId="0" borderId="7" xfId="1" applyFont="1" applyBorder="1" applyAlignment="1" applyProtection="1">
      <alignment horizontal="left"/>
      <protection locked="0" hidden="1"/>
    </xf>
    <xf numFmtId="0" fontId="0" fillId="0" borderId="50" xfId="0" applyBorder="1" applyAlignment="1" applyProtection="1">
      <alignment horizontal="center"/>
      <protection locked="0" hidden="1"/>
    </xf>
    <xf numFmtId="43" fontId="64" fillId="9" borderId="4" xfId="1" applyFont="1" applyFill="1" applyBorder="1" applyAlignment="1" applyProtection="1">
      <alignment horizontal="centerContinuous" wrapText="1"/>
      <protection locked="0" hidden="1"/>
    </xf>
    <xf numFmtId="43" fontId="64" fillId="9" borderId="5" xfId="1" applyFont="1" applyFill="1" applyBorder="1" applyAlignment="1" applyProtection="1">
      <alignment horizontal="centerContinuous" wrapText="1"/>
      <protection locked="0" hidden="1"/>
    </xf>
    <xf numFmtId="43" fontId="64" fillId="9" borderId="6" xfId="1" applyFont="1" applyFill="1" applyBorder="1" applyAlignment="1" applyProtection="1">
      <alignment horizontal="centerContinuous" wrapText="1"/>
      <protection locked="0" hidden="1"/>
    </xf>
    <xf numFmtId="43" fontId="27" fillId="0" borderId="4" xfId="1" applyFont="1" applyBorder="1" applyAlignment="1" applyProtection="1">
      <alignment horizontal="centerContinuous" vertical="center"/>
      <protection locked="0" hidden="1"/>
    </xf>
    <xf numFmtId="43" fontId="27" fillId="0" borderId="16" xfId="1" applyFont="1" applyBorder="1" applyAlignment="1" applyProtection="1">
      <alignment horizontal="centerContinuous" vertical="center"/>
      <protection locked="0" hidden="1"/>
    </xf>
    <xf numFmtId="43" fontId="27" fillId="0" borderId="17" xfId="1" applyFont="1" applyBorder="1" applyAlignment="1" applyProtection="1">
      <alignment horizontal="centerContinuous" vertical="center"/>
      <protection locked="0" hidden="1"/>
    </xf>
    <xf numFmtId="43" fontId="27" fillId="0" borderId="6" xfId="1" applyFont="1" applyBorder="1" applyAlignment="1" applyProtection="1">
      <alignment horizontal="centerContinuous" vertical="center"/>
      <protection locked="0" hidden="1"/>
    </xf>
    <xf numFmtId="43" fontId="27" fillId="0" borderId="0" xfId="1" applyFont="1" applyAlignment="1" applyProtection="1">
      <alignment horizontal="centerContinuous"/>
      <protection locked="0" hidden="1"/>
    </xf>
    <xf numFmtId="0" fontId="0" fillId="0" borderId="0" xfId="0" applyAlignment="1" applyProtection="1">
      <alignment horizontal="centerContinuous"/>
      <protection locked="0" hidden="1"/>
    </xf>
    <xf numFmtId="0" fontId="0" fillId="0" borderId="61" xfId="0" applyBorder="1" applyAlignment="1" applyProtection="1">
      <alignment horizontal="center"/>
      <protection locked="0" hidden="1"/>
    </xf>
    <xf numFmtId="5" fontId="0" fillId="6" borderId="0" xfId="0" applyNumberFormat="1" applyFill="1" applyAlignment="1" applyProtection="1">
      <alignment horizontal="left"/>
      <protection locked="0" hidden="1"/>
    </xf>
    <xf numFmtId="0" fontId="56" fillId="0" borderId="0" xfId="0" applyFont="1" applyAlignment="1" applyProtection="1">
      <alignment horizontal="center"/>
      <protection locked="0" hidden="1"/>
    </xf>
    <xf numFmtId="177" fontId="41" fillId="6" borderId="0" xfId="0" applyNumberFormat="1" applyFont="1" applyFill="1" applyAlignment="1" applyProtection="1">
      <alignment horizontal="center"/>
      <protection locked="0" hidden="1"/>
    </xf>
    <xf numFmtId="0" fontId="36" fillId="5" borderId="34" xfId="0" applyFont="1" applyFill="1" applyBorder="1" applyAlignment="1" applyProtection="1">
      <alignment horizontal="center" vertical="center"/>
      <protection locked="0" hidden="1"/>
    </xf>
    <xf numFmtId="180" fontId="34" fillId="0" borderId="0" xfId="0" applyNumberFormat="1" applyFont="1" applyAlignment="1" applyProtection="1">
      <alignment horizontal="center"/>
      <protection locked="0" hidden="1"/>
    </xf>
    <xf numFmtId="180" fontId="0" fillId="0" borderId="0" xfId="0" applyNumberFormat="1" applyAlignment="1" applyProtection="1">
      <alignment horizontal="center"/>
      <protection locked="0" hidden="1"/>
    </xf>
    <xf numFmtId="0" fontId="36" fillId="5" borderId="73" xfId="0" applyFont="1" applyFill="1" applyBorder="1" applyAlignment="1" applyProtection="1">
      <alignment horizontal="right" vertical="center"/>
      <protection locked="0" hidden="1"/>
    </xf>
    <xf numFmtId="0" fontId="62" fillId="1" borderId="14" xfId="0" applyFont="1" applyFill="1" applyBorder="1" applyAlignment="1" applyProtection="1">
      <alignment horizontal="center"/>
      <protection locked="0" hidden="1"/>
    </xf>
    <xf numFmtId="0" fontId="0" fillId="1" borderId="15" xfId="0" applyFill="1" applyBorder="1" applyProtection="1">
      <protection locked="0" hidden="1"/>
    </xf>
    <xf numFmtId="0" fontId="0" fillId="1" borderId="8" xfId="0" applyFill="1" applyBorder="1" applyProtection="1">
      <protection locked="0" hidden="1"/>
    </xf>
    <xf numFmtId="0" fontId="62" fillId="1" borderId="20" xfId="0" applyFont="1" applyFill="1" applyBorder="1" applyAlignment="1" applyProtection="1">
      <alignment horizontal="center"/>
      <protection locked="0" hidden="1"/>
    </xf>
    <xf numFmtId="0" fontId="0" fillId="1" borderId="11" xfId="0" applyFill="1" applyBorder="1" applyProtection="1">
      <protection locked="0" hidden="1"/>
    </xf>
    <xf numFmtId="0" fontId="0" fillId="0" borderId="30" xfId="0" applyBorder="1" applyProtection="1">
      <protection locked="0" hidden="1"/>
    </xf>
    <xf numFmtId="0" fontId="0" fillId="0" borderId="74" xfId="0" applyBorder="1" applyProtection="1">
      <protection locked="0" hidden="1"/>
    </xf>
    <xf numFmtId="0" fontId="0" fillId="0" borderId="33" xfId="0" applyBorder="1" applyProtection="1">
      <protection locked="0" hidden="1"/>
    </xf>
    <xf numFmtId="0" fontId="11" fillId="12" borderId="0" xfId="0" applyFont="1" applyFill="1" applyProtection="1">
      <protection locked="0" hidden="1"/>
    </xf>
    <xf numFmtId="0" fontId="34" fillId="12" borderId="0" xfId="0" applyFont="1" applyFill="1" applyProtection="1">
      <protection locked="0" hidden="1"/>
    </xf>
    <xf numFmtId="0" fontId="0" fillId="5" borderId="67" xfId="0" applyFill="1" applyBorder="1" applyProtection="1">
      <protection locked="0" hidden="1"/>
    </xf>
    <xf numFmtId="0" fontId="40" fillId="0" borderId="68" xfId="0" applyFont="1" applyBorder="1" applyProtection="1">
      <protection locked="0" hidden="1"/>
    </xf>
    <xf numFmtId="0" fontId="0" fillId="0" borderId="69" xfId="0" applyBorder="1" applyProtection="1">
      <protection locked="0" hidden="1"/>
    </xf>
    <xf numFmtId="0" fontId="40" fillId="0" borderId="0" xfId="0" applyFont="1" applyProtection="1">
      <protection locked="0" hidden="1"/>
    </xf>
    <xf numFmtId="43" fontId="40" fillId="0" borderId="0" xfId="1" applyFont="1" applyProtection="1">
      <protection locked="0" hidden="1"/>
    </xf>
    <xf numFmtId="0" fontId="36" fillId="0" borderId="0" xfId="0" applyFont="1" applyProtection="1">
      <protection locked="0" hidden="1"/>
    </xf>
    <xf numFmtId="43" fontId="0" fillId="0" borderId="10" xfId="1" applyFont="1" applyBorder="1" applyProtection="1">
      <protection locked="0" hidden="1"/>
    </xf>
    <xf numFmtId="0" fontId="8" fillId="12" borderId="0" xfId="0" applyFont="1" applyFill="1" applyProtection="1">
      <protection locked="0" hidden="1"/>
    </xf>
    <xf numFmtId="7" fontId="0" fillId="0" borderId="0" xfId="0" applyNumberFormat="1" applyProtection="1">
      <protection locked="0" hidden="1"/>
    </xf>
    <xf numFmtId="7" fontId="0" fillId="0" borderId="15" xfId="0" applyNumberFormat="1" applyBorder="1" applyProtection="1">
      <protection locked="0" hidden="1"/>
    </xf>
    <xf numFmtId="0" fontId="8" fillId="0" borderId="4" xfId="0" applyFont="1" applyBorder="1" applyProtection="1">
      <protection locked="0" hidden="1"/>
    </xf>
    <xf numFmtId="5" fontId="0" fillId="0" borderId="0" xfId="0" applyNumberFormat="1" applyAlignment="1" applyProtection="1">
      <alignment horizontal="center"/>
      <protection locked="0" hidden="1"/>
    </xf>
    <xf numFmtId="5" fontId="0" fillId="0" borderId="8" xfId="0" applyNumberFormat="1" applyBorder="1" applyAlignment="1" applyProtection="1">
      <alignment horizontal="center"/>
      <protection locked="0" hidden="1"/>
    </xf>
    <xf numFmtId="5" fontId="0" fillId="0" borderId="15" xfId="0" applyNumberFormat="1" applyBorder="1" applyAlignment="1" applyProtection="1">
      <alignment horizontal="center"/>
      <protection locked="0" hidden="1"/>
    </xf>
    <xf numFmtId="0" fontId="8" fillId="0" borderId="7" xfId="0" applyFont="1" applyBorder="1" applyProtection="1">
      <protection locked="0" hidden="1"/>
    </xf>
    <xf numFmtId="7" fontId="0" fillId="0" borderId="8" xfId="0" applyNumberFormat="1" applyBorder="1" applyProtection="1">
      <protection locked="0" hidden="1"/>
    </xf>
    <xf numFmtId="7" fontId="0" fillId="0" borderId="10" xfId="0" applyNumberFormat="1" applyBorder="1" applyProtection="1">
      <protection locked="0" hidden="1"/>
    </xf>
    <xf numFmtId="0" fontId="0" fillId="0" borderId="34" xfId="0" applyBorder="1" applyAlignment="1" applyProtection="1">
      <alignment horizontal="center"/>
      <protection locked="0" hidden="1"/>
    </xf>
    <xf numFmtId="5" fontId="0" fillId="0" borderId="41" xfId="0" applyNumberFormat="1" applyBorder="1" applyAlignment="1" applyProtection="1">
      <alignment horizontal="center"/>
      <protection locked="0" hidden="1"/>
    </xf>
    <xf numFmtId="43" fontId="0" fillId="0" borderId="12" xfId="0" applyNumberFormat="1" applyBorder="1" applyProtection="1">
      <protection locked="0" hidden="1"/>
    </xf>
    <xf numFmtId="0" fontId="0" fillId="0" borderId="41" xfId="0" applyBorder="1" applyProtection="1">
      <protection locked="0" hidden="1"/>
    </xf>
    <xf numFmtId="171" fontId="0" fillId="0" borderId="0" xfId="0" applyNumberFormat="1" applyProtection="1">
      <protection locked="0" hidden="1"/>
    </xf>
    <xf numFmtId="37" fontId="0" fillId="0" borderId="0" xfId="0" applyNumberFormat="1" applyProtection="1">
      <protection locked="0" hidden="1"/>
    </xf>
    <xf numFmtId="0" fontId="0" fillId="0" borderId="1" xfId="0" applyBorder="1" applyAlignment="1" applyProtection="1">
      <alignment horizontal="left"/>
      <protection locked="0" hidden="1"/>
    </xf>
    <xf numFmtId="0" fontId="28" fillId="0" borderId="0" xfId="0" applyFont="1" applyProtection="1">
      <protection locked="0" hidden="1"/>
    </xf>
    <xf numFmtId="0" fontId="0" fillId="2" borderId="2" xfId="0" applyFill="1" applyBorder="1" applyAlignment="1" applyProtection="1">
      <alignment horizontal="left"/>
      <protection locked="0" hidden="1"/>
    </xf>
    <xf numFmtId="0" fontId="0" fillId="2" borderId="0" xfId="0" applyFill="1" applyAlignment="1" applyProtection="1">
      <alignment horizontal="left"/>
      <protection locked="0" hidden="1"/>
    </xf>
    <xf numFmtId="0" fontId="0" fillId="2" borderId="1" xfId="0" applyFill="1" applyBorder="1" applyAlignment="1" applyProtection="1">
      <alignment horizontal="left"/>
      <protection locked="0" hidden="1"/>
    </xf>
    <xf numFmtId="0" fontId="24" fillId="2" borderId="1" xfId="0" applyFont="1" applyFill="1" applyBorder="1" applyAlignment="1" applyProtection="1">
      <alignment horizontal="right"/>
      <protection locked="0" hidden="1"/>
    </xf>
    <xf numFmtId="0" fontId="52" fillId="0" borderId="0" xfId="0" applyFont="1" applyProtection="1">
      <protection locked="0" hidden="1"/>
    </xf>
    <xf numFmtId="0" fontId="0" fillId="0" borderId="3" xfId="0" applyBorder="1" applyProtection="1">
      <protection locked="0" hidden="1"/>
    </xf>
    <xf numFmtId="0" fontId="52" fillId="0" borderId="0" xfId="0" applyFont="1" applyAlignment="1" applyProtection="1">
      <alignment horizontal="left"/>
      <protection locked="0" hidden="1"/>
    </xf>
    <xf numFmtId="0" fontId="8" fillId="0" borderId="56" xfId="0" applyFont="1" applyBorder="1" applyAlignment="1" applyProtection="1">
      <alignment horizontal="centerContinuous"/>
      <protection locked="0" hidden="1"/>
    </xf>
    <xf numFmtId="0" fontId="8" fillId="0" borderId="57" xfId="0" applyFont="1" applyBorder="1" applyAlignment="1" applyProtection="1">
      <alignment horizontal="centerContinuous"/>
      <protection locked="0" hidden="1"/>
    </xf>
    <xf numFmtId="0" fontId="8" fillId="0" borderId="58" xfId="0" applyFont="1" applyBorder="1" applyAlignment="1" applyProtection="1">
      <alignment horizontal="centerContinuous"/>
      <protection locked="0" hidden="1"/>
    </xf>
    <xf numFmtId="0" fontId="0" fillId="0" borderId="57" xfId="0" applyBorder="1" applyAlignment="1" applyProtection="1">
      <alignment horizontal="centerContinuous"/>
      <protection locked="0" hidden="1"/>
    </xf>
    <xf numFmtId="0" fontId="0" fillId="0" borderId="58" xfId="0" applyBorder="1" applyAlignment="1" applyProtection="1">
      <alignment horizontal="centerContinuous"/>
      <protection locked="0" hidden="1"/>
    </xf>
    <xf numFmtId="0" fontId="8" fillId="7" borderId="56" xfId="0" applyFont="1" applyFill="1" applyBorder="1" applyAlignment="1" applyProtection="1">
      <alignment horizontal="centerContinuous"/>
      <protection locked="0" hidden="1"/>
    </xf>
    <xf numFmtId="0" fontId="8" fillId="7" borderId="57" xfId="0" applyFont="1" applyFill="1" applyBorder="1" applyAlignment="1" applyProtection="1">
      <alignment horizontal="centerContinuous"/>
      <protection locked="0" hidden="1"/>
    </xf>
    <xf numFmtId="0" fontId="0" fillId="7" borderId="57" xfId="0" applyFill="1" applyBorder="1" applyAlignment="1" applyProtection="1">
      <alignment horizontal="centerContinuous"/>
      <protection locked="0" hidden="1"/>
    </xf>
    <xf numFmtId="0" fontId="0" fillId="7" borderId="58" xfId="0" applyFill="1" applyBorder="1" applyAlignment="1" applyProtection="1">
      <alignment horizontal="centerContinuous"/>
      <protection locked="0" hidden="1"/>
    </xf>
    <xf numFmtId="43" fontId="27" fillId="0" borderId="59" xfId="1" applyFont="1" applyBorder="1" applyAlignment="1" applyProtection="1">
      <alignment horizontal="centerContinuous" wrapText="1"/>
      <protection locked="0" hidden="1"/>
    </xf>
    <xf numFmtId="43" fontId="27" fillId="0" borderId="13" xfId="1" applyFont="1" applyBorder="1" applyAlignment="1" applyProtection="1">
      <alignment horizontal="centerContinuous" wrapText="1"/>
      <protection locked="0" hidden="1"/>
    </xf>
    <xf numFmtId="43" fontId="27" fillId="0" borderId="18" xfId="1" applyFont="1" applyBorder="1" applyAlignment="1" applyProtection="1">
      <alignment horizontal="centerContinuous" wrapText="1"/>
      <protection locked="0" hidden="1"/>
    </xf>
    <xf numFmtId="43" fontId="27" fillId="7" borderId="59" xfId="1" applyFont="1" applyFill="1" applyBorder="1" applyAlignment="1" applyProtection="1">
      <alignment horizontal="centerContinuous" wrapText="1"/>
      <protection locked="0" hidden="1"/>
    </xf>
    <xf numFmtId="43" fontId="27" fillId="7" borderId="13" xfId="1" applyFont="1" applyFill="1" applyBorder="1" applyAlignment="1" applyProtection="1">
      <alignment horizontal="centerContinuous" wrapText="1"/>
      <protection locked="0" hidden="1"/>
    </xf>
    <xf numFmtId="43" fontId="27" fillId="7" borderId="18" xfId="1" applyFont="1" applyFill="1" applyBorder="1" applyAlignment="1" applyProtection="1">
      <alignment horizontal="centerContinuous" wrapText="1"/>
      <protection locked="0" hidden="1"/>
    </xf>
    <xf numFmtId="43" fontId="41" fillId="0" borderId="7" xfId="0" applyNumberFormat="1" applyFont="1" applyBorder="1" applyAlignment="1" applyProtection="1">
      <alignment horizontal="center"/>
      <protection locked="0" hidden="1"/>
    </xf>
    <xf numFmtId="43" fontId="41" fillId="0" borderId="0" xfId="0" applyNumberFormat="1" applyFont="1" applyAlignment="1" applyProtection="1">
      <alignment horizontal="center"/>
      <protection locked="0" hidden="1"/>
    </xf>
    <xf numFmtId="43" fontId="41" fillId="0" borderId="8" xfId="0" applyNumberFormat="1" applyFont="1" applyBorder="1" applyAlignment="1" applyProtection="1">
      <alignment horizontal="center"/>
      <protection locked="0" hidden="1"/>
    </xf>
    <xf numFmtId="43" fontId="41" fillId="7" borderId="7" xfId="0" applyNumberFormat="1" applyFont="1" applyFill="1" applyBorder="1" applyAlignment="1" applyProtection="1">
      <alignment horizontal="center"/>
      <protection locked="0" hidden="1"/>
    </xf>
    <xf numFmtId="43" fontId="41" fillId="7" borderId="0" xfId="0" applyNumberFormat="1" applyFont="1" applyFill="1" applyAlignment="1" applyProtection="1">
      <alignment horizontal="center"/>
      <protection locked="0" hidden="1"/>
    </xf>
    <xf numFmtId="43" fontId="41" fillId="7" borderId="8" xfId="0" applyNumberFormat="1" applyFont="1" applyFill="1" applyBorder="1" applyAlignment="1" applyProtection="1">
      <alignment horizontal="center"/>
      <protection locked="0" hidden="1"/>
    </xf>
    <xf numFmtId="0" fontId="8" fillId="5" borderId="63" xfId="0" applyFont="1" applyFill="1" applyBorder="1" applyProtection="1">
      <protection locked="0" hidden="1"/>
    </xf>
    <xf numFmtId="43" fontId="41" fillId="5" borderId="59" xfId="0" applyNumberFormat="1" applyFont="1" applyFill="1" applyBorder="1" applyAlignment="1" applyProtection="1">
      <alignment horizontal="center"/>
      <protection locked="0" hidden="1"/>
    </xf>
    <xf numFmtId="43" fontId="41" fillId="5" borderId="13" xfId="0" applyNumberFormat="1" applyFont="1" applyFill="1" applyBorder="1" applyAlignment="1" applyProtection="1">
      <alignment horizontal="center"/>
      <protection locked="0" hidden="1"/>
    </xf>
    <xf numFmtId="43" fontId="41" fillId="5" borderId="18" xfId="0" applyNumberFormat="1" applyFont="1" applyFill="1" applyBorder="1" applyAlignment="1" applyProtection="1">
      <alignment horizontal="center"/>
      <protection locked="0" hidden="1"/>
    </xf>
    <xf numFmtId="1" fontId="23" fillId="5" borderId="60" xfId="0" applyNumberFormat="1" applyFont="1" applyFill="1" applyBorder="1" applyAlignment="1" applyProtection="1">
      <alignment horizontal="center"/>
      <protection locked="0" hidden="1"/>
    </xf>
    <xf numFmtId="1" fontId="23" fillId="5" borderId="3" xfId="0" applyNumberFormat="1" applyFont="1" applyFill="1" applyBorder="1" applyAlignment="1" applyProtection="1">
      <alignment horizontal="center"/>
      <protection locked="0" hidden="1"/>
    </xf>
    <xf numFmtId="1" fontId="23" fillId="5" borderId="48" xfId="0" applyNumberFormat="1" applyFont="1" applyFill="1" applyBorder="1" applyAlignment="1" applyProtection="1">
      <alignment horizontal="center"/>
      <protection locked="0" hidden="1"/>
    </xf>
    <xf numFmtId="5" fontId="0" fillId="0" borderId="59" xfId="0" applyNumberFormat="1" applyBorder="1" applyAlignment="1" applyProtection="1">
      <alignment horizontal="center"/>
      <protection locked="0" hidden="1"/>
    </xf>
    <xf numFmtId="5" fontId="0" fillId="0" borderId="13" xfId="0" applyNumberFormat="1" applyBorder="1" applyAlignment="1" applyProtection="1">
      <alignment horizontal="center"/>
      <protection locked="0" hidden="1"/>
    </xf>
    <xf numFmtId="5" fontId="0" fillId="0" borderId="18" xfId="0" applyNumberFormat="1" applyBorder="1" applyAlignment="1" applyProtection="1">
      <alignment horizontal="center"/>
      <protection locked="0" hidden="1"/>
    </xf>
    <xf numFmtId="5" fontId="0" fillId="7" borderId="59" xfId="0" applyNumberFormat="1" applyFill="1" applyBorder="1" applyAlignment="1" applyProtection="1">
      <alignment horizontal="center"/>
      <protection locked="0" hidden="1"/>
    </xf>
    <xf numFmtId="5" fontId="0" fillId="7" borderId="13" xfId="0" applyNumberFormat="1" applyFill="1" applyBorder="1" applyAlignment="1" applyProtection="1">
      <alignment horizontal="center"/>
      <protection locked="0" hidden="1"/>
    </xf>
    <xf numFmtId="5" fontId="0" fillId="7" borderId="18" xfId="0" applyNumberFormat="1" applyFill="1" applyBorder="1" applyAlignment="1" applyProtection="1">
      <alignment horizontal="center"/>
      <protection locked="0" hidden="1"/>
    </xf>
    <xf numFmtId="5" fontId="0" fillId="0" borderId="7" xfId="0" applyNumberFormat="1" applyBorder="1" applyAlignment="1" applyProtection="1">
      <alignment horizontal="center"/>
      <protection locked="0" hidden="1"/>
    </xf>
    <xf numFmtId="5" fontId="0" fillId="7" borderId="7" xfId="0" applyNumberFormat="1" applyFill="1" applyBorder="1" applyAlignment="1" applyProtection="1">
      <alignment horizontal="center"/>
      <protection locked="0" hidden="1"/>
    </xf>
    <xf numFmtId="5" fontId="0" fillId="7" borderId="0" xfId="0" applyNumberFormat="1" applyFill="1" applyAlignment="1" applyProtection="1">
      <alignment horizontal="center"/>
      <protection locked="0" hidden="1"/>
    </xf>
    <xf numFmtId="5" fontId="0" fillId="7" borderId="8" xfId="0" applyNumberFormat="1" applyFill="1" applyBorder="1" applyAlignment="1" applyProtection="1">
      <alignment horizontal="center"/>
      <protection locked="0" hidden="1"/>
    </xf>
    <xf numFmtId="43" fontId="0" fillId="0" borderId="9" xfId="1" applyFont="1" applyBorder="1" applyProtection="1">
      <protection locked="0" hidden="1"/>
    </xf>
    <xf numFmtId="5" fontId="0" fillId="7" borderId="10" xfId="0" applyNumberFormat="1" applyFill="1" applyBorder="1" applyAlignment="1" applyProtection="1">
      <alignment horizontal="center"/>
      <protection locked="0" hidden="1"/>
    </xf>
    <xf numFmtId="5" fontId="0" fillId="7" borderId="11" xfId="0" applyNumberFormat="1" applyFill="1" applyBorder="1" applyAlignment="1" applyProtection="1">
      <alignment horizontal="center"/>
      <protection locked="0" hidden="1"/>
    </xf>
    <xf numFmtId="0" fontId="24" fillId="5" borderId="0" xfId="0" applyFont="1" applyFill="1" applyProtection="1">
      <protection locked="0" hidden="1"/>
    </xf>
    <xf numFmtId="0" fontId="0" fillId="5" borderId="0" xfId="0" applyFill="1" applyProtection="1">
      <protection locked="0" hidden="1"/>
    </xf>
    <xf numFmtId="43" fontId="0" fillId="0" borderId="0" xfId="0" applyNumberFormat="1" applyAlignment="1" applyProtection="1">
      <alignment horizontal="center"/>
      <protection locked="0" hidden="1"/>
    </xf>
    <xf numFmtId="43" fontId="0" fillId="7" borderId="0" xfId="0" applyNumberFormat="1" applyFill="1" applyAlignment="1" applyProtection="1">
      <alignment horizontal="center"/>
      <protection locked="0" hidden="1"/>
    </xf>
    <xf numFmtId="43" fontId="0" fillId="7" borderId="8" xfId="0" applyNumberFormat="1" applyFill="1" applyBorder="1" applyAlignment="1" applyProtection="1">
      <alignment horizontal="center"/>
      <protection locked="0" hidden="1"/>
    </xf>
    <xf numFmtId="43" fontId="0" fillId="0" borderId="59" xfId="0" applyNumberFormat="1" applyBorder="1" applyAlignment="1" applyProtection="1">
      <alignment horizontal="center"/>
      <protection locked="0" hidden="1"/>
    </xf>
    <xf numFmtId="43" fontId="0" fillId="0" borderId="13" xfId="0" applyNumberFormat="1" applyBorder="1" applyAlignment="1" applyProtection="1">
      <alignment horizontal="center"/>
      <protection locked="0" hidden="1"/>
    </xf>
    <xf numFmtId="43" fontId="0" fillId="7" borderId="13" xfId="0" applyNumberFormat="1" applyFill="1" applyBorder="1" applyAlignment="1" applyProtection="1">
      <alignment horizontal="center"/>
      <protection locked="0" hidden="1"/>
    </xf>
    <xf numFmtId="43" fontId="0" fillId="7" borderId="18" xfId="0" applyNumberFormat="1" applyFill="1" applyBorder="1" applyAlignment="1" applyProtection="1">
      <alignment horizontal="center"/>
      <protection locked="0" hidden="1"/>
    </xf>
    <xf numFmtId="170" fontId="7" fillId="0" borderId="7" xfId="2" applyNumberFormat="1" applyBorder="1" applyAlignment="1" applyProtection="1">
      <alignment horizontal="center" vertical="center"/>
      <protection locked="0" hidden="1"/>
    </xf>
    <xf numFmtId="170" fontId="7" fillId="0" borderId="0" xfId="2" applyNumberFormat="1" applyAlignment="1" applyProtection="1">
      <alignment horizontal="center" vertical="center"/>
      <protection locked="0" hidden="1"/>
    </xf>
    <xf numFmtId="170" fontId="7" fillId="7" borderId="0" xfId="2" applyNumberFormat="1" applyFill="1" applyAlignment="1" applyProtection="1">
      <alignment horizontal="center" vertical="center"/>
      <protection locked="0" hidden="1"/>
    </xf>
    <xf numFmtId="170" fontId="7" fillId="7" borderId="8" xfId="2" applyNumberFormat="1" applyFill="1" applyBorder="1" applyAlignment="1" applyProtection="1">
      <alignment horizontal="center" vertical="center"/>
      <protection locked="0" hidden="1"/>
    </xf>
    <xf numFmtId="170" fontId="7" fillId="0" borderId="7" xfId="2" applyNumberFormat="1" applyBorder="1" applyAlignment="1" applyProtection="1">
      <alignment horizontal="center"/>
      <protection locked="0" hidden="1"/>
    </xf>
    <xf numFmtId="170" fontId="7" fillId="0" borderId="0" xfId="2" applyNumberFormat="1" applyAlignment="1" applyProtection="1">
      <alignment horizontal="center"/>
      <protection locked="0" hidden="1"/>
    </xf>
    <xf numFmtId="170" fontId="7" fillId="7" borderId="0" xfId="2" applyNumberFormat="1" applyFill="1" applyAlignment="1" applyProtection="1">
      <alignment horizontal="center"/>
      <protection locked="0" hidden="1"/>
    </xf>
    <xf numFmtId="170" fontId="7" fillId="7" borderId="8" xfId="2" applyNumberFormat="1" applyFill="1" applyBorder="1" applyAlignment="1" applyProtection="1">
      <alignment horizontal="center"/>
      <protection locked="0" hidden="1"/>
    </xf>
    <xf numFmtId="43" fontId="0" fillId="0" borderId="50" xfId="1" applyFont="1" applyBorder="1" applyProtection="1">
      <protection locked="0" hidden="1"/>
    </xf>
    <xf numFmtId="170" fontId="40" fillId="13" borderId="3" xfId="2" applyNumberFormat="1" applyFont="1" applyFill="1" applyBorder="1" applyAlignment="1" applyProtection="1">
      <alignment horizontal="center"/>
      <protection locked="0" hidden="1"/>
    </xf>
    <xf numFmtId="170" fontId="40" fillId="7" borderId="0" xfId="2" applyNumberFormat="1" applyFont="1" applyFill="1" applyAlignment="1" applyProtection="1">
      <alignment horizontal="center"/>
      <protection locked="0" hidden="1"/>
    </xf>
    <xf numFmtId="170" fontId="40" fillId="7" borderId="8" xfId="2" applyNumberFormat="1" applyFont="1" applyFill="1" applyBorder="1" applyAlignment="1" applyProtection="1">
      <alignment horizontal="center"/>
      <protection locked="0" hidden="1"/>
    </xf>
    <xf numFmtId="170" fontId="7" fillId="0" borderId="9" xfId="0" applyNumberFormat="1" applyFont="1" applyBorder="1" applyAlignment="1" applyProtection="1">
      <alignment horizontal="center"/>
      <protection locked="0" hidden="1"/>
    </xf>
    <xf numFmtId="170" fontId="7" fillId="0" borderId="10" xfId="0" applyNumberFormat="1" applyFont="1" applyBorder="1" applyAlignment="1" applyProtection="1">
      <alignment horizontal="center"/>
      <protection locked="0" hidden="1"/>
    </xf>
    <xf numFmtId="170" fontId="7" fillId="7" borderId="10" xfId="0" applyNumberFormat="1" applyFont="1" applyFill="1" applyBorder="1" applyAlignment="1" applyProtection="1">
      <alignment horizontal="center"/>
      <protection locked="0" hidden="1"/>
    </xf>
    <xf numFmtId="170" fontId="7" fillId="7" borderId="11" xfId="0" applyNumberFormat="1" applyFont="1" applyFill="1" applyBorder="1" applyAlignment="1" applyProtection="1">
      <alignment horizontal="center"/>
      <protection locked="0" hidden="1"/>
    </xf>
    <xf numFmtId="0" fontId="54" fillId="4" borderId="56" xfId="0" applyFont="1" applyFill="1" applyBorder="1" applyAlignment="1" applyProtection="1">
      <alignment horizontal="centerContinuous"/>
      <protection locked="0" hidden="1"/>
    </xf>
    <xf numFmtId="0" fontId="54" fillId="4" borderId="64" xfId="0" applyFont="1" applyFill="1" applyBorder="1" applyAlignment="1" applyProtection="1">
      <alignment horizontal="centerContinuous"/>
      <protection locked="0" hidden="1"/>
    </xf>
    <xf numFmtId="0" fontId="53" fillId="4" borderId="57" xfId="0" applyFont="1" applyFill="1" applyBorder="1" applyAlignment="1" applyProtection="1">
      <alignment horizontal="centerContinuous"/>
      <protection locked="0" hidden="1"/>
    </xf>
    <xf numFmtId="0" fontId="53" fillId="4" borderId="58" xfId="0" applyFont="1" applyFill="1" applyBorder="1" applyAlignment="1" applyProtection="1">
      <alignment horizontal="centerContinuous"/>
      <protection locked="0" hidden="1"/>
    </xf>
    <xf numFmtId="0" fontId="54" fillId="4" borderId="4" xfId="0" applyFont="1" applyFill="1" applyBorder="1" applyAlignment="1" applyProtection="1">
      <alignment horizontal="centerContinuous"/>
      <protection locked="0" hidden="1"/>
    </xf>
    <xf numFmtId="0" fontId="53" fillId="4" borderId="5" xfId="0" applyFont="1" applyFill="1" applyBorder="1" applyAlignment="1" applyProtection="1">
      <alignment horizontal="centerContinuous"/>
      <protection locked="0" hidden="1"/>
    </xf>
    <xf numFmtId="0" fontId="53" fillId="4" borderId="6" xfId="0" applyFont="1" applyFill="1" applyBorder="1" applyAlignment="1" applyProtection="1">
      <alignment horizontal="centerContinuous"/>
      <protection locked="0" hidden="1"/>
    </xf>
    <xf numFmtId="43" fontId="9" fillId="0" borderId="59" xfId="1" applyFont="1" applyBorder="1" applyAlignment="1" applyProtection="1">
      <alignment horizontal="centerContinuous"/>
      <protection locked="0" hidden="1"/>
    </xf>
    <xf numFmtId="43" fontId="9" fillId="0" borderId="13" xfId="1" applyFont="1" applyBorder="1" applyAlignment="1" applyProtection="1">
      <alignment horizontal="centerContinuous"/>
      <protection locked="0" hidden="1"/>
    </xf>
    <xf numFmtId="43" fontId="9" fillId="0" borderId="18" xfId="1" applyFont="1" applyBorder="1" applyAlignment="1" applyProtection="1">
      <alignment horizontal="centerContinuous"/>
      <protection locked="0" hidden="1"/>
    </xf>
    <xf numFmtId="0" fontId="0" fillId="0" borderId="59" xfId="0" applyBorder="1" applyAlignment="1" applyProtection="1">
      <alignment horizontal="center"/>
      <protection locked="0" hidden="1"/>
    </xf>
    <xf numFmtId="43" fontId="39" fillId="0" borderId="59" xfId="1" applyFont="1" applyBorder="1" applyAlignment="1" applyProtection="1">
      <alignment horizontal="centerContinuous" wrapText="1"/>
      <protection locked="0" hidden="1"/>
    </xf>
    <xf numFmtId="43" fontId="39" fillId="0" borderId="13" xfId="1" applyFont="1" applyBorder="1" applyAlignment="1" applyProtection="1">
      <alignment horizontal="centerContinuous" wrapText="1"/>
      <protection locked="0" hidden="1"/>
    </xf>
    <xf numFmtId="43" fontId="39" fillId="0" borderId="18" xfId="1" applyFont="1" applyBorder="1" applyAlignment="1" applyProtection="1">
      <alignment horizontal="centerContinuous" wrapText="1"/>
      <protection locked="0" hidden="1"/>
    </xf>
    <xf numFmtId="43" fontId="0" fillId="0" borderId="63" xfId="0" applyNumberFormat="1" applyBorder="1" applyAlignment="1" applyProtection="1">
      <alignment horizontal="center"/>
      <protection locked="0" hidden="1"/>
    </xf>
    <xf numFmtId="43" fontId="0" fillId="0" borderId="39" xfId="0" applyNumberFormat="1" applyBorder="1" applyAlignment="1" applyProtection="1">
      <alignment horizontal="center"/>
      <protection locked="0" hidden="1"/>
    </xf>
    <xf numFmtId="43" fontId="0" fillId="0" borderId="47" xfId="0" applyNumberFormat="1" applyBorder="1" applyAlignment="1" applyProtection="1">
      <alignment horizontal="center"/>
      <protection locked="0" hidden="1"/>
    </xf>
    <xf numFmtId="0" fontId="0" fillId="0" borderId="63" xfId="0" applyBorder="1" applyAlignment="1" applyProtection="1">
      <alignment horizontal="center"/>
      <protection locked="0" hidden="1"/>
    </xf>
    <xf numFmtId="43" fontId="0" fillId="0" borderId="63" xfId="0" applyNumberFormat="1" applyBorder="1" applyProtection="1">
      <protection locked="0" hidden="1"/>
    </xf>
    <xf numFmtId="43" fontId="0" fillId="0" borderId="39" xfId="0" applyNumberFormat="1" applyBorder="1" applyProtection="1">
      <protection locked="0" hidden="1"/>
    </xf>
    <xf numFmtId="43" fontId="0" fillId="0" borderId="47" xfId="0" applyNumberFormat="1" applyBorder="1" applyProtection="1">
      <protection locked="0" hidden="1"/>
    </xf>
    <xf numFmtId="176" fontId="0" fillId="0" borderId="59" xfId="0" applyNumberFormat="1" applyBorder="1" applyAlignment="1" applyProtection="1">
      <alignment horizontal="center"/>
      <protection locked="0" hidden="1"/>
    </xf>
    <xf numFmtId="176" fontId="0" fillId="0" borderId="13" xfId="0" applyNumberFormat="1" applyBorder="1" applyAlignment="1" applyProtection="1">
      <alignment horizontal="center"/>
      <protection locked="0" hidden="1"/>
    </xf>
    <xf numFmtId="176" fontId="0" fillId="0" borderId="18" xfId="0" applyNumberFormat="1" applyBorder="1" applyAlignment="1" applyProtection="1">
      <alignment horizontal="center"/>
      <protection locked="0" hidden="1"/>
    </xf>
    <xf numFmtId="176" fontId="0" fillId="0" borderId="7" xfId="0" applyNumberFormat="1" applyBorder="1" applyAlignment="1" applyProtection="1">
      <alignment horizontal="center"/>
      <protection locked="0" hidden="1"/>
    </xf>
    <xf numFmtId="176" fontId="0" fillId="0" borderId="0" xfId="0" applyNumberFormat="1" applyAlignment="1" applyProtection="1">
      <alignment horizontal="center"/>
      <protection locked="0" hidden="1"/>
    </xf>
    <xf numFmtId="176" fontId="0" fillId="0" borderId="8" xfId="0" applyNumberFormat="1" applyBorder="1" applyAlignment="1" applyProtection="1">
      <alignment horizontal="center"/>
      <protection locked="0" hidden="1"/>
    </xf>
    <xf numFmtId="176" fontId="0" fillId="0" borderId="63" xfId="0" applyNumberFormat="1" applyBorder="1" applyAlignment="1" applyProtection="1">
      <alignment horizontal="center"/>
      <protection locked="0" hidden="1"/>
    </xf>
    <xf numFmtId="176" fontId="0" fillId="0" borderId="39" xfId="0" applyNumberFormat="1" applyBorder="1" applyAlignment="1" applyProtection="1">
      <alignment horizontal="center"/>
      <protection locked="0" hidden="1"/>
    </xf>
    <xf numFmtId="176" fontId="0" fillId="0" borderId="47" xfId="0" applyNumberFormat="1" applyBorder="1" applyAlignment="1" applyProtection="1">
      <alignment horizontal="center"/>
      <protection locked="0" hidden="1"/>
    </xf>
    <xf numFmtId="1" fontId="23" fillId="5" borderId="63" xfId="0" applyNumberFormat="1" applyFont="1" applyFill="1" applyBorder="1" applyAlignment="1" applyProtection="1">
      <alignment horizontal="center"/>
      <protection locked="0" hidden="1"/>
    </xf>
    <xf numFmtId="1" fontId="23" fillId="5" borderId="39" xfId="0" applyNumberFormat="1" applyFont="1" applyFill="1" applyBorder="1" applyAlignment="1" applyProtection="1">
      <alignment horizontal="center"/>
      <protection locked="0" hidden="1"/>
    </xf>
    <xf numFmtId="176" fontId="0" fillId="7" borderId="9" xfId="0" applyNumberFormat="1" applyFill="1" applyBorder="1" applyAlignment="1" applyProtection="1">
      <alignment horizontal="center"/>
      <protection locked="0" hidden="1"/>
    </xf>
    <xf numFmtId="176" fontId="0" fillId="7" borderId="10" xfId="0" applyNumberFormat="1" applyFill="1" applyBorder="1" applyAlignment="1" applyProtection="1">
      <alignment horizontal="center"/>
      <protection locked="0" hidden="1"/>
    </xf>
    <xf numFmtId="176" fontId="0" fillId="7" borderId="11" xfId="0" applyNumberFormat="1" applyFill="1" applyBorder="1" applyAlignment="1" applyProtection="1">
      <alignment horizontal="center"/>
      <protection locked="0" hidden="1"/>
    </xf>
    <xf numFmtId="173" fontId="0" fillId="7" borderId="9" xfId="0" applyNumberFormat="1" applyFill="1" applyBorder="1" applyAlignment="1" applyProtection="1">
      <alignment horizontal="center"/>
      <protection locked="0" hidden="1"/>
    </xf>
    <xf numFmtId="173" fontId="0" fillId="7" borderId="10" xfId="0" applyNumberFormat="1" applyFill="1" applyBorder="1" applyAlignment="1" applyProtection="1">
      <alignment horizontal="center"/>
      <protection locked="0" hidden="1"/>
    </xf>
    <xf numFmtId="173" fontId="0" fillId="7" borderId="11" xfId="0" applyNumberFormat="1" applyFill="1" applyBorder="1" applyAlignment="1" applyProtection="1">
      <alignment horizontal="center"/>
      <protection locked="0" hidden="1"/>
    </xf>
    <xf numFmtId="0" fontId="0" fillId="0" borderId="0" xfId="0" applyAlignment="1" applyProtection="1">
      <alignment wrapText="1"/>
      <protection locked="0" hidden="1"/>
    </xf>
    <xf numFmtId="0" fontId="0" fillId="0" borderId="66" xfId="0" applyBorder="1" applyAlignment="1" applyProtection="1">
      <alignment horizontal="left"/>
      <protection locked="0" hidden="1"/>
    </xf>
    <xf numFmtId="0" fontId="0" fillId="0" borderId="51" xfId="0" applyBorder="1" applyAlignment="1" applyProtection="1">
      <alignment horizontal="left" indent="1"/>
      <protection locked="0" hidden="1"/>
    </xf>
    <xf numFmtId="0" fontId="0" fillId="0" borderId="51" xfId="0" applyBorder="1" applyAlignment="1" applyProtection="1">
      <alignment horizontal="left"/>
      <protection locked="0" hidden="1"/>
    </xf>
    <xf numFmtId="0" fontId="0" fillId="0" borderId="53" xfId="0" applyBorder="1" applyAlignment="1" applyProtection="1">
      <alignment horizontal="left"/>
      <protection locked="0" hidden="1"/>
    </xf>
    <xf numFmtId="5" fontId="0" fillId="0" borderId="9" xfId="0" applyNumberFormat="1" applyBorder="1" applyAlignment="1" applyProtection="1">
      <alignment horizontal="center"/>
      <protection locked="0" hidden="1"/>
    </xf>
    <xf numFmtId="5" fontId="0" fillId="0" borderId="10" xfId="0" applyNumberFormat="1" applyBorder="1" applyAlignment="1" applyProtection="1">
      <alignment horizontal="center"/>
      <protection locked="0" hidden="1"/>
    </xf>
    <xf numFmtId="5" fontId="0" fillId="0" borderId="11" xfId="0" applyNumberFormat="1" applyBorder="1" applyAlignment="1" applyProtection="1">
      <alignment horizontal="center"/>
      <protection locked="0" hidden="1"/>
    </xf>
    <xf numFmtId="5" fontId="0" fillId="7" borderId="9" xfId="0" applyNumberFormat="1" applyFill="1" applyBorder="1" applyAlignment="1" applyProtection="1">
      <alignment horizontal="center"/>
      <protection locked="0" hidden="1"/>
    </xf>
    <xf numFmtId="0" fontId="0" fillId="0" borderId="1" xfId="0" applyBorder="1" applyAlignment="1" applyProtection="1">
      <alignment horizontal="center"/>
      <protection locked="0" hidden="1"/>
    </xf>
    <xf numFmtId="0" fontId="0" fillId="2" borderId="2" xfId="0" applyFill="1" applyBorder="1" applyAlignment="1" applyProtection="1">
      <alignment horizontal="center"/>
      <protection locked="0" hidden="1"/>
    </xf>
    <xf numFmtId="0" fontId="8" fillId="2" borderId="2" xfId="0" applyFont="1" applyFill="1" applyBorder="1" applyProtection="1">
      <protection locked="0" hidden="1"/>
    </xf>
    <xf numFmtId="0" fontId="75" fillId="2" borderId="2" xfId="0" applyFont="1" applyFill="1" applyBorder="1" applyProtection="1">
      <protection locked="0" hidden="1"/>
    </xf>
    <xf numFmtId="0" fontId="0" fillId="2" borderId="0" xfId="0" applyFill="1" applyAlignment="1" applyProtection="1">
      <alignment horizontal="center"/>
      <protection locked="0" hidden="1"/>
    </xf>
    <xf numFmtId="0" fontId="0" fillId="2" borderId="1" xfId="0" applyFill="1" applyBorder="1" applyAlignment="1" applyProtection="1">
      <alignment horizontal="center"/>
      <protection locked="0" hidden="1"/>
    </xf>
    <xf numFmtId="0" fontId="16" fillId="0" borderId="0" xfId="0" applyFont="1" applyAlignment="1" applyProtection="1">
      <alignment horizontal="center"/>
      <protection locked="0" hidden="1"/>
    </xf>
    <xf numFmtId="168" fontId="16" fillId="0" borderId="3" xfId="0" applyNumberFormat="1" applyFont="1" applyBorder="1" applyAlignment="1" applyProtection="1">
      <alignment horizontal="center"/>
      <protection locked="0" hidden="1"/>
    </xf>
    <xf numFmtId="0" fontId="42" fillId="0" borderId="0" xfId="0" applyFont="1" applyProtection="1">
      <protection locked="0" hidden="1"/>
    </xf>
    <xf numFmtId="171" fontId="23" fillId="0" borderId="0" xfId="1" applyNumberFormat="1" applyFont="1" applyProtection="1">
      <protection locked="0" hidden="1"/>
    </xf>
    <xf numFmtId="43" fontId="0" fillId="0" borderId="42" xfId="0" applyNumberFormat="1" applyBorder="1" applyProtection="1">
      <protection locked="0" hidden="1"/>
    </xf>
    <xf numFmtId="0" fontId="24" fillId="0" borderId="0" xfId="0" applyFont="1" applyProtection="1">
      <protection locked="0" hidden="1"/>
    </xf>
    <xf numFmtId="0" fontId="24" fillId="0" borderId="0" xfId="0" applyFont="1" applyAlignment="1" applyProtection="1">
      <alignment horizontal="center"/>
      <protection locked="0" hidden="1"/>
    </xf>
    <xf numFmtId="171" fontId="24" fillId="0" borderId="0" xfId="1" applyNumberFormat="1" applyFont="1" applyProtection="1">
      <protection locked="0" hidden="1"/>
    </xf>
    <xf numFmtId="171" fontId="41" fillId="0" borderId="0" xfId="1" applyNumberFormat="1" applyFont="1" applyProtection="1">
      <protection locked="0" hidden="1"/>
    </xf>
    <xf numFmtId="171" fontId="41" fillId="0" borderId="39" xfId="1" applyNumberFormat="1" applyFont="1" applyBorder="1" applyProtection="1">
      <protection locked="0" hidden="1"/>
    </xf>
    <xf numFmtId="0" fontId="0" fillId="7" borderId="43" xfId="0" applyFill="1" applyBorder="1" applyAlignment="1" applyProtection="1">
      <alignment horizontal="center"/>
      <protection locked="0" hidden="1"/>
    </xf>
    <xf numFmtId="43" fontId="0" fillId="7" borderId="43" xfId="1" applyFont="1" applyFill="1" applyBorder="1" applyProtection="1">
      <protection locked="0" hidden="1"/>
    </xf>
    <xf numFmtId="0" fontId="0" fillId="7" borderId="3" xfId="0" applyFill="1" applyBorder="1" applyProtection="1">
      <protection locked="0" hidden="1"/>
    </xf>
    <xf numFmtId="0" fontId="0" fillId="7" borderId="3" xfId="0" applyFill="1" applyBorder="1" applyAlignment="1" applyProtection="1">
      <alignment horizontal="center"/>
      <protection locked="0" hidden="1"/>
    </xf>
    <xf numFmtId="0" fontId="0" fillId="7" borderId="35" xfId="0" applyFill="1" applyBorder="1" applyProtection="1">
      <protection locked="0" hidden="1"/>
    </xf>
    <xf numFmtId="9" fontId="0" fillId="0" borderId="10" xfId="0" applyNumberFormat="1" applyBorder="1" applyAlignment="1" applyProtection="1">
      <alignment horizontal="center"/>
      <protection locked="0" hidden="1"/>
    </xf>
    <xf numFmtId="171" fontId="0" fillId="0" borderId="10" xfId="1" applyNumberFormat="1" applyFont="1" applyBorder="1" applyProtection="1">
      <protection locked="0" hidden="1"/>
    </xf>
    <xf numFmtId="0" fontId="41" fillId="0" borderId="0" xfId="0" applyFont="1" applyProtection="1">
      <protection locked="0" hidden="1"/>
    </xf>
    <xf numFmtId="0" fontId="41" fillId="0" borderId="0" xfId="0" applyFont="1" applyAlignment="1" applyProtection="1">
      <alignment horizontal="center"/>
      <protection locked="0" hidden="1"/>
    </xf>
    <xf numFmtId="43" fontId="41" fillId="0" borderId="0" xfId="1" applyFont="1" applyProtection="1">
      <protection locked="0" hidden="1"/>
    </xf>
    <xf numFmtId="0" fontId="41" fillId="0" borderId="0" xfId="0" applyFont="1" applyAlignment="1" applyProtection="1">
      <alignment horizontal="left"/>
      <protection locked="0" hidden="1"/>
    </xf>
    <xf numFmtId="0" fontId="41" fillId="0" borderId="0" xfId="0" applyFont="1" applyAlignment="1" applyProtection="1">
      <alignment horizontal="center" vertical="center"/>
      <protection locked="0" hidden="1"/>
    </xf>
    <xf numFmtId="43" fontId="8" fillId="0" borderId="0" xfId="0" applyNumberFormat="1" applyFont="1" applyProtection="1">
      <protection locked="0" hidden="1"/>
    </xf>
    <xf numFmtId="0" fontId="8" fillId="0" borderId="0" xfId="0" applyFont="1" applyAlignment="1" applyProtection="1">
      <alignment horizontal="center" vertical="center"/>
      <protection locked="0" hidden="1"/>
    </xf>
    <xf numFmtId="43" fontId="27" fillId="0" borderId="0" xfId="1" applyFont="1" applyAlignment="1" applyProtection="1">
      <alignment horizontal="centerContinuous" vertical="center"/>
      <protection locked="0" hidden="1"/>
    </xf>
    <xf numFmtId="171" fontId="8" fillId="0" borderId="0" xfId="1" applyNumberFormat="1" applyFont="1" applyProtection="1">
      <protection locked="0" hidden="1"/>
    </xf>
    <xf numFmtId="43" fontId="9" fillId="0" borderId="0" xfId="1" applyFont="1" applyAlignment="1" applyProtection="1">
      <alignment wrapText="1"/>
      <protection locked="0" hidden="1"/>
    </xf>
    <xf numFmtId="43" fontId="39" fillId="0" borderId="0" xfId="1" applyFont="1" applyAlignment="1" applyProtection="1">
      <alignment wrapText="1"/>
      <protection locked="0" hidden="1"/>
    </xf>
    <xf numFmtId="43" fontId="39" fillId="0" borderId="0" xfId="1" applyFont="1" applyAlignment="1" applyProtection="1">
      <alignment horizontal="center" vertical="center" wrapText="1"/>
      <protection locked="0" hidden="1"/>
    </xf>
    <xf numFmtId="171" fontId="24" fillId="0" borderId="0" xfId="1" applyNumberFormat="1" applyFont="1" applyAlignment="1" applyProtection="1">
      <alignment horizontal="center"/>
      <protection locked="0" hidden="1"/>
    </xf>
    <xf numFmtId="0" fontId="41" fillId="0" borderId="0" xfId="0" applyFont="1" applyAlignment="1" applyProtection="1">
      <alignment horizontal="left" indent="1"/>
      <protection locked="0" hidden="1"/>
    </xf>
    <xf numFmtId="170" fontId="41" fillId="0" borderId="0" xfId="2" applyNumberFormat="1" applyFont="1" applyAlignment="1" applyProtection="1">
      <alignment horizontal="center"/>
      <protection locked="0" hidden="1"/>
    </xf>
    <xf numFmtId="9" fontId="41" fillId="0" borderId="0" xfId="2" applyFont="1" applyAlignment="1" applyProtection="1">
      <alignment horizontal="center"/>
      <protection locked="0" hidden="1"/>
    </xf>
    <xf numFmtId="9" fontId="41" fillId="0" borderId="15" xfId="2" applyFont="1" applyBorder="1" applyAlignment="1" applyProtection="1">
      <alignment horizontal="center"/>
      <protection locked="0" hidden="1"/>
    </xf>
    <xf numFmtId="9" fontId="50" fillId="0" borderId="0" xfId="2" applyFont="1" applyAlignment="1" applyProtection="1">
      <alignment horizontal="center"/>
      <protection locked="0" hidden="1"/>
    </xf>
    <xf numFmtId="9" fontId="41" fillId="0" borderId="39" xfId="2" applyFont="1" applyBorder="1" applyAlignment="1" applyProtection="1">
      <alignment horizontal="center"/>
      <protection locked="0" hidden="1"/>
    </xf>
    <xf numFmtId="9" fontId="41" fillId="0" borderId="41" xfId="2" applyFont="1" applyBorder="1" applyAlignment="1" applyProtection="1">
      <alignment horizontal="center"/>
      <protection locked="0" hidden="1"/>
    </xf>
    <xf numFmtId="43" fontId="41" fillId="0" borderId="0" xfId="0" applyNumberFormat="1" applyFont="1" applyAlignment="1" applyProtection="1">
      <alignment horizontal="center" vertical="center"/>
      <protection locked="0" hidden="1"/>
    </xf>
    <xf numFmtId="43" fontId="41" fillId="0" borderId="0" xfId="0" applyNumberFormat="1" applyFont="1" applyProtection="1">
      <protection locked="0" hidden="1"/>
    </xf>
    <xf numFmtId="0" fontId="24" fillId="0" borderId="0" xfId="0" applyFont="1" applyAlignment="1" applyProtection="1">
      <alignment horizontal="left"/>
      <protection locked="0" hidden="1"/>
    </xf>
    <xf numFmtId="168" fontId="16" fillId="0" borderId="35" xfId="0" applyNumberFormat="1" applyFont="1" applyBorder="1" applyAlignment="1" applyProtection="1">
      <alignment horizontal="center"/>
      <protection locked="0" hidden="1"/>
    </xf>
    <xf numFmtId="0" fontId="16" fillId="0" borderId="3" xfId="0" applyFont="1" applyBorder="1" applyAlignment="1" applyProtection="1">
      <alignment horizontal="center"/>
      <protection locked="0" hidden="1"/>
    </xf>
    <xf numFmtId="0" fontId="16" fillId="0" borderId="35" xfId="0" applyFont="1" applyBorder="1" applyAlignment="1" applyProtection="1">
      <alignment horizontal="center"/>
      <protection locked="0" hidden="1"/>
    </xf>
    <xf numFmtId="165" fontId="16" fillId="0" borderId="3" xfId="1" applyNumberFormat="1" applyFont="1" applyBorder="1" applyAlignment="1" applyProtection="1">
      <alignment horizontal="center"/>
      <protection locked="0" hidden="1"/>
    </xf>
    <xf numFmtId="164" fontId="16" fillId="0" borderId="3" xfId="1" applyNumberFormat="1" applyFont="1" applyBorder="1" applyAlignment="1" applyProtection="1">
      <alignment horizontal="center"/>
      <protection locked="0" hidden="1"/>
    </xf>
    <xf numFmtId="0" fontId="74" fillId="0" borderId="0" xfId="0" applyFont="1" applyProtection="1">
      <protection locked="0" hidden="1"/>
    </xf>
    <xf numFmtId="171" fontId="0" fillId="0" borderId="15" xfId="0" applyNumberFormat="1" applyBorder="1" applyProtection="1">
      <protection locked="0" hidden="1"/>
    </xf>
    <xf numFmtId="171" fontId="9" fillId="0" borderId="0" xfId="1" applyNumberFormat="1" applyFont="1" applyProtection="1">
      <protection locked="0" hidden="1"/>
    </xf>
    <xf numFmtId="171" fontId="9" fillId="0" borderId="15" xfId="1" applyNumberFormat="1" applyFont="1" applyBorder="1" applyProtection="1">
      <protection locked="0" hidden="1"/>
    </xf>
    <xf numFmtId="171" fontId="9" fillId="0" borderId="0" xfId="0" applyNumberFormat="1" applyFont="1" applyProtection="1">
      <protection locked="0" hidden="1"/>
    </xf>
    <xf numFmtId="171" fontId="9" fillId="0" borderId="15" xfId="0" applyNumberFormat="1" applyFont="1" applyBorder="1" applyProtection="1">
      <protection locked="0" hidden="1"/>
    </xf>
    <xf numFmtId="43" fontId="0" fillId="7" borderId="3" xfId="0" applyNumberFormat="1" applyFill="1" applyBorder="1" applyProtection="1">
      <protection locked="0" hidden="1"/>
    </xf>
    <xf numFmtId="171" fontId="0" fillId="7" borderId="3" xfId="1" applyNumberFormat="1" applyFont="1" applyFill="1" applyBorder="1" applyProtection="1">
      <protection locked="0" hidden="1"/>
    </xf>
    <xf numFmtId="171" fontId="0" fillId="7" borderId="35" xfId="1" applyNumberFormat="1" applyFont="1" applyFill="1" applyBorder="1" applyProtection="1">
      <protection locked="0" hidden="1"/>
    </xf>
    <xf numFmtId="171" fontId="0" fillId="7" borderId="3" xfId="0" applyNumberFormat="1" applyFill="1" applyBorder="1" applyProtection="1">
      <protection locked="0" hidden="1"/>
    </xf>
    <xf numFmtId="174" fontId="0" fillId="0" borderId="0" xfId="0" applyNumberFormat="1" applyProtection="1">
      <protection locked="0" hidden="1"/>
    </xf>
    <xf numFmtId="171" fontId="0" fillId="7" borderId="43" xfId="0" applyNumberFormat="1" applyFill="1" applyBorder="1" applyProtection="1">
      <protection locked="0" hidden="1"/>
    </xf>
    <xf numFmtId="43" fontId="43" fillId="0" borderId="0" xfId="0" applyNumberFormat="1" applyFont="1" applyProtection="1">
      <protection locked="0" hidden="1"/>
    </xf>
    <xf numFmtId="43" fontId="9" fillId="0" borderId="0" xfId="1" applyFont="1" applyAlignment="1" applyProtection="1">
      <alignment horizontal="center" vertical="center" wrapText="1"/>
      <protection locked="0" hidden="1"/>
    </xf>
    <xf numFmtId="0" fontId="7" fillId="0" borderId="0" xfId="0" applyFont="1" applyAlignment="1" applyProtection="1">
      <alignment horizontal="left"/>
      <protection locked="0" hidden="1"/>
    </xf>
    <xf numFmtId="0" fontId="7" fillId="0" borderId="0" xfId="0" applyFont="1" applyAlignment="1" applyProtection="1">
      <alignment horizontal="left" indent="1"/>
      <protection locked="0" hidden="1"/>
    </xf>
    <xf numFmtId="170" fontId="41" fillId="0" borderId="0" xfId="0" applyNumberFormat="1" applyFont="1" applyAlignment="1" applyProtection="1">
      <alignment horizontal="center"/>
      <protection locked="0" hidden="1"/>
    </xf>
    <xf numFmtId="171" fontId="41" fillId="0" borderId="0" xfId="1" applyNumberFormat="1" applyFont="1" applyAlignment="1" applyProtection="1">
      <alignment horizontal="center"/>
      <protection locked="0" hidden="1"/>
    </xf>
    <xf numFmtId="170" fontId="50" fillId="0" borderId="0" xfId="0" applyNumberFormat="1" applyFont="1" applyAlignment="1" applyProtection="1">
      <alignment horizontal="center"/>
      <protection locked="0" hidden="1"/>
    </xf>
    <xf numFmtId="0" fontId="7" fillId="0" borderId="0" xfId="0" applyFont="1" applyProtection="1">
      <protection locked="0" hidden="1"/>
    </xf>
    <xf numFmtId="0" fontId="7" fillId="0" borderId="0" xfId="0" applyFont="1" applyAlignment="1" applyProtection="1">
      <alignment horizontal="center" vertical="center"/>
      <protection locked="0" hidden="1"/>
    </xf>
    <xf numFmtId="0" fontId="81" fillId="0" borderId="0" xfId="0" applyFont="1" applyProtection="1">
      <protection locked="0" hidden="1"/>
    </xf>
    <xf numFmtId="0" fontId="81" fillId="0" borderId="0" xfId="0" applyFont="1" applyAlignment="1" applyProtection="1">
      <alignment horizontal="center" vertical="center"/>
      <protection locked="0" hidden="1"/>
    </xf>
    <xf numFmtId="43" fontId="7" fillId="0" borderId="0" xfId="0" applyNumberFormat="1" applyFont="1" applyAlignment="1" applyProtection="1">
      <alignment horizontal="center" vertical="center"/>
      <protection locked="0" hidden="1"/>
    </xf>
    <xf numFmtId="9" fontId="41" fillId="0" borderId="0" xfId="0" applyNumberFormat="1" applyFont="1" applyAlignment="1" applyProtection="1">
      <alignment horizontal="left"/>
      <protection locked="0" hidden="1"/>
    </xf>
    <xf numFmtId="174" fontId="41" fillId="0" borderId="0" xfId="1" applyNumberFormat="1" applyFont="1" applyProtection="1">
      <protection locked="0" hidden="1"/>
    </xf>
    <xf numFmtId="0" fontId="21" fillId="2" borderId="0" xfId="0" applyFont="1" applyFill="1" applyAlignment="1" applyProtection="1">
      <alignment horizontal="center"/>
      <protection locked="0" hidden="1"/>
    </xf>
    <xf numFmtId="0" fontId="77" fillId="2" borderId="0" xfId="0" applyFont="1" applyFill="1" applyAlignment="1" applyProtection="1">
      <alignment horizontal="center"/>
      <protection locked="0" hidden="1"/>
    </xf>
    <xf numFmtId="43" fontId="32" fillId="4" borderId="21" xfId="1" applyFont="1" applyFill="1" applyBorder="1" applyAlignment="1" applyProtection="1">
      <alignment horizontal="centerContinuous"/>
      <protection locked="0" hidden="1"/>
    </xf>
    <xf numFmtId="43" fontId="33" fillId="4" borderId="22" xfId="1" applyFont="1" applyFill="1" applyBorder="1" applyAlignment="1" applyProtection="1">
      <alignment horizontal="centerContinuous"/>
      <protection locked="0" hidden="1"/>
    </xf>
    <xf numFmtId="43" fontId="33" fillId="4" borderId="23" xfId="1" applyFont="1" applyFill="1" applyBorder="1" applyAlignment="1" applyProtection="1">
      <alignment horizontal="centerContinuous"/>
      <protection locked="0" hidden="1"/>
    </xf>
    <xf numFmtId="43" fontId="30" fillId="0" borderId="0" xfId="1" applyFont="1" applyProtection="1">
      <protection locked="0" hidden="1"/>
    </xf>
    <xf numFmtId="43" fontId="31" fillId="0" borderId="24" xfId="1" applyFont="1" applyBorder="1" applyAlignment="1" applyProtection="1">
      <alignment horizontal="centerContinuous"/>
      <protection locked="0" hidden="1"/>
    </xf>
    <xf numFmtId="43" fontId="30" fillId="0" borderId="5" xfId="1" applyFont="1" applyBorder="1" applyAlignment="1" applyProtection="1">
      <alignment horizontal="centerContinuous"/>
      <protection locked="0" hidden="1"/>
    </xf>
    <xf numFmtId="43" fontId="31" fillId="0" borderId="5" xfId="1" applyFont="1" applyBorder="1" applyAlignment="1" applyProtection="1">
      <alignment horizontal="centerContinuous"/>
      <protection locked="0" hidden="1"/>
    </xf>
    <xf numFmtId="43" fontId="30" fillId="0" borderId="6" xfId="1" applyFont="1" applyBorder="1" applyAlignment="1" applyProtection="1">
      <alignment horizontal="centerContinuous"/>
      <protection locked="0" hidden="1"/>
    </xf>
    <xf numFmtId="43" fontId="31" fillId="0" borderId="4" xfId="1" applyFont="1" applyBorder="1" applyAlignment="1" applyProtection="1">
      <alignment horizontal="centerContinuous"/>
      <protection locked="0" hidden="1"/>
    </xf>
    <xf numFmtId="43" fontId="30" fillId="0" borderId="25" xfId="1" applyFont="1" applyBorder="1" applyAlignment="1" applyProtection="1">
      <alignment horizontal="centerContinuous"/>
      <protection locked="0" hidden="1"/>
    </xf>
    <xf numFmtId="0" fontId="28" fillId="0" borderId="0" xfId="0" applyFont="1" applyAlignment="1" applyProtection="1">
      <alignment vertical="top"/>
      <protection locked="0" hidden="1"/>
    </xf>
    <xf numFmtId="0" fontId="28" fillId="0" borderId="28" xfId="0" applyFont="1" applyBorder="1" applyAlignment="1" applyProtection="1">
      <alignment vertical="top"/>
      <protection locked="0" hidden="1"/>
    </xf>
    <xf numFmtId="0" fontId="28" fillId="0" borderId="10" xfId="0" applyFont="1" applyBorder="1" applyAlignment="1" applyProtection="1">
      <alignment vertical="top"/>
      <protection locked="0" hidden="1"/>
    </xf>
    <xf numFmtId="43" fontId="28" fillId="0" borderId="10" xfId="1" applyFont="1" applyBorder="1" applyAlignment="1" applyProtection="1">
      <alignment vertical="top"/>
      <protection locked="0" hidden="1"/>
    </xf>
    <xf numFmtId="43" fontId="28" fillId="0" borderId="11" xfId="1" applyFont="1" applyBorder="1" applyAlignment="1" applyProtection="1">
      <alignment vertical="top"/>
      <protection locked="0" hidden="1"/>
    </xf>
    <xf numFmtId="0" fontId="28" fillId="0" borderId="9" xfId="0" applyFont="1" applyBorder="1" applyAlignment="1" applyProtection="1">
      <alignment vertical="top"/>
      <protection locked="0" hidden="1"/>
    </xf>
    <xf numFmtId="43" fontId="28" fillId="0" borderId="29" xfId="1" applyFont="1" applyBorder="1" applyAlignment="1" applyProtection="1">
      <alignment vertical="top"/>
      <protection locked="0" hidden="1"/>
    </xf>
    <xf numFmtId="43" fontId="31" fillId="0" borderId="0" xfId="1" applyFont="1" applyAlignment="1" applyProtection="1">
      <alignment horizontal="centerContinuous"/>
      <protection locked="0" hidden="1"/>
    </xf>
    <xf numFmtId="43" fontId="30" fillId="0" borderId="0" xfId="1" applyFont="1" applyAlignment="1" applyProtection="1">
      <alignment horizontal="centerContinuous"/>
      <protection locked="0" hidden="1"/>
    </xf>
    <xf numFmtId="43" fontId="30" fillId="0" borderId="27" xfId="1" applyFont="1" applyBorder="1" applyAlignment="1" applyProtection="1">
      <alignment horizontal="centerContinuous"/>
      <protection locked="0" hidden="1"/>
    </xf>
    <xf numFmtId="0" fontId="28" fillId="0" borderId="30" xfId="0" applyFont="1" applyBorder="1" applyAlignment="1" applyProtection="1">
      <alignment vertical="top"/>
      <protection locked="0" hidden="1"/>
    </xf>
    <xf numFmtId="0" fontId="28" fillId="0" borderId="31" xfId="0" applyFont="1" applyBorder="1" applyAlignment="1" applyProtection="1">
      <alignment vertical="top"/>
      <protection locked="0" hidden="1"/>
    </xf>
    <xf numFmtId="43" fontId="28" fillId="0" borderId="31" xfId="1" applyFont="1" applyBorder="1" applyAlignment="1" applyProtection="1">
      <alignment vertical="top"/>
      <protection locked="0" hidden="1"/>
    </xf>
    <xf numFmtId="43" fontId="28" fillId="0" borderId="32" xfId="1" applyFont="1" applyBorder="1" applyAlignment="1" applyProtection="1">
      <alignment vertical="top"/>
      <protection locked="0" hidden="1"/>
    </xf>
    <xf numFmtId="43" fontId="28" fillId="0" borderId="33" xfId="1" applyFont="1" applyBorder="1" applyAlignment="1" applyProtection="1">
      <alignment vertical="top"/>
      <protection locked="0" hidden="1"/>
    </xf>
    <xf numFmtId="43" fontId="28" fillId="0" borderId="0" xfId="1" applyFont="1" applyAlignment="1" applyProtection="1">
      <alignment vertical="top"/>
      <protection locked="0" hidden="1"/>
    </xf>
    <xf numFmtId="43" fontId="32" fillId="4" borderId="4" xfId="1" applyFont="1" applyFill="1" applyBorder="1" applyAlignment="1" applyProtection="1">
      <alignment horizontal="centerContinuous"/>
      <protection locked="0" hidden="1"/>
    </xf>
    <xf numFmtId="43" fontId="33" fillId="4" borderId="5" xfId="1" applyFont="1" applyFill="1" applyBorder="1" applyAlignment="1" applyProtection="1">
      <alignment horizontal="centerContinuous"/>
      <protection locked="0" hidden="1"/>
    </xf>
    <xf numFmtId="43" fontId="33" fillId="4" borderId="6" xfId="1" applyFont="1" applyFill="1" applyBorder="1" applyAlignment="1" applyProtection="1">
      <alignment horizontal="centerContinuous"/>
      <protection locked="0" hidden="1"/>
    </xf>
    <xf numFmtId="0" fontId="0" fillId="0" borderId="0" xfId="0" applyAlignment="1" applyProtection="1">
      <alignment vertical="top"/>
      <protection locked="0" hidden="1"/>
    </xf>
    <xf numFmtId="43" fontId="27" fillId="0" borderId="4" xfId="1" applyFont="1" applyBorder="1" applyAlignment="1" applyProtection="1">
      <alignment horizontal="centerContinuous"/>
      <protection locked="0" hidden="1"/>
    </xf>
    <xf numFmtId="43" fontId="9" fillId="0" borderId="5" xfId="1" applyFont="1" applyBorder="1" applyAlignment="1" applyProtection="1">
      <alignment horizontal="centerContinuous"/>
      <protection locked="0" hidden="1"/>
    </xf>
    <xf numFmtId="43" fontId="9" fillId="0" borderId="6" xfId="1" applyFont="1" applyBorder="1" applyAlignment="1" applyProtection="1">
      <alignment horizontal="centerContinuous"/>
      <protection locked="0" hidden="1"/>
    </xf>
    <xf numFmtId="43" fontId="27" fillId="0" borderId="5" xfId="1" applyFont="1" applyBorder="1" applyAlignment="1" applyProtection="1">
      <alignment horizontal="centerContinuous"/>
      <protection locked="0" hidden="1"/>
    </xf>
    <xf numFmtId="43" fontId="0" fillId="0" borderId="7" xfId="0" applyNumberFormat="1" applyBorder="1" applyProtection="1">
      <protection locked="0" hidden="1"/>
    </xf>
    <xf numFmtId="43" fontId="0" fillId="0" borderId="0" xfId="1" applyFont="1" applyAlignment="1" applyProtection="1">
      <alignment horizontal="left" indent="1"/>
      <protection locked="0" hidden="1"/>
    </xf>
    <xf numFmtId="43" fontId="88" fillId="3" borderId="4" xfId="1" applyFont="1" applyFill="1" applyBorder="1" applyAlignment="1" applyProtection="1">
      <alignment horizontal="centerContinuous"/>
      <protection locked="0" hidden="1"/>
    </xf>
    <xf numFmtId="43" fontId="89" fillId="3" borderId="5" xfId="1" applyFont="1" applyFill="1" applyBorder="1" applyAlignment="1" applyProtection="1">
      <alignment horizontal="centerContinuous"/>
      <protection locked="0" hidden="1"/>
    </xf>
    <xf numFmtId="0" fontId="89" fillId="3" borderId="16" xfId="0" applyFont="1" applyFill="1" applyBorder="1" applyAlignment="1" applyProtection="1">
      <alignment horizontal="centerContinuous"/>
      <protection locked="0" hidden="1"/>
    </xf>
    <xf numFmtId="43" fontId="88" fillId="3" borderId="17" xfId="1" applyFont="1" applyFill="1" applyBorder="1" applyAlignment="1" applyProtection="1">
      <alignment horizontal="centerContinuous"/>
      <protection locked="0" hidden="1"/>
    </xf>
    <xf numFmtId="43" fontId="28" fillId="3" borderId="5" xfId="1" applyFont="1" applyFill="1" applyBorder="1" applyAlignment="1" applyProtection="1">
      <alignment horizontal="centerContinuous"/>
      <protection locked="0" hidden="1"/>
    </xf>
    <xf numFmtId="0" fontId="28" fillId="3" borderId="6" xfId="0" applyFont="1" applyFill="1" applyBorder="1" applyAlignment="1" applyProtection="1">
      <alignment horizontal="centerContinuous"/>
      <protection locked="0" hidden="1"/>
    </xf>
    <xf numFmtId="43" fontId="0" fillId="3" borderId="7" xfId="1" applyFont="1" applyFill="1" applyBorder="1" applyProtection="1">
      <protection locked="0" hidden="1"/>
    </xf>
    <xf numFmtId="43" fontId="0" fillId="3" borderId="14" xfId="1" applyFont="1" applyFill="1" applyBorder="1" applyProtection="1">
      <protection locked="0" hidden="1"/>
    </xf>
    <xf numFmtId="43" fontId="24" fillId="3" borderId="14" xfId="1" applyFont="1" applyFill="1" applyBorder="1" applyProtection="1">
      <protection locked="0" hidden="1"/>
    </xf>
    <xf numFmtId="43" fontId="0" fillId="3" borderId="9" xfId="1" applyFont="1" applyFill="1" applyBorder="1" applyProtection="1">
      <protection locked="0" hidden="1"/>
    </xf>
    <xf numFmtId="43" fontId="0" fillId="3" borderId="10" xfId="1" applyFont="1" applyFill="1" applyBorder="1" applyProtection="1">
      <protection locked="0" hidden="1"/>
    </xf>
    <xf numFmtId="43" fontId="0" fillId="3" borderId="20" xfId="1" applyFont="1" applyFill="1" applyBorder="1" applyProtection="1">
      <protection locked="0" hidden="1"/>
    </xf>
    <xf numFmtId="9" fontId="8" fillId="0" borderId="0" xfId="2" applyFont="1" applyAlignment="1" applyProtection="1">
      <alignment horizontal="left"/>
      <protection locked="0" hidden="1"/>
    </xf>
    <xf numFmtId="43" fontId="39" fillId="0" borderId="0" xfId="1" applyFont="1" applyAlignment="1" applyProtection="1">
      <alignment horizontal="centerContinuous"/>
      <protection locked="0" hidden="1"/>
    </xf>
    <xf numFmtId="170" fontId="0" fillId="0" borderId="0" xfId="2" applyNumberFormat="1" applyFont="1" applyAlignment="1" applyProtection="1">
      <alignment horizontal="center"/>
      <protection locked="0" hidden="1"/>
    </xf>
    <xf numFmtId="170" fontId="0" fillId="0" borderId="0" xfId="0" applyNumberFormat="1" applyAlignment="1" applyProtection="1">
      <alignment horizontal="center"/>
      <protection locked="0" hidden="1"/>
    </xf>
    <xf numFmtId="5" fontId="40" fillId="0" borderId="0" xfId="0" applyNumberFormat="1" applyFont="1" applyAlignment="1" applyProtection="1">
      <alignment horizontal="center"/>
      <protection locked="0" hidden="1"/>
    </xf>
    <xf numFmtId="9" fontId="40" fillId="0" borderId="0" xfId="2" applyFont="1" applyAlignment="1" applyProtection="1">
      <alignment horizontal="center"/>
      <protection locked="0" hidden="1"/>
    </xf>
    <xf numFmtId="0" fontId="0" fillId="0" borderId="0" xfId="0" applyAlignment="1" applyProtection="1">
      <alignment horizontal="left" indent="1"/>
      <protection locked="0" hidden="1"/>
    </xf>
    <xf numFmtId="5" fontId="0" fillId="0" borderId="0" xfId="0" applyNumberFormat="1" applyAlignment="1" applyProtection="1">
      <alignment horizontal="left" indent="1"/>
      <protection locked="0" hidden="1"/>
    </xf>
    <xf numFmtId="0" fontId="24" fillId="0" borderId="0" xfId="0" applyFont="1" applyAlignment="1" applyProtection="1">
      <alignment horizontal="right"/>
      <protection locked="0" hidden="1"/>
    </xf>
    <xf numFmtId="9" fontId="24" fillId="0" borderId="0" xfId="2" applyFont="1" applyAlignment="1" applyProtection="1">
      <alignment horizontal="center"/>
      <protection locked="0" hidden="1"/>
    </xf>
    <xf numFmtId="165" fontId="9" fillId="0" borderId="0" xfId="1" applyNumberFormat="1" applyFont="1" applyAlignment="1" applyProtection="1">
      <alignment horizontal="center"/>
      <protection locked="0" hidden="1"/>
    </xf>
    <xf numFmtId="5" fontId="0" fillId="0" borderId="0" xfId="1" applyNumberFormat="1" applyFont="1" applyAlignment="1" applyProtection="1">
      <alignment horizontal="center"/>
      <protection locked="0" hidden="1"/>
    </xf>
    <xf numFmtId="43" fontId="29" fillId="3" borderId="4" xfId="1" applyFont="1" applyFill="1" applyBorder="1" applyAlignment="1" applyProtection="1">
      <alignment horizontal="centerContinuous"/>
      <protection locked="0" hidden="1"/>
    </xf>
    <xf numFmtId="43" fontId="29" fillId="3" borderId="5" xfId="1" applyFont="1" applyFill="1" applyBorder="1" applyAlignment="1" applyProtection="1">
      <alignment horizontal="center"/>
      <protection locked="0" hidden="1"/>
    </xf>
    <xf numFmtId="43" fontId="29" fillId="3" borderId="5" xfId="1" applyFont="1" applyFill="1" applyBorder="1" applyAlignment="1" applyProtection="1">
      <alignment horizontal="centerContinuous"/>
      <protection locked="0" hidden="1"/>
    </xf>
    <xf numFmtId="43" fontId="29" fillId="3" borderId="6" xfId="1" applyFont="1" applyFill="1" applyBorder="1" applyAlignment="1" applyProtection="1">
      <alignment horizontal="centerContinuous"/>
      <protection locked="0" hidden="1"/>
    </xf>
    <xf numFmtId="171" fontId="0" fillId="3" borderId="0" xfId="1" applyNumberFormat="1" applyFont="1" applyFill="1" applyProtection="1">
      <protection locked="0" hidden="1"/>
    </xf>
    <xf numFmtId="171" fontId="0" fillId="3" borderId="8" xfId="1" applyNumberFormat="1" applyFont="1" applyFill="1" applyBorder="1" applyProtection="1">
      <protection locked="0" hidden="1"/>
    </xf>
    <xf numFmtId="170" fontId="0" fillId="3" borderId="0" xfId="2" applyNumberFormat="1" applyFont="1" applyFill="1" applyProtection="1">
      <protection locked="0" hidden="1"/>
    </xf>
    <xf numFmtId="170" fontId="0" fillId="3" borderId="8" xfId="2" applyNumberFormat="1" applyFont="1" applyFill="1" applyBorder="1" applyProtection="1">
      <protection locked="0" hidden="1"/>
    </xf>
    <xf numFmtId="43" fontId="0" fillId="0" borderId="0" xfId="1" applyFont="1" applyAlignment="1" applyProtection="1">
      <alignment horizontal="right"/>
      <protection locked="0" hidden="1"/>
    </xf>
    <xf numFmtId="9" fontId="35" fillId="0" borderId="0" xfId="2" applyFont="1" applyAlignment="1" applyProtection="1">
      <alignment horizontal="left"/>
      <protection locked="0" hidden="1"/>
    </xf>
    <xf numFmtId="43" fontId="0" fillId="10" borderId="43" xfId="1" applyFont="1" applyFill="1" applyBorder="1" applyProtection="1">
      <protection locked="0" hidden="1"/>
    </xf>
    <xf numFmtId="0" fontId="0" fillId="10" borderId="3" xfId="0" applyFill="1" applyBorder="1" applyProtection="1">
      <protection locked="0" hidden="1"/>
    </xf>
    <xf numFmtId="5" fontId="0" fillId="10" borderId="35" xfId="0" applyNumberFormat="1" applyFill="1" applyBorder="1" applyAlignment="1" applyProtection="1">
      <alignment horizontal="center"/>
      <protection locked="0" hidden="1"/>
    </xf>
    <xf numFmtId="188" fontId="0" fillId="0" borderId="0" xfId="1" applyNumberFormat="1" applyFont="1" applyAlignment="1" applyProtection="1">
      <alignment horizontal="center"/>
      <protection locked="0" hidden="1"/>
    </xf>
    <xf numFmtId="170" fontId="0" fillId="0" borderId="10" xfId="2" applyNumberFormat="1" applyFont="1" applyBorder="1" applyProtection="1">
      <protection locked="0" hidden="1"/>
    </xf>
    <xf numFmtId="10" fontId="0" fillId="0" borderId="0" xfId="2" applyNumberFormat="1" applyFont="1" applyAlignment="1" applyProtection="1">
      <alignment horizontal="center"/>
      <protection locked="0" hidden="1"/>
    </xf>
    <xf numFmtId="0" fontId="22" fillId="2" borderId="0" xfId="0" applyFont="1" applyFill="1" applyAlignment="1" applyProtection="1">
      <alignment horizontal="center"/>
      <protection locked="0" hidden="1"/>
    </xf>
    <xf numFmtId="171" fontId="41" fillId="0" borderId="0" xfId="0" applyNumberFormat="1" applyFont="1" applyProtection="1">
      <protection locked="0" hidden="1"/>
    </xf>
    <xf numFmtId="172" fontId="41" fillId="0" borderId="0" xfId="0" applyNumberFormat="1" applyFont="1" applyAlignment="1" applyProtection="1">
      <alignment horizontal="center"/>
      <protection locked="0" hidden="1"/>
    </xf>
    <xf numFmtId="10" fontId="0" fillId="0" borderId="0" xfId="0" applyNumberFormat="1" applyAlignment="1" applyProtection="1">
      <alignment horizontal="left"/>
      <protection locked="0" hidden="1"/>
    </xf>
    <xf numFmtId="185" fontId="0" fillId="0" borderId="0" xfId="2" applyNumberFormat="1" applyFont="1" applyAlignment="1" applyProtection="1">
      <alignment horizontal="center"/>
      <protection locked="0" hidden="1"/>
    </xf>
    <xf numFmtId="43" fontId="9" fillId="0" borderId="12" xfId="1" applyFont="1" applyBorder="1" applyAlignment="1" applyProtection="1">
      <alignment horizontal="centerContinuous"/>
      <protection locked="0" hidden="1"/>
    </xf>
    <xf numFmtId="43" fontId="27" fillId="10" borderId="12" xfId="1" applyFont="1" applyFill="1" applyBorder="1" applyAlignment="1" applyProtection="1">
      <alignment horizontal="centerContinuous"/>
      <protection locked="0" hidden="1"/>
    </xf>
    <xf numFmtId="43" fontId="9" fillId="10" borderId="13" xfId="1" applyFont="1" applyFill="1" applyBorder="1" applyAlignment="1" applyProtection="1">
      <alignment horizontal="centerContinuous"/>
      <protection locked="0" hidden="1"/>
    </xf>
    <xf numFmtId="43" fontId="27" fillId="10" borderId="4" xfId="1" applyFont="1" applyFill="1" applyBorder="1" applyAlignment="1" applyProtection="1">
      <alignment horizontal="centerContinuous"/>
      <protection locked="0" hidden="1"/>
    </xf>
    <xf numFmtId="43" fontId="9" fillId="10" borderId="6" xfId="1" applyFont="1" applyFill="1" applyBorder="1" applyAlignment="1" applyProtection="1">
      <alignment horizontal="centerContinuous"/>
      <protection locked="0" hidden="1"/>
    </xf>
    <xf numFmtId="43" fontId="9" fillId="0" borderId="14" xfId="1" applyFont="1" applyBorder="1" applyAlignment="1" applyProtection="1">
      <alignment horizontal="center" wrapText="1"/>
      <protection locked="0" hidden="1"/>
    </xf>
    <xf numFmtId="43" fontId="9" fillId="10" borderId="14" xfId="1" applyFont="1" applyFill="1" applyBorder="1" applyAlignment="1" applyProtection="1">
      <alignment horizontal="center" wrapText="1"/>
      <protection locked="0" hidden="1"/>
    </xf>
    <xf numFmtId="43" fontId="9" fillId="10" borderId="0" xfId="1" applyFont="1" applyFill="1" applyAlignment="1" applyProtection="1">
      <alignment horizontal="center" wrapText="1"/>
      <protection locked="0" hidden="1"/>
    </xf>
    <xf numFmtId="43" fontId="9" fillId="10" borderId="7" xfId="1" applyFont="1" applyFill="1" applyBorder="1" applyAlignment="1" applyProtection="1">
      <alignment horizontal="center" wrapText="1"/>
      <protection locked="0" hidden="1"/>
    </xf>
    <xf numFmtId="43" fontId="9" fillId="10" borderId="8" xfId="1" applyFont="1" applyFill="1" applyBorder="1" applyAlignment="1" applyProtection="1">
      <alignment horizontal="center" wrapText="1"/>
      <protection locked="0" hidden="1"/>
    </xf>
    <xf numFmtId="5" fontId="0" fillId="0" borderId="14" xfId="0" applyNumberFormat="1" applyBorder="1" applyAlignment="1" applyProtection="1">
      <alignment horizontal="center"/>
      <protection locked="0" hidden="1"/>
    </xf>
    <xf numFmtId="5" fontId="0" fillId="10" borderId="7" xfId="0" applyNumberFormat="1" applyFill="1" applyBorder="1" applyAlignment="1" applyProtection="1">
      <alignment horizontal="center"/>
      <protection locked="0" hidden="1"/>
    </xf>
    <xf numFmtId="5" fontId="0" fillId="10" borderId="8" xfId="0" applyNumberFormat="1" applyFill="1" applyBorder="1" applyAlignment="1" applyProtection="1">
      <alignment horizontal="center"/>
      <protection locked="0" hidden="1"/>
    </xf>
    <xf numFmtId="0" fontId="0" fillId="10" borderId="9" xfId="0" applyFill="1" applyBorder="1" applyProtection="1">
      <protection locked="0" hidden="1"/>
    </xf>
    <xf numFmtId="188" fontId="0" fillId="0" borderId="0" xfId="2" applyNumberFormat="1" applyFont="1" applyAlignment="1" applyProtection="1">
      <alignment horizontal="center"/>
      <protection locked="0" hidden="1"/>
    </xf>
    <xf numFmtId="0" fontId="53" fillId="4" borderId="13" xfId="0" applyFont="1" applyFill="1" applyBorder="1" applyAlignment="1" applyProtection="1">
      <alignment horizontal="center"/>
      <protection locked="0" hidden="1"/>
    </xf>
    <xf numFmtId="43" fontId="64" fillId="4" borderId="13" xfId="1" applyFont="1" applyFill="1" applyBorder="1" applyAlignment="1" applyProtection="1">
      <alignment horizontal="centerContinuous"/>
      <protection locked="0" hidden="1"/>
    </xf>
    <xf numFmtId="0" fontId="53" fillId="4" borderId="13" xfId="0" applyFont="1" applyFill="1" applyBorder="1" applyAlignment="1" applyProtection="1">
      <alignment horizontal="centerContinuous"/>
      <protection locked="0" hidden="1"/>
    </xf>
    <xf numFmtId="43" fontId="53" fillId="4" borderId="10" xfId="1" applyFont="1" applyFill="1" applyBorder="1" applyAlignment="1" applyProtection="1">
      <alignment horizontal="center"/>
      <protection locked="0" hidden="1"/>
    </xf>
    <xf numFmtId="165" fontId="53" fillId="4" borderId="10" xfId="1" applyNumberFormat="1" applyFont="1" applyFill="1" applyBorder="1" applyAlignment="1" applyProtection="1">
      <alignment horizontal="center"/>
      <protection locked="0" hidden="1"/>
    </xf>
    <xf numFmtId="164" fontId="53" fillId="4" borderId="10" xfId="1" applyNumberFormat="1" applyFont="1" applyFill="1" applyBorder="1" applyAlignment="1" applyProtection="1">
      <alignment horizontal="center"/>
      <protection locked="0" hidden="1"/>
    </xf>
    <xf numFmtId="171" fontId="0" fillId="0" borderId="3" xfId="0" applyNumberFormat="1" applyBorder="1" applyProtection="1">
      <protection locked="0" hidden="1"/>
    </xf>
    <xf numFmtId="0" fontId="0" fillId="10" borderId="44" xfId="0" applyFill="1" applyBorder="1" applyProtection="1">
      <protection locked="0" hidden="1"/>
    </xf>
    <xf numFmtId="171" fontId="0" fillId="10" borderId="44" xfId="0" applyNumberFormat="1" applyFill="1" applyBorder="1" applyProtection="1">
      <protection locked="0" hidden="1"/>
    </xf>
    <xf numFmtId="171" fontId="0" fillId="10" borderId="44" xfId="1" applyNumberFormat="1" applyFont="1" applyFill="1" applyBorder="1" applyProtection="1">
      <protection locked="0" hidden="1"/>
    </xf>
    <xf numFmtId="0" fontId="34" fillId="4" borderId="13" xfId="0" applyFont="1" applyFill="1" applyBorder="1" applyAlignment="1" applyProtection="1">
      <alignment horizontal="center"/>
      <protection locked="0" hidden="1"/>
    </xf>
    <xf numFmtId="43" fontId="34" fillId="4" borderId="10" xfId="1" applyFont="1" applyFill="1" applyBorder="1" applyAlignment="1" applyProtection="1">
      <alignment horizontal="center"/>
      <protection locked="0" hidden="1"/>
    </xf>
    <xf numFmtId="43" fontId="0" fillId="0" borderId="34" xfId="1" applyFont="1" applyBorder="1" applyProtection="1">
      <protection locked="0" hidden="1"/>
    </xf>
    <xf numFmtId="171" fontId="0" fillId="0" borderId="3" xfId="1" applyNumberFormat="1" applyFont="1" applyBorder="1" applyProtection="1">
      <protection locked="0" hidden="1"/>
    </xf>
    <xf numFmtId="0" fontId="11" fillId="4" borderId="13" xfId="0" applyFont="1" applyFill="1" applyBorder="1" applyAlignment="1" applyProtection="1">
      <alignment horizontal="center"/>
      <protection locked="0" hidden="1"/>
    </xf>
    <xf numFmtId="0" fontId="11" fillId="4" borderId="13" xfId="0" applyFont="1" applyFill="1" applyBorder="1" applyAlignment="1" applyProtection="1">
      <alignment horizontal="centerContinuous"/>
      <protection locked="0" hidden="1"/>
    </xf>
    <xf numFmtId="43" fontId="11" fillId="4" borderId="10" xfId="1" applyFont="1" applyFill="1" applyBorder="1" applyAlignment="1" applyProtection="1">
      <alignment horizontal="center"/>
      <protection locked="0" hidden="1"/>
    </xf>
    <xf numFmtId="43" fontId="11" fillId="4" borderId="70" xfId="1" applyFont="1" applyFill="1" applyBorder="1" applyAlignment="1" applyProtection="1">
      <alignment horizontal="center"/>
      <protection locked="0" hidden="1"/>
    </xf>
    <xf numFmtId="0" fontId="8" fillId="10" borderId="44" xfId="0" applyFont="1" applyFill="1" applyBorder="1" applyProtection="1">
      <protection locked="0" hidden="1"/>
    </xf>
    <xf numFmtId="171" fontId="8" fillId="10" borderId="44" xfId="1" applyNumberFormat="1" applyFont="1" applyFill="1" applyBorder="1" applyProtection="1">
      <protection locked="0" hidden="1"/>
    </xf>
    <xf numFmtId="43" fontId="82" fillId="4" borderId="13" xfId="1" applyFont="1" applyFill="1" applyBorder="1" applyAlignment="1" applyProtection="1">
      <alignment horizontal="centerContinuous"/>
      <protection locked="0" hidden="1"/>
    </xf>
    <xf numFmtId="187" fontId="11" fillId="4" borderId="10" xfId="1" applyNumberFormat="1" applyFont="1" applyFill="1" applyBorder="1" applyAlignment="1" applyProtection="1">
      <alignment horizontal="center"/>
      <protection locked="0" hidden="1"/>
    </xf>
    <xf numFmtId="165" fontId="11" fillId="4" borderId="10" xfId="1" applyNumberFormat="1" applyFont="1" applyFill="1" applyBorder="1" applyAlignment="1" applyProtection="1">
      <alignment horizontal="center"/>
      <protection locked="0" hidden="1"/>
    </xf>
    <xf numFmtId="164" fontId="11" fillId="4" borderId="10" xfId="1" applyNumberFormat="1" applyFont="1" applyFill="1" applyBorder="1" applyAlignment="1" applyProtection="1">
      <alignment horizontal="center"/>
      <protection locked="0" hidden="1"/>
    </xf>
    <xf numFmtId="0" fontId="9" fillId="0" borderId="0" xfId="0" applyFont="1" applyProtection="1">
      <protection locked="0" hidden="1"/>
    </xf>
    <xf numFmtId="171" fontId="24" fillId="0" borderId="0" xfId="0" applyNumberFormat="1" applyFont="1" applyProtection="1">
      <protection locked="0" hidden="1"/>
    </xf>
    <xf numFmtId="9" fontId="0" fillId="0" borderId="34" xfId="0" applyNumberFormat="1" applyBorder="1" applyProtection="1">
      <protection locked="0" hidden="1"/>
    </xf>
    <xf numFmtId="0" fontId="8" fillId="0" borderId="39" xfId="0" applyFont="1" applyBorder="1" applyProtection="1">
      <protection locked="0" hidden="1"/>
    </xf>
    <xf numFmtId="0" fontId="69" fillId="2" borderId="0" xfId="0" applyFont="1" applyFill="1" applyProtection="1">
      <protection locked="0" hidden="1"/>
    </xf>
    <xf numFmtId="0" fontId="26" fillId="0" borderId="0" xfId="0" applyFont="1" applyAlignment="1" applyProtection="1">
      <alignment horizontal="center"/>
      <protection locked="0" hidden="1"/>
    </xf>
    <xf numFmtId="0" fontId="70" fillId="0" borderId="0" xfId="0" applyFont="1" applyProtection="1">
      <protection locked="0" hidden="1"/>
    </xf>
    <xf numFmtId="169" fontId="26" fillId="0" borderId="3" xfId="1" applyNumberFormat="1" applyFont="1" applyBorder="1" applyAlignment="1" applyProtection="1">
      <alignment horizontal="center"/>
      <protection locked="0" hidden="1"/>
    </xf>
    <xf numFmtId="0" fontId="71" fillId="0" borderId="0" xfId="0" applyFont="1" applyAlignment="1" applyProtection="1">
      <alignment vertical="top"/>
      <protection locked="0" hidden="1"/>
    </xf>
    <xf numFmtId="169" fontId="72" fillId="0" borderId="13" xfId="1" applyNumberFormat="1" applyFont="1" applyBorder="1" applyAlignment="1" applyProtection="1">
      <alignment horizontal="center" vertical="top"/>
      <protection locked="0" hidden="1"/>
    </xf>
    <xf numFmtId="171" fontId="7" fillId="0" borderId="0" xfId="1" applyNumberFormat="1" applyProtection="1">
      <protection locked="0" hidden="1"/>
    </xf>
    <xf numFmtId="43" fontId="65" fillId="4" borderId="13" xfId="1" applyFont="1" applyFill="1" applyBorder="1" applyAlignment="1" applyProtection="1">
      <alignment horizontal="centerContinuous"/>
      <protection locked="0" hidden="1"/>
    </xf>
    <xf numFmtId="43" fontId="65" fillId="4" borderId="40" xfId="1" applyFont="1" applyFill="1" applyBorder="1" applyAlignment="1" applyProtection="1">
      <alignment horizontal="centerContinuous"/>
      <protection locked="0" hidden="1"/>
    </xf>
    <xf numFmtId="168" fontId="53" fillId="4" borderId="10" xfId="0" applyNumberFormat="1" applyFont="1" applyFill="1" applyBorder="1" applyAlignment="1" applyProtection="1">
      <alignment horizontal="center"/>
      <protection locked="0" hidden="1"/>
    </xf>
    <xf numFmtId="168" fontId="53" fillId="4" borderId="19" xfId="0" applyNumberFormat="1" applyFont="1" applyFill="1" applyBorder="1" applyAlignment="1" applyProtection="1">
      <alignment horizontal="center"/>
      <protection locked="0" hidden="1"/>
    </xf>
    <xf numFmtId="0" fontId="53" fillId="4" borderId="10" xfId="0" applyFont="1" applyFill="1" applyBorder="1" applyAlignment="1" applyProtection="1">
      <alignment horizontal="center"/>
      <protection locked="0" hidden="1"/>
    </xf>
    <xf numFmtId="0" fontId="53" fillId="4" borderId="19" xfId="0" applyFont="1" applyFill="1" applyBorder="1" applyAlignment="1" applyProtection="1">
      <alignment horizontal="center"/>
      <protection locked="0" hidden="1"/>
    </xf>
    <xf numFmtId="165" fontId="0" fillId="0" borderId="0" xfId="0" applyNumberFormat="1" applyAlignment="1" applyProtection="1">
      <alignment horizontal="center"/>
      <protection locked="0" hidden="1"/>
    </xf>
    <xf numFmtId="165" fontId="0" fillId="0" borderId="0" xfId="0" applyNumberFormat="1" applyProtection="1">
      <protection locked="0" hidden="1"/>
    </xf>
    <xf numFmtId="171" fontId="41" fillId="0" borderId="15" xfId="1" applyNumberFormat="1" applyFont="1" applyBorder="1" applyProtection="1">
      <protection locked="0" hidden="1"/>
    </xf>
    <xf numFmtId="171" fontId="39" fillId="0" borderId="0" xfId="1" applyNumberFormat="1" applyFont="1" applyProtection="1">
      <protection locked="0" hidden="1"/>
    </xf>
    <xf numFmtId="171" fontId="39" fillId="0" borderId="15" xfId="1" applyNumberFormat="1" applyFont="1" applyBorder="1" applyProtection="1">
      <protection locked="0" hidden="1"/>
    </xf>
    <xf numFmtId="171" fontId="24" fillId="0" borderId="15" xfId="1" applyNumberFormat="1" applyFont="1" applyBorder="1" applyProtection="1">
      <protection locked="0" hidden="1"/>
    </xf>
    <xf numFmtId="171" fontId="47" fillId="0" borderId="0" xfId="1" applyNumberFormat="1" applyFont="1" applyProtection="1">
      <protection locked="0" hidden="1"/>
    </xf>
    <xf numFmtId="175" fontId="0" fillId="0" borderId="34" xfId="0" applyNumberFormat="1" applyBorder="1" applyAlignment="1" applyProtection="1">
      <alignment horizontal="center"/>
      <protection locked="0" hidden="1"/>
    </xf>
    <xf numFmtId="175" fontId="0" fillId="0" borderId="0" xfId="0" applyNumberFormat="1" applyAlignment="1" applyProtection="1">
      <alignment horizontal="center"/>
      <protection locked="0" hidden="1"/>
    </xf>
    <xf numFmtId="9" fontId="40" fillId="0" borderId="0" xfId="0" applyNumberFormat="1" applyFont="1" applyAlignment="1" applyProtection="1">
      <alignment horizontal="center"/>
      <protection locked="0" hidden="1"/>
    </xf>
    <xf numFmtId="171" fontId="40" fillId="0" borderId="0" xfId="1" applyNumberFormat="1" applyFont="1" applyProtection="1">
      <protection locked="0" hidden="1"/>
    </xf>
    <xf numFmtId="171" fontId="40" fillId="0" borderId="15" xfId="1" applyNumberFormat="1" applyFont="1" applyBorder="1" applyProtection="1">
      <protection locked="0" hidden="1"/>
    </xf>
    <xf numFmtId="43" fontId="0" fillId="10" borderId="44" xfId="1" applyFont="1" applyFill="1" applyBorder="1" applyProtection="1">
      <protection locked="0" hidden="1"/>
    </xf>
    <xf numFmtId="0" fontId="0" fillId="10" borderId="44" xfId="0" applyFill="1" applyBorder="1" applyAlignment="1" applyProtection="1">
      <alignment horizontal="center"/>
      <protection locked="0" hidden="1"/>
    </xf>
    <xf numFmtId="171" fontId="0" fillId="10" borderId="45" xfId="1" applyNumberFormat="1" applyFont="1" applyFill="1" applyBorder="1" applyProtection="1">
      <protection locked="0" hidden="1"/>
    </xf>
    <xf numFmtId="171" fontId="48" fillId="0" borderId="0" xfId="1" applyNumberFormat="1" applyFont="1" applyProtection="1">
      <protection locked="0" hidden="1"/>
    </xf>
    <xf numFmtId="171" fontId="48" fillId="0" borderId="15" xfId="1" applyNumberFormat="1" applyFont="1" applyBorder="1" applyProtection="1">
      <protection locked="0" hidden="1"/>
    </xf>
    <xf numFmtId="171" fontId="49" fillId="0" borderId="0" xfId="1" applyNumberFormat="1" applyFont="1" applyProtection="1">
      <protection locked="0" hidden="1"/>
    </xf>
    <xf numFmtId="171" fontId="49" fillId="0" borderId="15" xfId="1" applyNumberFormat="1" applyFont="1" applyBorder="1" applyProtection="1">
      <protection locked="0" hidden="1"/>
    </xf>
    <xf numFmtId="171" fontId="47" fillId="0" borderId="15" xfId="1" applyNumberFormat="1" applyFont="1" applyBorder="1" applyProtection="1">
      <protection locked="0" hidden="1"/>
    </xf>
    <xf numFmtId="43" fontId="39" fillId="0" borderId="0" xfId="1" applyFont="1" applyProtection="1">
      <protection locked="0" hidden="1"/>
    </xf>
    <xf numFmtId="43" fontId="24" fillId="0" borderId="0" xfId="1" applyFont="1" applyProtection="1">
      <protection locked="0" hidden="1"/>
    </xf>
    <xf numFmtId="9" fontId="35" fillId="0" borderId="0" xfId="2" applyFont="1" applyProtection="1">
      <protection locked="0" hidden="1"/>
    </xf>
    <xf numFmtId="177" fontId="0" fillId="0" borderId="0" xfId="0" applyNumberFormat="1" applyAlignment="1" applyProtection="1">
      <alignment horizontal="right"/>
      <protection locked="0" hidden="1"/>
    </xf>
    <xf numFmtId="177" fontId="0" fillId="0" borderId="15" xfId="0" applyNumberFormat="1" applyBorder="1" applyAlignment="1" applyProtection="1">
      <alignment horizontal="right"/>
      <protection locked="0" hidden="1"/>
    </xf>
    <xf numFmtId="177" fontId="40" fillId="0" borderId="0" xfId="0" applyNumberFormat="1" applyFont="1" applyAlignment="1" applyProtection="1">
      <alignment horizontal="right"/>
      <protection locked="0" hidden="1"/>
    </xf>
    <xf numFmtId="177" fontId="40" fillId="0" borderId="15" xfId="0" applyNumberFormat="1" applyFont="1" applyBorder="1" applyAlignment="1" applyProtection="1">
      <alignment horizontal="right"/>
      <protection locked="0" hidden="1"/>
    </xf>
    <xf numFmtId="177" fontId="0" fillId="0" borderId="41" xfId="0" applyNumberFormat="1" applyBorder="1" applyAlignment="1" applyProtection="1">
      <alignment horizontal="right"/>
      <protection locked="0" hidden="1"/>
    </xf>
    <xf numFmtId="43" fontId="0" fillId="10" borderId="44" xfId="0" applyNumberFormat="1" applyFill="1" applyBorder="1" applyProtection="1">
      <protection locked="0" hidden="1"/>
    </xf>
    <xf numFmtId="177" fontId="8" fillId="10" borderId="44" xfId="0" applyNumberFormat="1" applyFont="1" applyFill="1" applyBorder="1" applyAlignment="1" applyProtection="1">
      <alignment horizontal="right"/>
      <protection locked="0" hidden="1"/>
    </xf>
    <xf numFmtId="168" fontId="41" fillId="0" borderId="0" xfId="0" applyNumberFormat="1" applyFont="1" applyAlignment="1" applyProtection="1">
      <alignment horizontal="center"/>
      <protection locked="0" hidden="1"/>
    </xf>
    <xf numFmtId="0" fontId="16" fillId="0" borderId="0" xfId="0" applyFont="1" applyAlignment="1" applyProtection="1">
      <alignment horizontal="left"/>
      <protection locked="0" hidden="1"/>
    </xf>
    <xf numFmtId="9" fontId="41" fillId="0" borderId="0" xfId="2" applyFont="1" applyProtection="1">
      <protection locked="0" hidden="1"/>
    </xf>
    <xf numFmtId="9" fontId="24" fillId="0" borderId="0" xfId="2" applyFont="1" applyProtection="1">
      <protection locked="0" hidden="1"/>
    </xf>
    <xf numFmtId="171" fontId="66" fillId="0" borderId="0" xfId="1" applyNumberFormat="1" applyFont="1" applyProtection="1">
      <protection locked="0" hidden="1"/>
    </xf>
    <xf numFmtId="171" fontId="66" fillId="0" borderId="15" xfId="1" applyNumberFormat="1" applyFont="1" applyBorder="1" applyProtection="1">
      <protection locked="0" hidden="1"/>
    </xf>
    <xf numFmtId="174" fontId="66" fillId="0" borderId="0" xfId="1" applyNumberFormat="1" applyFont="1" applyProtection="1">
      <protection locked="0" hidden="1"/>
    </xf>
    <xf numFmtId="0" fontId="66" fillId="0" borderId="0" xfId="0" applyFont="1" applyProtection="1">
      <protection locked="0" hidden="1"/>
    </xf>
    <xf numFmtId="5" fontId="0" fillId="0" borderId="0" xfId="1" applyNumberFormat="1" applyFont="1" applyProtection="1">
      <protection locked="0" hidden="1"/>
    </xf>
    <xf numFmtId="5" fontId="0" fillId="0" borderId="15" xfId="1" applyNumberFormat="1" applyFont="1" applyBorder="1" applyProtection="1">
      <protection locked="0" hidden="1"/>
    </xf>
    <xf numFmtId="5" fontId="9" fillId="0" borderId="0" xfId="1" applyNumberFormat="1" applyFont="1" applyProtection="1">
      <protection locked="0" hidden="1"/>
    </xf>
    <xf numFmtId="5" fontId="9" fillId="0" borderId="15" xfId="1" applyNumberFormat="1" applyFont="1" applyBorder="1" applyProtection="1">
      <protection locked="0" hidden="1"/>
    </xf>
    <xf numFmtId="5" fontId="0" fillId="0" borderId="41" xfId="1" applyNumberFormat="1" applyFont="1" applyBorder="1" applyProtection="1">
      <protection locked="0" hidden="1"/>
    </xf>
    <xf numFmtId="0" fontId="59" fillId="0" borderId="0" xfId="0" applyFont="1" applyProtection="1">
      <protection locked="0" hidden="1"/>
    </xf>
    <xf numFmtId="3" fontId="0" fillId="0" borderId="0" xfId="0" applyNumberFormat="1" applyAlignment="1" applyProtection="1">
      <alignment horizontal="center"/>
      <protection locked="0" hidden="1"/>
    </xf>
    <xf numFmtId="43" fontId="8" fillId="0" borderId="3" xfId="1" applyFont="1" applyBorder="1" applyProtection="1">
      <protection locked="0" hidden="1"/>
    </xf>
    <xf numFmtId="0" fontId="8" fillId="10" borderId="44" xfId="0" applyFont="1" applyFill="1" applyBorder="1" applyAlignment="1" applyProtection="1">
      <alignment horizontal="center"/>
      <protection locked="0" hidden="1"/>
    </xf>
    <xf numFmtId="5" fontId="8" fillId="10" borderId="44" xfId="1" applyNumberFormat="1" applyFont="1" applyFill="1" applyBorder="1" applyProtection="1">
      <protection locked="0" hidden="1"/>
    </xf>
    <xf numFmtId="5" fontId="8" fillId="10" borderId="45" xfId="1" applyNumberFormat="1" applyFont="1" applyFill="1" applyBorder="1" applyProtection="1">
      <protection locked="0" hidden="1"/>
    </xf>
    <xf numFmtId="5" fontId="8" fillId="10" borderId="44" xfId="0" applyNumberFormat="1" applyFont="1" applyFill="1" applyBorder="1" applyProtection="1">
      <protection locked="0" hidden="1"/>
    </xf>
    <xf numFmtId="0" fontId="24" fillId="0" borderId="15" xfId="0" applyFont="1" applyBorder="1" applyProtection="1">
      <protection locked="0" hidden="1"/>
    </xf>
    <xf numFmtId="0" fontId="41" fillId="0" borderId="15" xfId="0" applyFont="1" applyBorder="1" applyProtection="1">
      <protection locked="0" hidden="1"/>
    </xf>
    <xf numFmtId="179" fontId="41" fillId="0" borderId="0" xfId="0" applyNumberFormat="1" applyFont="1" applyProtection="1">
      <protection locked="0" hidden="1"/>
    </xf>
    <xf numFmtId="43" fontId="35" fillId="0" borderId="0" xfId="0" applyNumberFormat="1" applyFont="1" applyProtection="1">
      <protection locked="0" hidden="1"/>
    </xf>
    <xf numFmtId="43" fontId="39" fillId="0" borderId="0" xfId="1" applyFont="1" applyAlignment="1" applyProtection="1">
      <alignment horizontal="center"/>
      <protection locked="0" hidden="1"/>
    </xf>
    <xf numFmtId="178" fontId="41" fillId="0" borderId="0" xfId="0" applyNumberFormat="1" applyFont="1" applyAlignment="1" applyProtection="1">
      <alignment horizontal="center"/>
      <protection locked="0" hidden="1"/>
    </xf>
    <xf numFmtId="178" fontId="0" fillId="0" borderId="0" xfId="0" applyNumberFormat="1" applyAlignment="1" applyProtection="1">
      <alignment horizontal="center"/>
      <protection locked="0" hidden="1"/>
    </xf>
    <xf numFmtId="174" fontId="41" fillId="0" borderId="15" xfId="1" applyNumberFormat="1" applyFont="1" applyBorder="1" applyProtection="1">
      <protection locked="0" hidden="1"/>
    </xf>
    <xf numFmtId="0" fontId="41" fillId="0" borderId="3" xfId="0" applyFont="1" applyBorder="1" applyProtection="1">
      <protection locked="0" hidden="1"/>
    </xf>
    <xf numFmtId="174" fontId="41" fillId="0" borderId="3" xfId="0" applyNumberFormat="1" applyFont="1" applyBorder="1" applyProtection="1">
      <protection locked="0" hidden="1"/>
    </xf>
    <xf numFmtId="174" fontId="9" fillId="0" borderId="0" xfId="1" applyNumberFormat="1" applyFont="1" applyProtection="1">
      <protection locked="0" hidden="1"/>
    </xf>
    <xf numFmtId="174" fontId="9" fillId="0" borderId="15" xfId="1" applyNumberFormat="1" applyFont="1" applyBorder="1" applyProtection="1">
      <protection locked="0" hidden="1"/>
    </xf>
    <xf numFmtId="0" fontId="57" fillId="0" borderId="0" xfId="0" applyFont="1" applyProtection="1">
      <protection locked="0" hidden="1"/>
    </xf>
    <xf numFmtId="171" fontId="57" fillId="0" borderId="0" xfId="1" applyNumberFormat="1" applyFont="1" applyProtection="1">
      <protection locked="0" hidden="1"/>
    </xf>
    <xf numFmtId="175" fontId="0" fillId="5" borderId="0" xfId="0" applyNumberFormat="1" applyFill="1" applyAlignment="1" applyProtection="1">
      <alignment horizontal="center"/>
      <protection locked="0" hidden="1"/>
    </xf>
    <xf numFmtId="5" fontId="0" fillId="10" borderId="44" xfId="1" applyNumberFormat="1" applyFont="1" applyFill="1" applyBorder="1" applyProtection="1">
      <protection locked="0" hidden="1"/>
    </xf>
    <xf numFmtId="5" fontId="0" fillId="10" borderId="45" xfId="1" applyNumberFormat="1" applyFont="1" applyFill="1" applyBorder="1" applyProtection="1">
      <protection locked="0" hidden="1"/>
    </xf>
    <xf numFmtId="5" fontId="0" fillId="10" borderId="44" xfId="0" applyNumberFormat="1" applyFill="1" applyBorder="1" applyProtection="1">
      <protection locked="0" hidden="1"/>
    </xf>
    <xf numFmtId="177" fontId="0" fillId="0" borderId="0" xfId="0" applyNumberFormat="1" applyProtection="1">
      <protection locked="0" hidden="1"/>
    </xf>
    <xf numFmtId="174" fontId="9" fillId="0" borderId="0" xfId="0" applyNumberFormat="1" applyFont="1" applyProtection="1">
      <protection locked="0" hidden="1"/>
    </xf>
    <xf numFmtId="171" fontId="9" fillId="10" borderId="44" xfId="1" applyNumberFormat="1" applyFont="1" applyFill="1" applyBorder="1" applyProtection="1">
      <protection locked="0" hidden="1"/>
    </xf>
    <xf numFmtId="165" fontId="34" fillId="4" borderId="70" xfId="1" applyNumberFormat="1" applyFont="1" applyFill="1" applyBorder="1" applyAlignment="1" applyProtection="1">
      <alignment horizontal="center"/>
      <protection locked="0" hidden="1"/>
    </xf>
    <xf numFmtId="0" fontId="24" fillId="0" borderId="0" xfId="1" applyNumberFormat="1" applyFont="1" applyAlignment="1" applyProtection="1">
      <alignment horizontal="center"/>
      <protection locked="0" hidden="1"/>
    </xf>
    <xf numFmtId="43" fontId="41" fillId="0" borderId="0" xfId="1" applyFont="1" applyAlignment="1" applyProtection="1">
      <alignment horizontal="center"/>
      <protection locked="0" hidden="1"/>
    </xf>
    <xf numFmtId="43" fontId="16" fillId="0" borderId="0" xfId="1" applyFont="1" applyAlignment="1" applyProtection="1">
      <alignment horizontal="center"/>
      <protection locked="0" hidden="1"/>
    </xf>
    <xf numFmtId="5" fontId="0" fillId="0" borderId="0" xfId="0" applyNumberFormat="1" applyAlignment="1" applyProtection="1">
      <alignment horizontal="center" vertical="center"/>
      <protection locked="0" hidden="1"/>
    </xf>
    <xf numFmtId="0" fontId="41" fillId="0" borderId="0" xfId="1" applyNumberFormat="1" applyFont="1" applyAlignment="1" applyProtection="1">
      <alignment horizontal="center"/>
      <protection locked="0" hidden="1"/>
    </xf>
    <xf numFmtId="177" fontId="0" fillId="0" borderId="0" xfId="0" applyNumberFormat="1" applyAlignment="1" applyProtection="1">
      <alignment horizontal="center" vertical="center"/>
      <protection locked="0" hidden="1"/>
    </xf>
    <xf numFmtId="177" fontId="41" fillId="0" borderId="0" xfId="1" applyNumberFormat="1" applyFont="1" applyAlignment="1" applyProtection="1">
      <alignment horizontal="center"/>
      <protection locked="0" hidden="1"/>
    </xf>
    <xf numFmtId="177" fontId="41" fillId="0" borderId="0" xfId="1" applyNumberFormat="1" applyFont="1" applyProtection="1">
      <protection locked="0" hidden="1"/>
    </xf>
    <xf numFmtId="177" fontId="50" fillId="0" borderId="0" xfId="1" applyNumberFormat="1" applyFont="1" applyAlignment="1" applyProtection="1">
      <alignment horizontal="center"/>
      <protection locked="0" hidden="1"/>
    </xf>
    <xf numFmtId="177" fontId="0" fillId="0" borderId="0" xfId="1" applyNumberFormat="1" applyFont="1" applyProtection="1">
      <protection locked="0" hidden="1"/>
    </xf>
    <xf numFmtId="43" fontId="50" fillId="0" borderId="0" xfId="1" applyFont="1" applyAlignment="1" applyProtection="1">
      <alignment horizontal="center"/>
      <protection locked="0" hidden="1"/>
    </xf>
    <xf numFmtId="43" fontId="0" fillId="0" borderId="3" xfId="1" applyFont="1" applyBorder="1" applyAlignment="1" applyProtection="1">
      <alignment horizontal="left"/>
      <protection locked="0" hidden="1"/>
    </xf>
    <xf numFmtId="43" fontId="41" fillId="0" borderId="3" xfId="1" applyFont="1" applyBorder="1" applyAlignment="1" applyProtection="1">
      <alignment horizontal="center"/>
      <protection locked="0" hidden="1"/>
    </xf>
    <xf numFmtId="5" fontId="41" fillId="0" borderId="3" xfId="1" applyNumberFormat="1" applyFont="1" applyBorder="1" applyAlignment="1" applyProtection="1">
      <alignment horizontal="center"/>
      <protection locked="0" hidden="1"/>
    </xf>
    <xf numFmtId="177" fontId="24" fillId="0" borderId="0" xfId="0" applyNumberFormat="1" applyFont="1" applyAlignment="1" applyProtection="1">
      <alignment horizontal="center" vertical="center"/>
      <protection locked="0" hidden="1"/>
    </xf>
    <xf numFmtId="43" fontId="41" fillId="0" borderId="0" xfId="1" applyFont="1" applyAlignment="1" applyProtection="1">
      <alignment horizontal="left"/>
      <protection locked="0" hidden="1"/>
    </xf>
    <xf numFmtId="43" fontId="41" fillId="0" borderId="0" xfId="1" applyFont="1" applyAlignment="1" applyProtection="1">
      <alignment horizontal="left" indent="3"/>
      <protection locked="0" hidden="1"/>
    </xf>
    <xf numFmtId="43" fontId="41" fillId="0" borderId="0" xfId="1" applyFont="1" applyAlignment="1" applyProtection="1">
      <alignment horizontal="left" vertical="center" indent="4"/>
      <protection locked="0" hidden="1"/>
    </xf>
    <xf numFmtId="174" fontId="9" fillId="0" borderId="0" xfId="1" applyNumberFormat="1" applyFont="1" applyAlignment="1" applyProtection="1">
      <alignment horizontal="center" vertical="center"/>
      <protection locked="0" hidden="1"/>
    </xf>
    <xf numFmtId="43" fontId="41" fillId="0" borderId="0" xfId="1" applyFont="1" applyAlignment="1" applyProtection="1">
      <alignment horizontal="left" vertical="center" indent="3"/>
      <protection locked="0" hidden="1"/>
    </xf>
    <xf numFmtId="174" fontId="0" fillId="0" borderId="0" xfId="1" applyNumberFormat="1" applyFont="1" applyAlignment="1" applyProtection="1">
      <alignment horizontal="center" vertical="center"/>
      <protection locked="0" hidden="1"/>
    </xf>
    <xf numFmtId="43" fontId="41" fillId="0" borderId="0" xfId="1" applyFont="1" applyAlignment="1" applyProtection="1">
      <alignment horizontal="center" vertical="center"/>
      <protection locked="0" hidden="1"/>
    </xf>
    <xf numFmtId="178" fontId="23" fillId="0" borderId="0" xfId="0" applyNumberFormat="1" applyFont="1" applyAlignment="1" applyProtection="1">
      <alignment horizontal="center"/>
      <protection locked="0" hidden="1"/>
    </xf>
    <xf numFmtId="43" fontId="24" fillId="0" borderId="0" xfId="1" applyFont="1" applyAlignment="1" applyProtection="1">
      <alignment horizontal="center"/>
      <protection locked="0" hidden="1"/>
    </xf>
    <xf numFmtId="43" fontId="16" fillId="0" borderId="0" xfId="1" applyFont="1" applyAlignment="1" applyProtection="1">
      <alignment horizontal="left"/>
      <protection locked="0" hidden="1"/>
    </xf>
    <xf numFmtId="43" fontId="16" fillId="0" borderId="0" xfId="1" applyFont="1" applyAlignment="1" applyProtection="1">
      <alignment horizontal="left" indent="1"/>
      <protection locked="0" hidden="1"/>
    </xf>
    <xf numFmtId="43" fontId="51" fillId="0" borderId="0" xfId="1" applyFont="1" applyAlignment="1" applyProtection="1">
      <alignment horizontal="center"/>
      <protection locked="0" hidden="1"/>
    </xf>
    <xf numFmtId="43" fontId="41" fillId="0" borderId="3" xfId="1" applyFont="1" applyBorder="1" applyProtection="1">
      <protection locked="0" hidden="1"/>
    </xf>
    <xf numFmtId="43" fontId="16" fillId="0" borderId="3" xfId="1" applyFont="1" applyBorder="1" applyAlignment="1" applyProtection="1">
      <alignment horizontal="left"/>
      <protection locked="0" hidden="1"/>
    </xf>
    <xf numFmtId="0" fontId="41" fillId="0" borderId="3" xfId="1" applyNumberFormat="1" applyFont="1" applyBorder="1" applyAlignment="1" applyProtection="1">
      <alignment horizontal="center"/>
      <protection locked="0" hidden="1"/>
    </xf>
    <xf numFmtId="174" fontId="0" fillId="0" borderId="0" xfId="1" applyNumberFormat="1" applyFont="1" applyAlignment="1" applyProtection="1">
      <alignment horizontal="center"/>
      <protection locked="0" hidden="1"/>
    </xf>
    <xf numFmtId="174" fontId="40" fillId="0" borderId="0" xfId="1" applyNumberFormat="1" applyFont="1" applyAlignment="1" applyProtection="1">
      <alignment horizontal="center"/>
      <protection locked="0" hidden="1"/>
    </xf>
    <xf numFmtId="174" fontId="41" fillId="0" borderId="0" xfId="1" applyNumberFormat="1" applyFont="1" applyAlignment="1" applyProtection="1">
      <alignment horizontal="center"/>
      <protection locked="0" hidden="1"/>
    </xf>
    <xf numFmtId="43" fontId="41" fillId="0" borderId="0" xfId="1" applyFont="1" applyAlignment="1" applyProtection="1">
      <alignment horizontal="right"/>
      <protection locked="0" hidden="1"/>
    </xf>
    <xf numFmtId="171" fontId="11" fillId="0" borderId="0" xfId="1" applyNumberFormat="1" applyFont="1" applyProtection="1">
      <protection locked="0" hidden="1"/>
    </xf>
    <xf numFmtId="169" fontId="0" fillId="0" borderId="0" xfId="0" applyNumberFormat="1" applyAlignment="1" applyProtection="1">
      <alignment horizontal="center"/>
      <protection locked="0" hidden="1"/>
    </xf>
    <xf numFmtId="177" fontId="0" fillId="0" borderId="0" xfId="0" applyNumberFormat="1" applyAlignment="1" applyProtection="1">
      <alignment horizontal="center"/>
      <protection locked="0" hidden="1"/>
    </xf>
    <xf numFmtId="43" fontId="78" fillId="0" borderId="0" xfId="1" applyFont="1" applyAlignment="1" applyProtection="1">
      <alignment horizontal="centerContinuous"/>
      <protection locked="0" hidden="1"/>
    </xf>
    <xf numFmtId="0" fontId="0" fillId="0" borderId="0" xfId="0" quotePrefix="1" applyAlignment="1" applyProtection="1">
      <alignment horizontal="left"/>
      <protection locked="0" hidden="1"/>
    </xf>
    <xf numFmtId="1" fontId="0" fillId="0" borderId="0" xfId="0" applyNumberFormat="1" applyAlignment="1" applyProtection="1">
      <alignment horizontal="center"/>
      <protection locked="0" hidden="1"/>
    </xf>
    <xf numFmtId="0" fontId="16" fillId="0" borderId="0" xfId="0" quotePrefix="1" applyFont="1" applyAlignment="1" applyProtection="1">
      <alignment horizontal="left"/>
      <protection locked="0" hidden="1"/>
    </xf>
    <xf numFmtId="168" fontId="0" fillId="0" borderId="0" xfId="0" applyNumberFormat="1" applyAlignment="1" applyProtection="1">
      <alignment horizontal="center"/>
      <protection locked="0" hidden="1"/>
    </xf>
    <xf numFmtId="171" fontId="0" fillId="0" borderId="0" xfId="1" applyNumberFormat="1" applyFont="1" applyAlignment="1" applyProtection="1">
      <alignment horizontal="center"/>
      <protection locked="0" hidden="1"/>
    </xf>
    <xf numFmtId="171" fontId="40" fillId="0" borderId="0" xfId="1" applyNumberFormat="1" applyFont="1" applyAlignment="1" applyProtection="1">
      <alignment horizontal="center"/>
      <protection locked="0" hidden="1"/>
    </xf>
    <xf numFmtId="43" fontId="75" fillId="0" borderId="0" xfId="1" applyFont="1" applyAlignment="1" applyProtection="1">
      <alignment horizontal="left" indent="2"/>
      <protection locked="0" hidden="1"/>
    </xf>
    <xf numFmtId="43" fontId="75" fillId="0" borderId="0" xfId="1" applyFont="1" applyProtection="1">
      <protection locked="0" hidden="1"/>
    </xf>
    <xf numFmtId="0" fontId="75" fillId="0" borderId="0" xfId="1" applyNumberFormat="1" applyFont="1" applyAlignment="1" applyProtection="1">
      <alignment horizontal="center"/>
      <protection locked="0" hidden="1"/>
    </xf>
    <xf numFmtId="43" fontId="75" fillId="0" borderId="0" xfId="1" applyFont="1" applyAlignment="1" applyProtection="1">
      <alignment horizontal="center"/>
      <protection locked="0" hidden="1"/>
    </xf>
    <xf numFmtId="171" fontId="75" fillId="0" borderId="0" xfId="1" applyNumberFormat="1" applyFont="1" applyAlignment="1" applyProtection="1">
      <alignment horizontal="center"/>
      <protection locked="0" hidden="1"/>
    </xf>
    <xf numFmtId="171" fontId="9" fillId="0" borderId="0" xfId="1" applyNumberFormat="1" applyFont="1" applyAlignment="1" applyProtection="1">
      <alignment horizontal="center"/>
      <protection locked="0" hidden="1"/>
    </xf>
    <xf numFmtId="0" fontId="75" fillId="0" borderId="0" xfId="0" applyFont="1" applyProtection="1">
      <protection locked="0" hidden="1"/>
    </xf>
    <xf numFmtId="0" fontId="11" fillId="11" borderId="0" xfId="0" applyFont="1" applyFill="1" applyProtection="1">
      <protection locked="0" hidden="1"/>
    </xf>
    <xf numFmtId="171" fontId="0" fillId="0" borderId="0" xfId="1" applyNumberFormat="1" applyFont="1" applyAlignment="1" applyProtection="1">
      <alignment horizontal="left" indent="1"/>
      <protection locked="0" hidden="1"/>
    </xf>
    <xf numFmtId="43" fontId="8" fillId="10" borderId="44" xfId="1" applyFont="1" applyFill="1" applyBorder="1" applyProtection="1">
      <protection locked="0" hidden="1"/>
    </xf>
    <xf numFmtId="171" fontId="8" fillId="10" borderId="44" xfId="0" applyNumberFormat="1" applyFont="1" applyFill="1" applyBorder="1" applyProtection="1">
      <protection locked="0" hidden="1"/>
    </xf>
    <xf numFmtId="43" fontId="27" fillId="0" borderId="0" xfId="1" applyFont="1" applyAlignment="1" applyProtection="1">
      <alignment horizontal="center" wrapText="1"/>
      <protection locked="0" hidden="1"/>
    </xf>
    <xf numFmtId="170" fontId="40" fillId="0" borderId="0" xfId="2" applyNumberFormat="1" applyFont="1" applyAlignment="1" applyProtection="1">
      <alignment horizontal="center"/>
      <protection locked="0" hidden="1"/>
    </xf>
    <xf numFmtId="171" fontId="40" fillId="0" borderId="0" xfId="0" applyNumberFormat="1" applyFont="1" applyProtection="1">
      <protection locked="0" hidden="1"/>
    </xf>
    <xf numFmtId="171" fontId="24" fillId="0" borderId="0" xfId="1" applyNumberFormat="1" applyFont="1" applyAlignment="1" applyProtection="1">
      <alignment horizontal="right"/>
      <protection locked="0" hidden="1"/>
    </xf>
    <xf numFmtId="43" fontId="11" fillId="0" borderId="0" xfId="1" applyFont="1" applyProtection="1">
      <protection locked="0" hidden="1"/>
    </xf>
    <xf numFmtId="43" fontId="27" fillId="0" borderId="12" xfId="1" applyFont="1" applyBorder="1" applyAlignment="1" applyProtection="1">
      <alignment horizontal="centerContinuous"/>
      <protection locked="0" hidden="1"/>
    </xf>
    <xf numFmtId="43" fontId="27" fillId="0" borderId="13" xfId="1" applyFont="1" applyBorder="1" applyAlignment="1" applyProtection="1">
      <alignment horizontal="centerContinuous"/>
      <protection locked="0" hidden="1"/>
    </xf>
    <xf numFmtId="43" fontId="64" fillId="0" borderId="13" xfId="1" applyFont="1" applyBorder="1" applyAlignment="1" applyProtection="1">
      <alignment horizontal="centerContinuous"/>
      <protection locked="0" hidden="1"/>
    </xf>
    <xf numFmtId="43" fontId="27" fillId="0" borderId="40" xfId="1" applyFont="1" applyBorder="1" applyAlignment="1" applyProtection="1">
      <alignment horizontal="centerContinuous"/>
      <protection locked="0" hidden="1"/>
    </xf>
    <xf numFmtId="0" fontId="0" fillId="0" borderId="14" xfId="1" applyNumberFormat="1" applyFont="1" applyBorder="1" applyProtection="1">
      <protection locked="0" hidden="1"/>
    </xf>
    <xf numFmtId="8" fontId="0" fillId="0" borderId="0" xfId="1" applyNumberFormat="1" applyFont="1" applyAlignment="1" applyProtection="1">
      <alignment horizontal="center"/>
      <protection locked="0" hidden="1"/>
    </xf>
    <xf numFmtId="0" fontId="24" fillId="0" borderId="0" xfId="2" applyNumberFormat="1" applyFont="1" applyAlignment="1" applyProtection="1">
      <alignment horizontal="right"/>
      <protection locked="0" hidden="1"/>
    </xf>
    <xf numFmtId="9" fontId="24" fillId="0" borderId="0" xfId="2" applyFont="1" applyAlignment="1" applyProtection="1">
      <alignment horizontal="left"/>
      <protection locked="0" hidden="1"/>
    </xf>
    <xf numFmtId="43" fontId="27" fillId="0" borderId="15" xfId="1" applyFont="1" applyBorder="1" applyAlignment="1" applyProtection="1">
      <alignment horizontal="centerContinuous"/>
      <protection locked="0" hidden="1"/>
    </xf>
    <xf numFmtId="165" fontId="7" fillId="0" borderId="3" xfId="1" applyNumberFormat="1" applyBorder="1" applyAlignment="1" applyProtection="1">
      <alignment horizontal="center"/>
      <protection locked="0" hidden="1"/>
    </xf>
    <xf numFmtId="165" fontId="7" fillId="0" borderId="35" xfId="1" applyNumberFormat="1" applyBorder="1" applyAlignment="1" applyProtection="1">
      <alignment horizontal="center"/>
      <protection locked="0" hidden="1"/>
    </xf>
    <xf numFmtId="43" fontId="0" fillId="0" borderId="15" xfId="1" applyFont="1" applyBorder="1" applyProtection="1">
      <protection locked="0" hidden="1"/>
    </xf>
    <xf numFmtId="8" fontId="0" fillId="0" borderId="0" xfId="1" applyNumberFormat="1" applyFont="1" applyProtection="1">
      <protection locked="0" hidden="1"/>
    </xf>
    <xf numFmtId="8" fontId="0" fillId="0" borderId="15" xfId="1" applyNumberFormat="1" applyFont="1" applyBorder="1" applyProtection="1">
      <protection locked="0" hidden="1"/>
    </xf>
    <xf numFmtId="8" fontId="40" fillId="0" borderId="0" xfId="1" applyNumberFormat="1" applyFont="1" applyProtection="1">
      <protection locked="0" hidden="1"/>
    </xf>
    <xf numFmtId="8" fontId="40" fillId="0" borderId="15" xfId="1" applyNumberFormat="1" applyFont="1" applyBorder="1" applyProtection="1">
      <protection locked="0" hidden="1"/>
    </xf>
    <xf numFmtId="43" fontId="0" fillId="0" borderId="15" xfId="1" applyFont="1" applyBorder="1" applyAlignment="1" applyProtection="1">
      <alignment horizontal="center"/>
      <protection locked="0" hidden="1"/>
    </xf>
    <xf numFmtId="0" fontId="0" fillId="0" borderId="14" xfId="1" quotePrefix="1" applyNumberFormat="1" applyFont="1" applyBorder="1" applyProtection="1">
      <protection locked="0" hidden="1"/>
    </xf>
    <xf numFmtId="43" fontId="35" fillId="0" borderId="14" xfId="1" applyFont="1" applyBorder="1" applyProtection="1">
      <protection locked="0" hidden="1"/>
    </xf>
    <xf numFmtId="8" fontId="0" fillId="0" borderId="39" xfId="1" applyNumberFormat="1" applyFont="1" applyBorder="1" applyProtection="1">
      <protection locked="0" hidden="1"/>
    </xf>
    <xf numFmtId="8" fontId="0" fillId="0" borderId="41" xfId="1" applyNumberFormat="1" applyFont="1" applyBorder="1" applyProtection="1">
      <protection locked="0" hidden="1"/>
    </xf>
    <xf numFmtId="0" fontId="8" fillId="10" borderId="4" xfId="0" applyFont="1" applyFill="1" applyBorder="1" applyProtection="1">
      <protection locked="0" hidden="1"/>
    </xf>
    <xf numFmtId="0" fontId="0" fillId="10" borderId="5" xfId="0" applyFill="1" applyBorder="1" applyProtection="1">
      <protection locked="0" hidden="1"/>
    </xf>
    <xf numFmtId="0" fontId="0" fillId="10" borderId="6" xfId="0" applyFill="1" applyBorder="1" applyProtection="1">
      <protection locked="0" hidden="1"/>
    </xf>
    <xf numFmtId="0" fontId="0" fillId="10" borderId="7" xfId="0" applyFill="1" applyBorder="1" applyProtection="1">
      <protection locked="0" hidden="1"/>
    </xf>
    <xf numFmtId="43" fontId="0" fillId="10" borderId="0" xfId="0" applyNumberFormat="1" applyFill="1" applyProtection="1">
      <protection locked="0" hidden="1"/>
    </xf>
    <xf numFmtId="8" fontId="0" fillId="10" borderId="0" xfId="0" applyNumberFormat="1" applyFill="1" applyProtection="1">
      <protection locked="0" hidden="1"/>
    </xf>
    <xf numFmtId="8" fontId="40" fillId="10" borderId="0" xfId="0" applyNumberFormat="1" applyFont="1" applyFill="1" applyProtection="1">
      <protection locked="0" hidden="1"/>
    </xf>
    <xf numFmtId="165" fontId="9" fillId="10" borderId="0" xfId="0" applyNumberFormat="1" applyFont="1" applyFill="1" applyAlignment="1" applyProtection="1">
      <alignment horizontal="right"/>
      <protection locked="0" hidden="1"/>
    </xf>
    <xf numFmtId="165" fontId="9" fillId="10" borderId="8" xfId="0" applyNumberFormat="1" applyFont="1" applyFill="1" applyBorder="1" applyAlignment="1" applyProtection="1">
      <alignment horizontal="right"/>
      <protection locked="0" hidden="1"/>
    </xf>
    <xf numFmtId="8" fontId="0" fillId="10" borderId="10" xfId="0" applyNumberFormat="1" applyFill="1" applyBorder="1" applyProtection="1">
      <protection locked="0" hidden="1"/>
    </xf>
    <xf numFmtId="0" fontId="8" fillId="10" borderId="10" xfId="0" applyFont="1" applyFill="1" applyBorder="1" applyProtection="1">
      <protection locked="0" hidden="1"/>
    </xf>
    <xf numFmtId="8" fontId="0" fillId="10" borderId="11" xfId="0" applyNumberFormat="1" applyFill="1" applyBorder="1" applyProtection="1">
      <protection locked="0" hidden="1"/>
    </xf>
    <xf numFmtId="0" fontId="0" fillId="0" borderId="0" xfId="1" applyNumberFormat="1" applyFont="1" applyAlignment="1" applyProtection="1">
      <alignment horizontal="left"/>
      <protection locked="0" hidden="1"/>
    </xf>
    <xf numFmtId="43" fontId="27" fillId="0" borderId="0" xfId="1" applyFont="1" applyAlignment="1" applyProtection="1">
      <alignment horizontal="left"/>
      <protection locked="0" hidden="1"/>
    </xf>
    <xf numFmtId="8" fontId="0" fillId="0" borderId="0" xfId="1" applyNumberFormat="1" applyFont="1" applyAlignment="1" applyProtection="1">
      <alignment horizontal="left"/>
      <protection locked="0" hidden="1"/>
    </xf>
    <xf numFmtId="10" fontId="0" fillId="0" borderId="0" xfId="2" applyNumberFormat="1" applyFont="1" applyAlignment="1" applyProtection="1">
      <alignment horizontal="left"/>
      <protection locked="0" hidden="1"/>
    </xf>
    <xf numFmtId="0" fontId="24" fillId="0" borderId="0" xfId="2" applyNumberFormat="1" applyFont="1" applyAlignment="1" applyProtection="1">
      <alignment horizontal="left"/>
      <protection locked="0" hidden="1"/>
    </xf>
    <xf numFmtId="0" fontId="0" fillId="10" borderId="36" xfId="0" applyFill="1" applyBorder="1" applyProtection="1">
      <protection locked="0" hidden="1"/>
    </xf>
    <xf numFmtId="43" fontId="9" fillId="10" borderId="36" xfId="1" applyFont="1" applyFill="1" applyBorder="1" applyAlignment="1" applyProtection="1">
      <alignment horizontal="center"/>
      <protection locked="0" hidden="1"/>
    </xf>
    <xf numFmtId="43" fontId="27" fillId="10" borderId="37" xfId="1" applyFont="1" applyFill="1" applyBorder="1" applyAlignment="1" applyProtection="1">
      <alignment horizontal="centerContinuous"/>
      <protection locked="0" hidden="1"/>
    </xf>
    <xf numFmtId="10" fontId="0" fillId="0" borderId="0" xfId="0" applyNumberFormat="1" applyAlignment="1" applyProtection="1">
      <alignment horizontal="center"/>
      <protection locked="0" hidden="1"/>
    </xf>
    <xf numFmtId="10" fontId="0" fillId="10" borderId="37" xfId="0" applyNumberFormat="1" applyFill="1" applyBorder="1" applyAlignment="1" applyProtection="1">
      <alignment horizontal="center"/>
      <protection locked="0" hidden="1"/>
    </xf>
    <xf numFmtId="5" fontId="9" fillId="0" borderId="0" xfId="1" applyNumberFormat="1" applyFont="1" applyAlignment="1" applyProtection="1">
      <alignment horizontal="center"/>
      <protection locked="0" hidden="1"/>
    </xf>
    <xf numFmtId="10" fontId="40" fillId="10" borderId="37" xfId="0" applyNumberFormat="1" applyFont="1" applyFill="1" applyBorder="1" applyAlignment="1" applyProtection="1">
      <alignment horizontal="center"/>
      <protection locked="0" hidden="1"/>
    </xf>
    <xf numFmtId="5" fontId="40" fillId="0" borderId="0" xfId="1" applyNumberFormat="1" applyFont="1" applyAlignment="1" applyProtection="1">
      <alignment horizontal="center"/>
      <protection locked="0" hidden="1"/>
    </xf>
    <xf numFmtId="10" fontId="8" fillId="10" borderId="38" xfId="0" applyNumberFormat="1" applyFont="1" applyFill="1" applyBorder="1" applyAlignment="1" applyProtection="1">
      <alignment horizontal="center"/>
      <protection locked="0" hidden="1"/>
    </xf>
    <xf numFmtId="43" fontId="75" fillId="0" borderId="0" xfId="1" applyFont="1" applyAlignment="1" applyProtection="1">
      <alignment horizontal="left" indent="1"/>
      <protection locked="0" hidden="1"/>
    </xf>
    <xf numFmtId="43" fontId="75" fillId="0" borderId="0" xfId="0" applyNumberFormat="1" applyFont="1" applyAlignment="1" applyProtection="1">
      <alignment horizontal="left" indent="1"/>
      <protection locked="0" hidden="1"/>
    </xf>
    <xf numFmtId="170" fontId="75" fillId="0" borderId="0" xfId="2" applyNumberFormat="1" applyFont="1" applyAlignment="1" applyProtection="1">
      <alignment horizontal="center"/>
      <protection locked="0" hidden="1"/>
    </xf>
    <xf numFmtId="9" fontId="24" fillId="0" borderId="0" xfId="0" applyNumberFormat="1" applyFont="1" applyAlignment="1" applyProtection="1">
      <alignment horizontal="center"/>
      <protection locked="0" hidden="1"/>
    </xf>
    <xf numFmtId="0" fontId="24" fillId="0" borderId="10" xfId="0" applyFont="1" applyBorder="1" applyProtection="1">
      <protection locked="0" hidden="1"/>
    </xf>
    <xf numFmtId="0" fontId="0" fillId="0" borderId="0" xfId="2" applyNumberFormat="1" applyFont="1" applyProtection="1">
      <protection locked="0" hidden="1"/>
    </xf>
    <xf numFmtId="8" fontId="40" fillId="0" borderId="0" xfId="1" applyNumberFormat="1" applyFont="1" applyAlignment="1" applyProtection="1">
      <alignment horizontal="left"/>
      <protection locked="0" hidden="1"/>
    </xf>
    <xf numFmtId="2" fontId="0" fillId="0" borderId="0" xfId="2" applyNumberFormat="1" applyFont="1" applyAlignment="1" applyProtection="1">
      <alignment horizontal="center"/>
      <protection locked="0" hidden="1"/>
    </xf>
    <xf numFmtId="43" fontId="8" fillId="0" borderId="0" xfId="1" applyFont="1" applyAlignment="1" applyProtection="1">
      <alignment horizontal="left" indent="1"/>
      <protection locked="0" hidden="1"/>
    </xf>
    <xf numFmtId="172" fontId="8" fillId="0" borderId="0" xfId="0" applyNumberFormat="1" applyFont="1" applyAlignment="1" applyProtection="1">
      <alignment horizontal="center"/>
      <protection locked="0" hidden="1"/>
    </xf>
    <xf numFmtId="172" fontId="8" fillId="0" borderId="0" xfId="2" applyNumberFormat="1" applyFont="1" applyAlignment="1" applyProtection="1">
      <alignment horizontal="center"/>
      <protection locked="0" hidden="1"/>
    </xf>
    <xf numFmtId="43" fontId="75" fillId="0" borderId="0" xfId="1" applyFont="1" applyAlignment="1" applyProtection="1">
      <alignment horizontal="left"/>
      <protection locked="0" hidden="1"/>
    </xf>
    <xf numFmtId="43" fontId="11" fillId="0" borderId="0" xfId="1" applyFont="1" applyAlignment="1" applyProtection="1">
      <alignment horizontal="left"/>
      <protection locked="0" hidden="1"/>
    </xf>
    <xf numFmtId="0" fontId="0" fillId="0" borderId="0" xfId="1" quotePrefix="1" applyNumberFormat="1" applyFont="1" applyAlignment="1" applyProtection="1">
      <alignment horizontal="left"/>
      <protection locked="0" hidden="1"/>
    </xf>
    <xf numFmtId="43" fontId="35" fillId="0" borderId="0" xfId="1" applyFont="1" applyAlignment="1" applyProtection="1">
      <alignment horizontal="left"/>
      <protection locked="0" hidden="1"/>
    </xf>
    <xf numFmtId="0" fontId="8" fillId="0" borderId="0" xfId="0" applyFont="1" applyAlignment="1" applyProtection="1">
      <alignment horizontal="left"/>
      <protection locked="0" hidden="1"/>
    </xf>
    <xf numFmtId="43" fontId="0" fillId="0" borderId="0" xfId="0" applyNumberFormat="1" applyAlignment="1" applyProtection="1">
      <alignment horizontal="left"/>
      <protection locked="0" hidden="1"/>
    </xf>
    <xf numFmtId="8" fontId="0" fillId="0" borderId="0" xfId="0" applyNumberFormat="1" applyAlignment="1" applyProtection="1">
      <alignment horizontal="left"/>
      <protection locked="0" hidden="1"/>
    </xf>
    <xf numFmtId="8" fontId="40" fillId="0" borderId="0" xfId="0" applyNumberFormat="1" applyFont="1" applyAlignment="1" applyProtection="1">
      <alignment horizontal="left"/>
      <protection locked="0" hidden="1"/>
    </xf>
    <xf numFmtId="165" fontId="9" fillId="0" borderId="0" xfId="0" applyNumberFormat="1" applyFont="1" applyAlignment="1" applyProtection="1">
      <alignment horizontal="left"/>
      <protection locked="0" hidden="1"/>
    </xf>
    <xf numFmtId="172" fontId="0" fillId="0" borderId="0" xfId="0" applyNumberFormat="1" applyAlignment="1" applyProtection="1">
      <alignment horizontal="center"/>
      <protection locked="0" hidden="1"/>
    </xf>
    <xf numFmtId="43" fontId="9" fillId="10" borderId="40" xfId="1" applyFont="1" applyFill="1" applyBorder="1" applyAlignment="1" applyProtection="1">
      <alignment horizontal="centerContinuous"/>
      <protection locked="0" hidden="1"/>
    </xf>
    <xf numFmtId="43" fontId="9" fillId="10" borderId="15" xfId="1" applyFont="1" applyFill="1" applyBorder="1" applyAlignment="1" applyProtection="1">
      <alignment horizontal="center" wrapText="1"/>
      <protection locked="0" hidden="1"/>
    </xf>
    <xf numFmtId="171" fontId="0" fillId="0" borderId="42" xfId="0" applyNumberFormat="1" applyBorder="1" applyAlignment="1" applyProtection="1">
      <alignment horizontal="center"/>
      <protection locked="0" hidden="1"/>
    </xf>
    <xf numFmtId="5" fontId="0" fillId="10" borderId="42" xfId="0" applyNumberFormat="1" applyFill="1" applyBorder="1" applyAlignment="1" applyProtection="1">
      <alignment horizontal="center"/>
      <protection locked="0" hidden="1"/>
    </xf>
    <xf numFmtId="5" fontId="0" fillId="10" borderId="39" xfId="0" applyNumberFormat="1" applyFill="1" applyBorder="1" applyAlignment="1" applyProtection="1">
      <alignment horizontal="center"/>
      <protection locked="0" hidden="1"/>
    </xf>
    <xf numFmtId="5" fontId="0" fillId="10" borderId="41" xfId="0" applyNumberFormat="1" applyFill="1" applyBorder="1" applyAlignment="1" applyProtection="1">
      <alignment horizontal="center"/>
      <protection locked="0" hidden="1"/>
    </xf>
    <xf numFmtId="43" fontId="9" fillId="0" borderId="40" xfId="1" applyFont="1" applyBorder="1" applyAlignment="1" applyProtection="1">
      <alignment horizontal="centerContinuous"/>
      <protection locked="0" hidden="1"/>
    </xf>
    <xf numFmtId="43" fontId="9" fillId="10" borderId="5" xfId="1" applyFont="1" applyFill="1" applyBorder="1" applyAlignment="1" applyProtection="1">
      <alignment horizontal="centerContinuous"/>
      <protection locked="0" hidden="1"/>
    </xf>
    <xf numFmtId="43" fontId="9" fillId="0" borderId="15" xfId="1" applyFont="1" applyBorder="1" applyAlignment="1" applyProtection="1">
      <alignment horizontal="center" wrapText="1"/>
      <protection locked="0" hidden="1"/>
    </xf>
    <xf numFmtId="170" fontId="0" fillId="10" borderId="9" xfId="2" applyNumberFormat="1" applyFont="1" applyFill="1" applyBorder="1" applyAlignment="1" applyProtection="1">
      <alignment horizontal="center"/>
      <protection locked="0" hidden="1"/>
    </xf>
    <xf numFmtId="170" fontId="0" fillId="10" borderId="10" xfId="2" applyNumberFormat="1" applyFont="1" applyFill="1" applyBorder="1" applyAlignment="1" applyProtection="1">
      <alignment horizontal="center"/>
      <protection locked="0" hidden="1"/>
    </xf>
    <xf numFmtId="170" fontId="0" fillId="10" borderId="11" xfId="2" applyNumberFormat="1" applyFont="1" applyFill="1" applyBorder="1" applyAlignment="1" applyProtection="1">
      <alignment horizontal="center"/>
      <protection locked="0" hidden="1"/>
    </xf>
    <xf numFmtId="43" fontId="0" fillId="10" borderId="7" xfId="1" applyFont="1" applyFill="1" applyBorder="1" applyProtection="1">
      <protection locked="0" hidden="1"/>
    </xf>
    <xf numFmtId="5" fontId="40" fillId="0" borderId="0" xfId="0" applyNumberFormat="1" applyFont="1" applyProtection="1">
      <protection locked="0" hidden="1"/>
    </xf>
    <xf numFmtId="0" fontId="41" fillId="10" borderId="0" xfId="0" applyFont="1" applyFill="1" applyProtection="1">
      <protection locked="0" hidden="1"/>
    </xf>
    <xf numFmtId="0" fontId="77" fillId="2" borderId="0" xfId="0" applyFont="1" applyFill="1" applyProtection="1">
      <protection locked="0" hidden="1"/>
    </xf>
    <xf numFmtId="5" fontId="0" fillId="0" borderId="42" xfId="0" applyNumberFormat="1" applyBorder="1" applyAlignment="1" applyProtection="1">
      <alignment horizontal="center"/>
      <protection locked="0" hidden="1"/>
    </xf>
    <xf numFmtId="43" fontId="0" fillId="7" borderId="12" xfId="1" applyFont="1" applyFill="1" applyBorder="1" applyProtection="1">
      <protection locked="0" hidden="1"/>
    </xf>
    <xf numFmtId="0" fontId="0" fillId="7" borderId="13" xfId="0" applyFill="1" applyBorder="1" applyProtection="1">
      <protection locked="0" hidden="1"/>
    </xf>
    <xf numFmtId="0" fontId="40" fillId="7" borderId="13" xfId="0" applyFont="1" applyFill="1" applyBorder="1" applyAlignment="1" applyProtection="1">
      <alignment horizontal="center"/>
      <protection locked="0" hidden="1"/>
    </xf>
    <xf numFmtId="0" fontId="0" fillId="7" borderId="40" xfId="0" applyFill="1" applyBorder="1" applyProtection="1">
      <protection locked="0" hidden="1"/>
    </xf>
    <xf numFmtId="43" fontId="0" fillId="7" borderId="14" xfId="1" applyFont="1" applyFill="1" applyBorder="1" applyProtection="1">
      <protection locked="0" hidden="1"/>
    </xf>
    <xf numFmtId="0" fontId="0" fillId="7" borderId="0" xfId="0" applyFill="1" applyProtection="1">
      <protection locked="0" hidden="1"/>
    </xf>
    <xf numFmtId="0" fontId="0" fillId="7" borderId="15" xfId="0" applyFill="1" applyBorder="1" applyProtection="1">
      <protection locked="0" hidden="1"/>
    </xf>
    <xf numFmtId="43" fontId="41" fillId="7" borderId="14" xfId="1" applyFont="1" applyFill="1" applyBorder="1" applyProtection="1">
      <protection locked="0" hidden="1"/>
    </xf>
    <xf numFmtId="0" fontId="41" fillId="7" borderId="0" xfId="0" applyFont="1" applyFill="1" applyProtection="1">
      <protection locked="0" hidden="1"/>
    </xf>
    <xf numFmtId="43" fontId="41" fillId="7" borderId="42" xfId="1" applyFont="1" applyFill="1" applyBorder="1" applyProtection="1">
      <protection locked="0" hidden="1"/>
    </xf>
    <xf numFmtId="0" fontId="41" fillId="7" borderId="39" xfId="0" applyFont="1" applyFill="1" applyBorder="1" applyProtection="1">
      <protection locked="0" hidden="1"/>
    </xf>
    <xf numFmtId="0" fontId="0" fillId="7" borderId="41" xfId="0" applyFill="1" applyBorder="1" applyProtection="1">
      <protection locked="0" hidden="1"/>
    </xf>
    <xf numFmtId="0" fontId="10" fillId="0" borderId="0" xfId="0" applyFont="1" applyAlignment="1" applyProtection="1">
      <alignment horizontal="center"/>
      <protection locked="0" hidden="1"/>
    </xf>
    <xf numFmtId="0" fontId="8" fillId="10" borderId="43" xfId="0" applyFont="1" applyFill="1" applyBorder="1" applyAlignment="1" applyProtection="1">
      <alignment horizontal="center"/>
      <protection locked="0" hidden="1"/>
    </xf>
    <xf numFmtId="0" fontId="41" fillId="2" borderId="2" xfId="0" applyFont="1" applyFill="1" applyBorder="1" applyProtection="1">
      <protection locked="0" hidden="1"/>
    </xf>
    <xf numFmtId="0" fontId="41" fillId="2" borderId="0" xfId="0" applyFont="1" applyFill="1" applyProtection="1">
      <protection locked="0" hidden="1"/>
    </xf>
    <xf numFmtId="0" fontId="41" fillId="2" borderId="1" xfId="0" applyFont="1" applyFill="1" applyBorder="1" applyProtection="1">
      <protection locked="0" hidden="1"/>
    </xf>
    <xf numFmtId="43" fontId="8" fillId="7" borderId="43" xfId="1" applyFont="1" applyFill="1" applyBorder="1" applyProtection="1">
      <protection locked="0" hidden="1"/>
    </xf>
    <xf numFmtId="0" fontId="8" fillId="7" borderId="3" xfId="0" applyFont="1" applyFill="1" applyBorder="1" applyProtection="1">
      <protection locked="0" hidden="1"/>
    </xf>
    <xf numFmtId="39" fontId="8" fillId="7" borderId="3" xfId="0" applyNumberFormat="1" applyFont="1" applyFill="1" applyBorder="1" applyAlignment="1" applyProtection="1">
      <alignment horizontal="center"/>
      <protection locked="0" hidden="1"/>
    </xf>
    <xf numFmtId="39" fontId="8" fillId="7" borderId="35" xfId="0" applyNumberFormat="1" applyFont="1" applyFill="1" applyBorder="1" applyAlignment="1" applyProtection="1">
      <alignment horizontal="center"/>
      <protection locked="0" hidden="1"/>
    </xf>
    <xf numFmtId="43" fontId="39" fillId="0" borderId="0" xfId="1" applyFont="1" applyAlignment="1" applyProtection="1">
      <alignment horizontal="center" wrapText="1"/>
      <protection locked="0" hidden="1"/>
    </xf>
    <xf numFmtId="43" fontId="41" fillId="0" borderId="0" xfId="1" applyFont="1" applyAlignment="1" applyProtection="1">
      <alignment horizontal="center" wrapText="1"/>
      <protection locked="0" hidden="1"/>
    </xf>
    <xf numFmtId="5" fontId="41" fillId="0" borderId="0" xfId="1" applyNumberFormat="1" applyFont="1" applyAlignment="1" applyProtection="1">
      <alignment horizontal="center" wrapText="1"/>
      <protection locked="0" hidden="1"/>
    </xf>
    <xf numFmtId="0" fontId="8" fillId="5" borderId="34" xfId="0" applyFont="1" applyFill="1" applyBorder="1" applyAlignment="1" applyProtection="1">
      <alignment horizontal="center"/>
      <protection locked="0" hidden="1"/>
    </xf>
    <xf numFmtId="174" fontId="0" fillId="0" borderId="38" xfId="1" applyNumberFormat="1" applyFont="1" applyBorder="1" applyProtection="1">
      <protection locked="0" hidden="1"/>
    </xf>
    <xf numFmtId="174" fontId="0" fillId="0" borderId="37" xfId="1" applyNumberFormat="1" applyFont="1" applyBorder="1" applyProtection="1">
      <protection locked="0" hidden="1"/>
    </xf>
    <xf numFmtId="174" fontId="0" fillId="0" borderId="36" xfId="1" applyNumberFormat="1" applyFont="1" applyBorder="1" applyProtection="1">
      <protection locked="0" hidden="1"/>
    </xf>
    <xf numFmtId="0" fontId="8" fillId="13" borderId="34" xfId="0" applyFont="1" applyFill="1" applyBorder="1" applyAlignment="1" applyProtection="1">
      <alignment horizontal="center" vertical="center" wrapText="1"/>
      <protection locked="0" hidden="1"/>
    </xf>
    <xf numFmtId="0" fontId="8" fillId="16" borderId="34" xfId="0" applyFont="1" applyFill="1" applyBorder="1" applyAlignment="1" applyProtection="1">
      <alignment horizontal="center"/>
      <protection locked="0" hidden="1"/>
    </xf>
    <xf numFmtId="9" fontId="35" fillId="10" borderId="14" xfId="2" applyFont="1" applyFill="1" applyBorder="1" applyProtection="1">
      <protection locked="0" hidden="1"/>
    </xf>
    <xf numFmtId="9" fontId="0" fillId="10" borderId="14" xfId="2" applyFont="1" applyFill="1" applyBorder="1" applyProtection="1">
      <protection locked="0" hidden="1"/>
    </xf>
    <xf numFmtId="0" fontId="0" fillId="10" borderId="14" xfId="0" applyFill="1" applyBorder="1" applyProtection="1">
      <protection locked="0" hidden="1"/>
    </xf>
    <xf numFmtId="43" fontId="0" fillId="10" borderId="14" xfId="0" applyNumberFormat="1" applyFill="1" applyBorder="1" applyAlignment="1" applyProtection="1">
      <alignment horizontal="left" indent="1"/>
      <protection locked="0" hidden="1"/>
    </xf>
    <xf numFmtId="5" fontId="34" fillId="0" borderId="0" xfId="0" applyNumberFormat="1" applyFont="1" applyAlignment="1" applyProtection="1">
      <alignment horizontal="center" vertical="center"/>
      <protection locked="0" hidden="1"/>
    </xf>
    <xf numFmtId="43" fontId="35" fillId="10" borderId="7" xfId="1" applyFont="1" applyFill="1" applyBorder="1" applyProtection="1">
      <protection locked="0" hidden="1"/>
    </xf>
    <xf numFmtId="188" fontId="0" fillId="10" borderId="0" xfId="0" applyNumberFormat="1" applyFill="1" applyAlignment="1" applyProtection="1">
      <alignment horizontal="center"/>
      <protection locked="0" hidden="1"/>
    </xf>
    <xf numFmtId="43" fontId="0" fillId="10" borderId="7" xfId="1" applyFont="1" applyFill="1" applyBorder="1" applyAlignment="1" applyProtection="1">
      <alignment horizontal="left" indent="1"/>
      <protection locked="0" hidden="1"/>
    </xf>
    <xf numFmtId="39" fontId="0" fillId="10" borderId="0" xfId="0" applyNumberFormat="1" applyFill="1" applyAlignment="1" applyProtection="1">
      <alignment horizontal="center"/>
      <protection locked="0" hidden="1"/>
    </xf>
    <xf numFmtId="43" fontId="0" fillId="10" borderId="9" xfId="1" applyFont="1" applyFill="1" applyBorder="1" applyProtection="1">
      <protection locked="0" hidden="1"/>
    </xf>
    <xf numFmtId="171" fontId="0" fillId="0" borderId="0" xfId="0" applyNumberFormat="1" applyAlignment="1" applyProtection="1">
      <alignment horizontal="center"/>
      <protection locked="0" hidden="1"/>
    </xf>
    <xf numFmtId="189" fontId="66" fillId="0" borderId="0" xfId="1" applyNumberFormat="1" applyFont="1" applyAlignment="1" applyProtection="1">
      <alignment horizontal="center"/>
      <protection locked="0" hidden="1"/>
    </xf>
    <xf numFmtId="189" fontId="66" fillId="0" borderId="0" xfId="0" applyNumberFormat="1" applyFont="1" applyAlignment="1" applyProtection="1">
      <alignment horizontal="center"/>
      <protection locked="0" hidden="1"/>
    </xf>
    <xf numFmtId="190" fontId="66" fillId="0" borderId="0" xfId="1" applyNumberFormat="1" applyFont="1" applyAlignment="1" applyProtection="1">
      <alignment horizontal="center"/>
      <protection locked="0" hidden="1"/>
    </xf>
    <xf numFmtId="0" fontId="54" fillId="4" borderId="17" xfId="0" applyFont="1" applyFill="1" applyBorder="1" applyAlignment="1" applyProtection="1">
      <alignment horizontal="centerContinuous"/>
      <protection locked="0" hidden="1"/>
    </xf>
    <xf numFmtId="0" fontId="54" fillId="4" borderId="75" xfId="0" applyFont="1" applyFill="1" applyBorder="1" applyAlignment="1" applyProtection="1">
      <alignment horizontal="centerContinuous"/>
      <protection locked="0" hidden="1"/>
    </xf>
    <xf numFmtId="0" fontId="0" fillId="0" borderId="59" xfId="0" applyBorder="1" applyProtection="1">
      <protection locked="0" hidden="1"/>
    </xf>
    <xf numFmtId="0" fontId="0" fillId="0" borderId="18" xfId="0" applyBorder="1" applyProtection="1">
      <protection locked="0" hidden="1"/>
    </xf>
    <xf numFmtId="43" fontId="7" fillId="0" borderId="63" xfId="1" applyBorder="1" applyAlignment="1" applyProtection="1">
      <alignment horizontal="center" wrapText="1"/>
      <protection locked="0" hidden="1"/>
    </xf>
    <xf numFmtId="43" fontId="7" fillId="0" borderId="39" xfId="1" applyBorder="1" applyAlignment="1" applyProtection="1">
      <alignment horizontal="center" wrapText="1"/>
      <protection locked="0" hidden="1"/>
    </xf>
    <xf numFmtId="43" fontId="7" fillId="0" borderId="47" xfId="1" applyBorder="1" applyAlignment="1" applyProtection="1">
      <alignment horizontal="center" wrapText="1"/>
      <protection locked="0" hidden="1"/>
    </xf>
    <xf numFmtId="0" fontId="28" fillId="0" borderId="12" xfId="0" applyFont="1" applyBorder="1" applyAlignment="1" applyProtection="1">
      <alignment horizontal="left"/>
      <protection locked="0" hidden="1"/>
    </xf>
    <xf numFmtId="0" fontId="28" fillId="0" borderId="13" xfId="0" applyFont="1" applyBorder="1" applyProtection="1">
      <protection locked="0" hidden="1"/>
    </xf>
    <xf numFmtId="0" fontId="52" fillId="0" borderId="13" xfId="0" applyFont="1" applyBorder="1" applyProtection="1">
      <protection locked="0" hidden="1"/>
    </xf>
    <xf numFmtId="0" fontId="28" fillId="0" borderId="40" xfId="0" applyFont="1" applyBorder="1" applyProtection="1">
      <protection locked="0" hidden="1"/>
    </xf>
    <xf numFmtId="0" fontId="28" fillId="0" borderId="14" xfId="0" applyFont="1" applyBorder="1" applyAlignment="1" applyProtection="1">
      <alignment horizontal="left"/>
      <protection locked="0" hidden="1"/>
    </xf>
    <xf numFmtId="0" fontId="28" fillId="0" borderId="42" xfId="0" applyFont="1" applyBorder="1" applyAlignment="1" applyProtection="1">
      <alignment horizontal="left"/>
      <protection locked="0" hidden="1"/>
    </xf>
    <xf numFmtId="0" fontId="52" fillId="0" borderId="39" xfId="0" applyFont="1" applyBorder="1" applyProtection="1">
      <protection locked="0" hidden="1"/>
    </xf>
    <xf numFmtId="0" fontId="28" fillId="0" borderId="12" xfId="0" applyFont="1" applyBorder="1" applyProtection="1">
      <protection locked="0" hidden="1"/>
    </xf>
    <xf numFmtId="0" fontId="52" fillId="0" borderId="13" xfId="0" applyFont="1" applyBorder="1" applyAlignment="1" applyProtection="1">
      <alignment horizontal="left"/>
      <protection locked="0" hidden="1"/>
    </xf>
    <xf numFmtId="0" fontId="28" fillId="0" borderId="14" xfId="0" applyFont="1" applyBorder="1" applyProtection="1">
      <protection locked="0" hidden="1"/>
    </xf>
    <xf numFmtId="0" fontId="28" fillId="0" borderId="42" xfId="0" applyFont="1" applyBorder="1" applyProtection="1">
      <protection locked="0" hidden="1"/>
    </xf>
    <xf numFmtId="0" fontId="52" fillId="0" borderId="39" xfId="0" applyFont="1" applyBorder="1" applyAlignment="1" applyProtection="1">
      <alignment horizontal="left"/>
      <protection locked="0" hidden="1"/>
    </xf>
    <xf numFmtId="5" fontId="91" fillId="0" borderId="7" xfId="0" applyNumberFormat="1" applyFont="1" applyBorder="1" applyAlignment="1" applyProtection="1">
      <alignment horizontal="center"/>
      <protection locked="0" hidden="1"/>
    </xf>
    <xf numFmtId="5" fontId="91" fillId="0" borderId="0" xfId="0" applyNumberFormat="1" applyFont="1" applyAlignment="1" applyProtection="1">
      <alignment horizontal="center"/>
      <protection locked="0" hidden="1"/>
    </xf>
    <xf numFmtId="5" fontId="91" fillId="0" borderId="8" xfId="0" applyNumberFormat="1" applyFont="1" applyBorder="1" applyAlignment="1" applyProtection="1">
      <alignment horizontal="center"/>
      <protection locked="0" hidden="1"/>
    </xf>
    <xf numFmtId="5" fontId="91" fillId="7" borderId="9" xfId="0" applyNumberFormat="1" applyFont="1" applyFill="1" applyBorder="1" applyAlignment="1" applyProtection="1">
      <alignment horizontal="center"/>
      <protection locked="0" hidden="1"/>
    </xf>
    <xf numFmtId="5" fontId="91" fillId="7" borderId="10" xfId="0" applyNumberFormat="1" applyFont="1" applyFill="1" applyBorder="1" applyAlignment="1" applyProtection="1">
      <alignment horizontal="center"/>
      <protection locked="0" hidden="1"/>
    </xf>
    <xf numFmtId="5" fontId="91" fillId="7" borderId="11" xfId="0" applyNumberFormat="1" applyFont="1" applyFill="1" applyBorder="1" applyAlignment="1" applyProtection="1">
      <alignment horizontal="center"/>
      <protection locked="0" hidden="1"/>
    </xf>
    <xf numFmtId="43" fontId="0" fillId="0" borderId="7" xfId="0" applyNumberFormat="1" applyBorder="1" applyAlignment="1" applyProtection="1">
      <alignment horizontal="center"/>
      <protection locked="0" hidden="1"/>
    </xf>
    <xf numFmtId="43" fontId="0" fillId="0" borderId="8" xfId="0" applyNumberFormat="1" applyBorder="1" applyAlignment="1" applyProtection="1">
      <alignment horizontal="center"/>
      <protection locked="0" hidden="1"/>
    </xf>
    <xf numFmtId="43" fontId="0" fillId="0" borderId="18" xfId="0" applyNumberFormat="1" applyBorder="1" applyAlignment="1" applyProtection="1">
      <alignment horizontal="center"/>
      <protection locked="0" hidden="1"/>
    </xf>
    <xf numFmtId="170" fontId="7" fillId="0" borderId="8" xfId="2" applyNumberFormat="1" applyBorder="1" applyAlignment="1" applyProtection="1">
      <alignment horizontal="center" vertical="center"/>
      <protection locked="0" hidden="1"/>
    </xf>
    <xf numFmtId="170" fontId="7" fillId="0" borderId="8" xfId="2" applyNumberFormat="1" applyBorder="1" applyAlignment="1" applyProtection="1">
      <alignment horizontal="center"/>
      <protection locked="0" hidden="1"/>
    </xf>
    <xf numFmtId="170" fontId="40" fillId="13" borderId="60" xfId="2" applyNumberFormat="1" applyFont="1" applyFill="1" applyBorder="1" applyAlignment="1" applyProtection="1">
      <alignment horizontal="center"/>
      <protection locked="0" hidden="1"/>
    </xf>
    <xf numFmtId="170" fontId="40" fillId="13" borderId="48" xfId="2" applyNumberFormat="1" applyFont="1" applyFill="1" applyBorder="1" applyAlignment="1" applyProtection="1">
      <alignment horizontal="center"/>
      <protection locked="0" hidden="1"/>
    </xf>
    <xf numFmtId="170" fontId="7" fillId="0" borderId="11" xfId="0" applyNumberFormat="1" applyFont="1" applyBorder="1" applyAlignment="1" applyProtection="1">
      <alignment horizontal="center"/>
      <protection locked="0" hidden="1"/>
    </xf>
    <xf numFmtId="0" fontId="0" fillId="0" borderId="7" xfId="0" applyBorder="1" applyAlignment="1" applyProtection="1">
      <alignment horizontal="left" indent="1"/>
      <protection locked="0" hidden="1"/>
    </xf>
    <xf numFmtId="5" fontId="0" fillId="13" borderId="76" xfId="0" applyNumberFormat="1" applyFill="1" applyBorder="1" applyAlignment="1" applyProtection="1">
      <alignment horizontal="center"/>
      <protection locked="0" hidden="1"/>
    </xf>
    <xf numFmtId="5" fontId="0" fillId="13" borderId="70" xfId="0" applyNumberFormat="1" applyFill="1" applyBorder="1" applyAlignment="1" applyProtection="1">
      <alignment horizontal="center"/>
      <protection locked="0" hidden="1"/>
    </xf>
    <xf numFmtId="5" fontId="0" fillId="13" borderId="77" xfId="0" applyNumberFormat="1" applyFill="1" applyBorder="1" applyAlignment="1" applyProtection="1">
      <alignment horizontal="center"/>
      <protection locked="0" hidden="1"/>
    </xf>
    <xf numFmtId="0" fontId="8" fillId="5" borderId="72" xfId="0" applyFont="1" applyFill="1" applyBorder="1" applyProtection="1">
      <protection locked="0" hidden="1"/>
    </xf>
    <xf numFmtId="43" fontId="0" fillId="0" borderId="62" xfId="1" applyFont="1" applyBorder="1" applyProtection="1">
      <protection locked="0" hidden="1"/>
    </xf>
    <xf numFmtId="43" fontId="0" fillId="0" borderId="61" xfId="1" applyFont="1" applyBorder="1" applyProtection="1">
      <protection locked="0" hidden="1"/>
    </xf>
    <xf numFmtId="5" fontId="0" fillId="0" borderId="47" xfId="0" applyNumberFormat="1" applyBorder="1" applyAlignment="1" applyProtection="1">
      <alignment horizontal="center"/>
      <protection locked="0" hidden="1"/>
    </xf>
    <xf numFmtId="0" fontId="0" fillId="0" borderId="18" xfId="0" applyBorder="1" applyAlignment="1" applyProtection="1">
      <alignment horizontal="center"/>
      <protection locked="0" hidden="1"/>
    </xf>
    <xf numFmtId="0" fontId="0" fillId="0" borderId="47" xfId="0" applyBorder="1" applyAlignment="1" applyProtection="1">
      <alignment horizontal="center"/>
      <protection locked="0" hidden="1"/>
    </xf>
    <xf numFmtId="0" fontId="0" fillId="0" borderId="49" xfId="0" applyBorder="1" applyAlignment="1" applyProtection="1">
      <alignment horizontal="centerContinuous"/>
      <protection locked="0" hidden="1"/>
    </xf>
    <xf numFmtId="43" fontId="9" fillId="0" borderId="50" xfId="1" applyFont="1" applyBorder="1" applyAlignment="1" applyProtection="1">
      <alignment horizontal="centerContinuous"/>
      <protection locked="0" hidden="1"/>
    </xf>
    <xf numFmtId="0" fontId="8" fillId="0" borderId="50" xfId="0" applyFont="1" applyBorder="1" applyAlignment="1" applyProtection="1">
      <alignment horizontal="left"/>
      <protection locked="0" hidden="1"/>
    </xf>
    <xf numFmtId="0" fontId="8" fillId="0" borderId="72" xfId="0" applyFont="1" applyBorder="1" applyAlignment="1" applyProtection="1">
      <alignment horizontal="left"/>
      <protection locked="0" hidden="1"/>
    </xf>
    <xf numFmtId="0" fontId="8" fillId="5" borderId="71" xfId="0" applyFont="1" applyFill="1" applyBorder="1" applyProtection="1">
      <protection locked="0" hidden="1"/>
    </xf>
    <xf numFmtId="43" fontId="0" fillId="0" borderId="39" xfId="1" applyFont="1" applyBorder="1" applyAlignment="1" applyProtection="1">
      <alignment horizontal="centerContinuous" wrapText="1"/>
      <protection locked="0" hidden="1"/>
    </xf>
    <xf numFmtId="43" fontId="0" fillId="0" borderId="47" xfId="0" applyNumberFormat="1" applyBorder="1" applyAlignment="1" applyProtection="1">
      <alignment horizontal="center" wrapText="1"/>
      <protection locked="0" hidden="1"/>
    </xf>
    <xf numFmtId="43" fontId="39" fillId="7" borderId="13" xfId="1" applyFont="1" applyFill="1" applyBorder="1" applyAlignment="1" applyProtection="1">
      <alignment horizontal="centerContinuous" wrapText="1"/>
      <protection locked="0" hidden="1"/>
    </xf>
    <xf numFmtId="43" fontId="39" fillId="7" borderId="18" xfId="1" applyFont="1" applyFill="1" applyBorder="1" applyAlignment="1" applyProtection="1">
      <alignment horizontal="centerContinuous" wrapText="1"/>
      <protection locked="0" hidden="1"/>
    </xf>
    <xf numFmtId="43" fontId="53" fillId="9" borderId="7" xfId="1" applyFont="1" applyFill="1" applyBorder="1" applyAlignment="1" applyProtection="1">
      <alignment horizontal="center" wrapText="1"/>
      <protection locked="0" hidden="1"/>
    </xf>
    <xf numFmtId="43" fontId="53" fillId="9" borderId="8" xfId="1" applyFont="1" applyFill="1" applyBorder="1" applyAlignment="1" applyProtection="1">
      <alignment horizontal="center" wrapText="1"/>
      <protection locked="0" hidden="1"/>
    </xf>
    <xf numFmtId="0" fontId="53" fillId="9" borderId="63" xfId="0" applyFont="1" applyFill="1" applyBorder="1" applyProtection="1">
      <protection locked="0" hidden="1"/>
    </xf>
    <xf numFmtId="0" fontId="53" fillId="9" borderId="39" xfId="0" applyFont="1" applyFill="1" applyBorder="1" applyProtection="1">
      <protection locked="0" hidden="1"/>
    </xf>
    <xf numFmtId="5" fontId="53" fillId="9" borderId="39" xfId="0" applyNumberFormat="1" applyFont="1" applyFill="1" applyBorder="1" applyAlignment="1" applyProtection="1">
      <alignment horizontal="center"/>
      <protection locked="0" hidden="1"/>
    </xf>
    <xf numFmtId="5" fontId="53" fillId="9" borderId="47" xfId="0" applyNumberFormat="1" applyFont="1" applyFill="1" applyBorder="1" applyAlignment="1" applyProtection="1">
      <alignment horizontal="center"/>
      <protection locked="0" hidden="1"/>
    </xf>
    <xf numFmtId="0" fontId="91" fillId="11" borderId="7" xfId="0" applyFont="1" applyFill="1" applyBorder="1" applyProtection="1">
      <protection locked="0" hidden="1"/>
    </xf>
    <xf numFmtId="5" fontId="38" fillId="6" borderId="0" xfId="0" applyNumberFormat="1" applyFont="1" applyFill="1" applyAlignment="1" applyProtection="1">
      <alignment horizontal="left"/>
      <protection locked="0" hidden="1"/>
    </xf>
    <xf numFmtId="43" fontId="0" fillId="0" borderId="63" xfId="1" applyFont="1" applyBorder="1" applyAlignment="1" applyProtection="1">
      <alignment horizontal="centerContinuous" wrapText="1"/>
      <protection locked="0" hidden="1"/>
    </xf>
    <xf numFmtId="43" fontId="0" fillId="0" borderId="41" xfId="1" applyFont="1" applyBorder="1" applyAlignment="1" applyProtection="1">
      <alignment horizontal="center"/>
      <protection locked="0" hidden="1"/>
    </xf>
    <xf numFmtId="0" fontId="92" fillId="0" borderId="73" xfId="0" applyFont="1" applyBorder="1" applyAlignment="1" applyProtection="1">
      <alignment horizontal="center" vertical="center"/>
      <protection locked="0" hidden="1"/>
    </xf>
    <xf numFmtId="0" fontId="0" fillId="0" borderId="66" xfId="0" applyBorder="1" applyAlignment="1" applyProtection="1">
      <alignment horizontal="center"/>
      <protection locked="0" hidden="1"/>
    </xf>
    <xf numFmtId="43" fontId="64" fillId="17" borderId="4" xfId="1" applyFont="1" applyFill="1" applyBorder="1" applyAlignment="1" applyProtection="1">
      <alignment horizontal="centerContinuous" wrapText="1"/>
      <protection locked="0" hidden="1"/>
    </xf>
    <xf numFmtId="43" fontId="64" fillId="17" borderId="5" xfId="1" applyFont="1" applyFill="1" applyBorder="1" applyAlignment="1" applyProtection="1">
      <alignment horizontal="centerContinuous" wrapText="1"/>
      <protection locked="0" hidden="1"/>
    </xf>
    <xf numFmtId="43" fontId="64" fillId="17" borderId="6" xfId="1" applyFont="1" applyFill="1" applyBorder="1" applyAlignment="1" applyProtection="1">
      <alignment horizontal="centerContinuous" wrapText="1"/>
      <protection locked="0" hidden="1"/>
    </xf>
    <xf numFmtId="43" fontId="65" fillId="17" borderId="14" xfId="1" applyFont="1" applyFill="1" applyBorder="1" applyAlignment="1" applyProtection="1">
      <alignment horizontal="centerContinuous"/>
      <protection locked="0" hidden="1"/>
    </xf>
    <xf numFmtId="43" fontId="65" fillId="17" borderId="0" xfId="1" applyFont="1" applyFill="1" applyAlignment="1" applyProtection="1">
      <alignment horizontal="centerContinuous"/>
      <protection locked="0" hidden="1"/>
    </xf>
    <xf numFmtId="43" fontId="53" fillId="17" borderId="0" xfId="1" applyFont="1" applyFill="1" applyAlignment="1" applyProtection="1">
      <alignment horizontal="center"/>
      <protection locked="0" hidden="1"/>
    </xf>
    <xf numFmtId="43" fontId="53" fillId="17" borderId="8" xfId="1" applyFont="1" applyFill="1" applyBorder="1" applyAlignment="1" applyProtection="1">
      <alignment horizontal="center"/>
      <protection locked="0" hidden="1"/>
    </xf>
    <xf numFmtId="43" fontId="53" fillId="17" borderId="14" xfId="1" applyFont="1" applyFill="1" applyBorder="1" applyAlignment="1" applyProtection="1">
      <alignment horizontal="left" indent="1"/>
      <protection locked="0" hidden="1"/>
    </xf>
    <xf numFmtId="43" fontId="53" fillId="17" borderId="0" xfId="1" applyFont="1" applyFill="1" applyAlignment="1" applyProtection="1">
      <alignment horizontal="left" indent="1"/>
      <protection locked="0" hidden="1"/>
    </xf>
    <xf numFmtId="0" fontId="53" fillId="17" borderId="0" xfId="0" applyFont="1" applyFill="1" applyProtection="1">
      <protection locked="0" hidden="1"/>
    </xf>
    <xf numFmtId="0" fontId="53" fillId="17" borderId="8" xfId="0" applyFont="1" applyFill="1" applyBorder="1" applyProtection="1">
      <protection locked="0" hidden="1"/>
    </xf>
    <xf numFmtId="177" fontId="0" fillId="18" borderId="51" xfId="0" applyNumberFormat="1" applyFill="1" applyBorder="1" applyAlignment="1" applyProtection="1">
      <alignment horizontal="center"/>
      <protection locked="0" hidden="1"/>
    </xf>
    <xf numFmtId="0" fontId="93" fillId="18" borderId="51" xfId="0" applyFont="1" applyFill="1" applyBorder="1" applyProtection="1">
      <protection locked="0" hidden="1"/>
    </xf>
    <xf numFmtId="177" fontId="93" fillId="18" borderId="51" xfId="0" applyNumberFormat="1" applyFont="1" applyFill="1" applyBorder="1" applyAlignment="1" applyProtection="1">
      <alignment horizontal="center"/>
      <protection locked="0" hidden="1"/>
    </xf>
    <xf numFmtId="177" fontId="93" fillId="18" borderId="78" xfId="0" applyNumberFormat="1" applyFont="1" applyFill="1" applyBorder="1" applyAlignment="1" applyProtection="1">
      <alignment horizontal="center"/>
      <protection locked="0" hidden="1"/>
    </xf>
    <xf numFmtId="0" fontId="90" fillId="17" borderId="51" xfId="0" applyFont="1" applyFill="1" applyBorder="1" applyAlignment="1" applyProtection="1">
      <alignment horizontal="center"/>
      <protection locked="0" hidden="1"/>
    </xf>
    <xf numFmtId="170" fontId="95" fillId="0" borderId="0" xfId="0" applyNumberFormat="1" applyFont="1" applyAlignment="1" applyProtection="1">
      <alignment horizontal="center" vertical="center"/>
      <protection locked="0" hidden="1"/>
    </xf>
    <xf numFmtId="43" fontId="96" fillId="2" borderId="2" xfId="1" applyFont="1" applyFill="1" applyBorder="1" applyProtection="1">
      <protection locked="0" hidden="1"/>
    </xf>
    <xf numFmtId="43" fontId="96" fillId="2" borderId="0" xfId="1" applyFont="1" applyFill="1" applyProtection="1">
      <protection locked="0" hidden="1"/>
    </xf>
    <xf numFmtId="0" fontId="98" fillId="1" borderId="14" xfId="0" applyFont="1" applyFill="1" applyBorder="1" applyAlignment="1" applyProtection="1">
      <alignment horizontal="center"/>
      <protection locked="0" hidden="1"/>
    </xf>
    <xf numFmtId="0" fontId="97" fillId="0" borderId="14" xfId="0" applyFont="1" applyBorder="1" applyAlignment="1" applyProtection="1">
      <alignment horizontal="center"/>
      <protection locked="0" hidden="1"/>
    </xf>
    <xf numFmtId="0" fontId="99" fillId="0" borderId="0" xfId="0" applyFont="1" applyAlignment="1" applyProtection="1">
      <alignment horizontal="center"/>
      <protection locked="0" hidden="1"/>
    </xf>
    <xf numFmtId="0" fontId="41" fillId="0" borderId="10" xfId="0" applyFont="1" applyBorder="1" applyProtection="1">
      <protection locked="0" hidden="1"/>
    </xf>
    <xf numFmtId="9" fontId="94" fillId="2" borderId="2" xfId="0" applyNumberFormat="1" applyFont="1" applyFill="1" applyBorder="1" applyAlignment="1" applyProtection="1">
      <alignment horizontal="center" vertical="center"/>
      <protection locked="0" hidden="1"/>
    </xf>
    <xf numFmtId="9" fontId="94" fillId="2" borderId="0" xfId="0" applyNumberFormat="1" applyFont="1" applyFill="1" applyAlignment="1" applyProtection="1">
      <alignment horizontal="center" vertical="center"/>
      <protection locked="0" hidden="1"/>
    </xf>
    <xf numFmtId="9" fontId="94" fillId="2" borderId="1" xfId="0" applyNumberFormat="1" applyFont="1" applyFill="1" applyBorder="1" applyAlignment="1" applyProtection="1">
      <alignment horizontal="center" vertical="center"/>
      <protection locked="0" hidden="1"/>
    </xf>
    <xf numFmtId="9" fontId="94" fillId="0" borderId="78" xfId="0" applyNumberFormat="1" applyFont="1" applyBorder="1" applyAlignment="1" applyProtection="1">
      <alignment horizontal="center"/>
      <protection locked="0" hidden="1"/>
    </xf>
    <xf numFmtId="192" fontId="97" fillId="0" borderId="14" xfId="0" applyNumberFormat="1" applyFont="1" applyBorder="1" applyAlignment="1" applyProtection="1">
      <alignment horizontal="center"/>
      <protection locked="0" hidden="1"/>
    </xf>
    <xf numFmtId="192" fontId="98" fillId="1" borderId="14" xfId="0" applyNumberFormat="1" applyFont="1" applyFill="1" applyBorder="1" applyAlignment="1" applyProtection="1">
      <alignment horizontal="center"/>
      <protection locked="0" hidden="1"/>
    </xf>
    <xf numFmtId="178" fontId="100" fillId="0" borderId="0" xfId="0" applyNumberFormat="1" applyFont="1" applyAlignment="1" applyProtection="1">
      <alignment horizontal="center"/>
      <protection locked="0" hidden="1"/>
    </xf>
    <xf numFmtId="182" fontId="101" fillId="0" borderId="0" xfId="0" applyNumberFormat="1" applyFont="1" applyAlignment="1" applyProtection="1">
      <alignment horizontal="center"/>
      <protection locked="0" hidden="1"/>
    </xf>
    <xf numFmtId="183" fontId="101" fillId="0" borderId="0" xfId="0" applyNumberFormat="1" applyFont="1" applyAlignment="1" applyProtection="1">
      <alignment horizontal="center"/>
      <protection locked="0" hidden="1"/>
    </xf>
    <xf numFmtId="175" fontId="26" fillId="0" borderId="0" xfId="0" applyNumberFormat="1" applyFont="1" applyAlignment="1" applyProtection="1">
      <alignment horizontal="center"/>
      <protection locked="0" hidden="1"/>
    </xf>
    <xf numFmtId="175" fontId="0" fillId="0" borderId="3" xfId="0" applyNumberFormat="1" applyBorder="1" applyProtection="1">
      <protection locked="0" hidden="1"/>
    </xf>
    <xf numFmtId="9" fontId="41" fillId="0" borderId="0" xfId="2" applyFont="1" applyAlignment="1" applyProtection="1">
      <alignment horizontal="left"/>
      <protection locked="0" hidden="1"/>
    </xf>
    <xf numFmtId="9" fontId="41" fillId="0" borderId="0" xfId="0" applyNumberFormat="1" applyFont="1" applyProtection="1">
      <protection locked="0" hidden="1"/>
    </xf>
    <xf numFmtId="0" fontId="102" fillId="0" borderId="0" xfId="0" applyFont="1" applyProtection="1">
      <protection locked="0" hidden="1"/>
    </xf>
    <xf numFmtId="9" fontId="16" fillId="0" borderId="0" xfId="2" applyFont="1" applyAlignment="1" applyProtection="1">
      <alignment horizontal="center"/>
      <protection locked="0" hidden="1"/>
    </xf>
    <xf numFmtId="0" fontId="41" fillId="0" borderId="39" xfId="0" applyFont="1" applyBorder="1" applyAlignment="1" applyProtection="1">
      <alignment horizontal="left" indent="1"/>
      <protection locked="0" hidden="1"/>
    </xf>
    <xf numFmtId="0" fontId="41" fillId="0" borderId="39" xfId="0" applyFont="1" applyBorder="1" applyAlignment="1" applyProtection="1">
      <alignment horizontal="left"/>
      <protection locked="0" hidden="1"/>
    </xf>
    <xf numFmtId="9" fontId="0" fillId="0" borderId="0" xfId="2" applyFont="1" applyAlignment="1" applyProtection="1">
      <alignment horizontal="center" textRotation="90"/>
      <protection locked="0" hidden="1"/>
    </xf>
    <xf numFmtId="9" fontId="41" fillId="0" borderId="13" xfId="2" applyFont="1" applyBorder="1" applyAlignment="1" applyProtection="1">
      <alignment horizontal="center"/>
      <protection locked="0" hidden="1"/>
    </xf>
    <xf numFmtId="9" fontId="41" fillId="0" borderId="40" xfId="2" applyFont="1" applyBorder="1" applyAlignment="1" applyProtection="1">
      <alignment horizontal="center"/>
      <protection locked="0" hidden="1"/>
    </xf>
    <xf numFmtId="43" fontId="43" fillId="14" borderId="68" xfId="0" applyNumberFormat="1" applyFont="1" applyFill="1" applyBorder="1" applyProtection="1">
      <protection locked="0" hidden="1"/>
    </xf>
    <xf numFmtId="0" fontId="41" fillId="14" borderId="79" xfId="0" applyFont="1" applyFill="1" applyBorder="1" applyProtection="1">
      <protection locked="0" hidden="1"/>
    </xf>
    <xf numFmtId="0" fontId="41" fillId="14" borderId="69" xfId="0" applyFont="1" applyFill="1" applyBorder="1" applyAlignment="1" applyProtection="1">
      <alignment horizontal="center" vertical="center"/>
      <protection locked="0" hidden="1"/>
    </xf>
    <xf numFmtId="9" fontId="41" fillId="0" borderId="0" xfId="0" applyNumberFormat="1" applyFont="1" applyAlignment="1" applyProtection="1">
      <alignment horizontal="center"/>
      <protection locked="0" hidden="1"/>
    </xf>
    <xf numFmtId="9" fontId="66" fillId="0" borderId="0" xfId="2" applyFont="1" applyAlignment="1" applyProtection="1">
      <alignment horizontal="center" vertical="center" textRotation="90"/>
      <protection locked="0" hidden="1"/>
    </xf>
    <xf numFmtId="43" fontId="24" fillId="0" borderId="10" xfId="1" applyFont="1" applyBorder="1" applyProtection="1">
      <protection locked="0" hidden="1"/>
    </xf>
    <xf numFmtId="9" fontId="24" fillId="0" borderId="10" xfId="2" applyFont="1" applyBorder="1" applyProtection="1">
      <protection locked="0" hidden="1"/>
    </xf>
    <xf numFmtId="0" fontId="0" fillId="10" borderId="63" xfId="0" applyFill="1" applyBorder="1" applyProtection="1">
      <protection locked="0" hidden="1"/>
    </xf>
    <xf numFmtId="5" fontId="0" fillId="3" borderId="4" xfId="0" applyNumberFormat="1" applyFill="1" applyBorder="1" applyAlignment="1" applyProtection="1">
      <alignment horizontal="center"/>
      <protection locked="0" hidden="1"/>
    </xf>
    <xf numFmtId="5" fontId="0" fillId="3" borderId="7" xfId="0" applyNumberFormat="1" applyFill="1" applyBorder="1" applyAlignment="1" applyProtection="1">
      <alignment horizontal="center"/>
      <protection locked="0" hidden="1"/>
    </xf>
    <xf numFmtId="0" fontId="8" fillId="10" borderId="7" xfId="0" applyFont="1" applyFill="1" applyBorder="1" applyAlignment="1" applyProtection="1">
      <alignment vertical="center"/>
      <protection locked="0" hidden="1"/>
    </xf>
    <xf numFmtId="43" fontId="0" fillId="10" borderId="7" xfId="1" applyFont="1" applyFill="1" applyBorder="1" applyAlignment="1" applyProtection="1">
      <alignment horizontal="left"/>
      <protection locked="0" hidden="1"/>
    </xf>
    <xf numFmtId="0" fontId="103" fillId="0" borderId="10" xfId="0" applyFont="1" applyBorder="1" applyAlignment="1" applyProtection="1">
      <alignment horizontal="center"/>
      <protection locked="0" hidden="1"/>
    </xf>
    <xf numFmtId="174" fontId="41" fillId="0" borderId="41" xfId="1" applyNumberFormat="1" applyFont="1" applyBorder="1" applyProtection="1">
      <protection locked="0" hidden="1"/>
    </xf>
    <xf numFmtId="174" fontId="41" fillId="0" borderId="0" xfId="0" applyNumberFormat="1" applyFont="1" applyProtection="1">
      <protection locked="0" hidden="1"/>
    </xf>
    <xf numFmtId="43" fontId="24" fillId="0" borderId="0" xfId="0" applyNumberFormat="1" applyFont="1" applyProtection="1">
      <protection locked="0" hidden="1"/>
    </xf>
    <xf numFmtId="5" fontId="99" fillId="0" borderId="0" xfId="0" applyNumberFormat="1" applyFont="1" applyAlignment="1" applyProtection="1">
      <alignment horizontal="center" vertical="center"/>
      <protection locked="0" hidden="1"/>
    </xf>
    <xf numFmtId="181" fontId="99" fillId="0" borderId="0" xfId="0" applyNumberFormat="1" applyFont="1" applyAlignment="1" applyProtection="1">
      <alignment horizontal="center"/>
      <protection locked="0" hidden="1"/>
    </xf>
    <xf numFmtId="9" fontId="99" fillId="0" borderId="0" xfId="0" applyNumberFormat="1" applyFont="1" applyAlignment="1" applyProtection="1">
      <alignment horizontal="center"/>
      <protection locked="0" hidden="1"/>
    </xf>
    <xf numFmtId="10" fontId="99" fillId="0" borderId="0" xfId="2" applyNumberFormat="1" applyFont="1" applyAlignment="1" applyProtection="1">
      <alignment horizontal="center"/>
      <protection locked="0" hidden="1"/>
    </xf>
    <xf numFmtId="5" fontId="104" fillId="0" borderId="0" xfId="0" applyNumberFormat="1" applyFont="1" applyAlignment="1" applyProtection="1">
      <alignment horizontal="center" vertical="center"/>
      <protection locked="0" hidden="1"/>
    </xf>
    <xf numFmtId="10" fontId="99" fillId="0" borderId="0" xfId="0" applyNumberFormat="1" applyFont="1" applyAlignment="1" applyProtection="1">
      <alignment horizontal="center"/>
      <protection locked="0" hidden="1"/>
    </xf>
    <xf numFmtId="9" fontId="99" fillId="0" borderId="0" xfId="2" applyFont="1" applyAlignment="1" applyProtection="1">
      <alignment horizontal="center"/>
      <protection locked="0" hidden="1"/>
    </xf>
    <xf numFmtId="3" fontId="99" fillId="0" borderId="0" xfId="0" applyNumberFormat="1" applyFont="1" applyAlignment="1" applyProtection="1">
      <alignment horizontal="center"/>
      <protection locked="0" hidden="1"/>
    </xf>
    <xf numFmtId="7" fontId="99" fillId="0" borderId="0" xfId="0" applyNumberFormat="1" applyFont="1" applyAlignment="1" applyProtection="1">
      <alignment horizontal="center" vertical="center"/>
      <protection locked="0" hidden="1"/>
    </xf>
    <xf numFmtId="165" fontId="7" fillId="0" borderId="0" xfId="1" applyNumberFormat="1" applyAlignment="1" applyProtection="1">
      <alignment horizontal="center"/>
      <protection locked="0" hidden="1"/>
    </xf>
    <xf numFmtId="43" fontId="0" fillId="10" borderId="8" xfId="1" applyFont="1" applyFill="1" applyBorder="1" applyAlignment="1" applyProtection="1">
      <alignment horizontal="center" wrapText="1"/>
      <protection locked="0" hidden="1"/>
    </xf>
    <xf numFmtId="0" fontId="105" fillId="0" borderId="0" xfId="0" applyFont="1" applyProtection="1">
      <protection locked="0" hidden="1"/>
    </xf>
    <xf numFmtId="0" fontId="0" fillId="10" borderId="42" xfId="0" applyFill="1" applyBorder="1" applyProtection="1">
      <protection locked="0" hidden="1"/>
    </xf>
    <xf numFmtId="188" fontId="0" fillId="10" borderId="39" xfId="0" applyNumberFormat="1" applyFill="1" applyBorder="1" applyAlignment="1" applyProtection="1">
      <alignment horizontal="center"/>
      <protection locked="0" hidden="1"/>
    </xf>
    <xf numFmtId="43" fontId="0" fillId="0" borderId="8" xfId="1" applyFont="1" applyBorder="1" applyAlignment="1" applyProtection="1">
      <alignment horizontal="center" wrapText="1"/>
      <protection locked="0" hidden="1"/>
    </xf>
    <xf numFmtId="1" fontId="23" fillId="5" borderId="13" xfId="0" applyNumberFormat="1" applyFont="1" applyFill="1" applyBorder="1" applyAlignment="1" applyProtection="1">
      <alignment horizontal="center"/>
      <protection locked="0" hidden="1"/>
    </xf>
    <xf numFmtId="1" fontId="23" fillId="5" borderId="18" xfId="0" applyNumberFormat="1" applyFont="1" applyFill="1" applyBorder="1" applyAlignment="1" applyProtection="1">
      <alignment horizontal="center"/>
      <protection locked="0" hidden="1"/>
    </xf>
    <xf numFmtId="43" fontId="0" fillId="0" borderId="80" xfId="1" applyFont="1" applyBorder="1" applyAlignment="1" applyProtection="1">
      <alignment horizontal="centerContinuous" wrapText="1"/>
      <protection locked="0" hidden="1"/>
    </xf>
    <xf numFmtId="43" fontId="0" fillId="0" borderId="57" xfId="1" applyFont="1" applyBorder="1" applyAlignment="1" applyProtection="1">
      <alignment horizontal="center" wrapText="1"/>
      <protection locked="0" hidden="1"/>
    </xf>
    <xf numFmtId="43" fontId="0" fillId="0" borderId="58" xfId="1" applyFont="1" applyBorder="1" applyAlignment="1" applyProtection="1">
      <alignment horizontal="center" wrapText="1"/>
      <protection locked="0" hidden="1"/>
    </xf>
    <xf numFmtId="177" fontId="0" fillId="15" borderId="39" xfId="0" applyNumberFormat="1" applyFill="1" applyBorder="1" applyAlignment="1" applyProtection="1">
      <alignment horizontal="center"/>
      <protection locked="0" hidden="1"/>
    </xf>
    <xf numFmtId="177" fontId="0" fillId="15" borderId="47" xfId="0" applyNumberFormat="1" applyFill="1" applyBorder="1" applyAlignment="1" applyProtection="1">
      <alignment horizontal="center"/>
      <protection locked="0" hidden="1"/>
    </xf>
    <xf numFmtId="177" fontId="0" fillId="15" borderId="0" xfId="0" applyNumberFormat="1" applyFill="1" applyAlignment="1" applyProtection="1">
      <alignment horizontal="center"/>
      <protection locked="0" hidden="1"/>
    </xf>
    <xf numFmtId="177" fontId="0" fillId="15" borderId="8" xfId="0" applyNumberFormat="1" applyFill="1" applyBorder="1" applyAlignment="1" applyProtection="1">
      <alignment horizontal="center"/>
      <protection locked="0" hidden="1"/>
    </xf>
    <xf numFmtId="43" fontId="8" fillId="10" borderId="53" xfId="1" applyFont="1" applyFill="1" applyBorder="1" applyAlignment="1" applyProtection="1">
      <alignment horizontal="left"/>
      <protection locked="0" hidden="1"/>
    </xf>
    <xf numFmtId="0" fontId="41" fillId="10" borderId="13" xfId="0" applyFont="1" applyFill="1" applyBorder="1" applyProtection="1">
      <protection locked="0" hidden="1"/>
    </xf>
    <xf numFmtId="43" fontId="8" fillId="10" borderId="66" xfId="1" applyFont="1" applyFill="1" applyBorder="1" applyAlignment="1" applyProtection="1">
      <alignment horizontal="left"/>
      <protection locked="0" hidden="1"/>
    </xf>
    <xf numFmtId="0" fontId="8" fillId="10" borderId="13" xfId="0" applyFont="1" applyFill="1" applyBorder="1" applyProtection="1">
      <protection locked="0" hidden="1"/>
    </xf>
    <xf numFmtId="0" fontId="8" fillId="10" borderId="18" xfId="0" applyFont="1" applyFill="1" applyBorder="1" applyProtection="1">
      <protection locked="0" hidden="1"/>
    </xf>
    <xf numFmtId="177" fontId="8" fillId="10" borderId="10" xfId="0" applyNumberFormat="1" applyFont="1" applyFill="1" applyBorder="1" applyAlignment="1" applyProtection="1">
      <alignment horizontal="center"/>
      <protection locked="0" hidden="1"/>
    </xf>
    <xf numFmtId="177" fontId="8" fillId="10" borderId="11" xfId="0" applyNumberFormat="1" applyFont="1" applyFill="1" applyBorder="1" applyAlignment="1" applyProtection="1">
      <alignment horizontal="center"/>
      <protection locked="0" hidden="1"/>
    </xf>
    <xf numFmtId="0" fontId="41" fillId="5" borderId="51" xfId="0" applyFont="1" applyFill="1" applyBorder="1" applyProtection="1">
      <protection locked="0" hidden="1"/>
    </xf>
    <xf numFmtId="0" fontId="41" fillId="5" borderId="78" xfId="0" applyFont="1" applyFill="1" applyBorder="1" applyProtection="1">
      <protection locked="0" hidden="1"/>
    </xf>
    <xf numFmtId="0" fontId="41" fillId="5" borderId="66" xfId="0" applyFont="1" applyFill="1" applyBorder="1" applyProtection="1">
      <protection locked="0" hidden="1"/>
    </xf>
    <xf numFmtId="0" fontId="41" fillId="15" borderId="51" xfId="0" applyFont="1" applyFill="1" applyBorder="1" applyProtection="1">
      <protection locked="0" hidden="1"/>
    </xf>
    <xf numFmtId="0" fontId="41" fillId="0" borderId="51" xfId="0" applyFont="1" applyBorder="1" applyAlignment="1" applyProtection="1">
      <alignment horizontal="left"/>
      <protection locked="0" hidden="1"/>
    </xf>
    <xf numFmtId="0" fontId="41" fillId="0" borderId="78" xfId="0" applyFont="1" applyBorder="1" applyAlignment="1" applyProtection="1">
      <alignment horizontal="left"/>
      <protection locked="0" hidden="1"/>
    </xf>
    <xf numFmtId="43" fontId="9" fillId="0" borderId="66" xfId="1" applyFont="1" applyBorder="1" applyAlignment="1" applyProtection="1">
      <alignment horizontal="left" wrapText="1"/>
      <protection locked="0" hidden="1"/>
    </xf>
    <xf numFmtId="43" fontId="9" fillId="0" borderId="51" xfId="1" applyFont="1" applyBorder="1" applyAlignment="1" applyProtection="1">
      <alignment horizontal="left" wrapText="1"/>
      <protection locked="0" hidden="1"/>
    </xf>
    <xf numFmtId="9" fontId="8" fillId="0" borderId="3" xfId="2" applyFont="1" applyBorder="1" applyProtection="1">
      <protection locked="0" hidden="1"/>
    </xf>
    <xf numFmtId="0" fontId="8" fillId="12" borderId="3" xfId="0" applyFont="1" applyFill="1" applyBorder="1" applyProtection="1">
      <protection locked="0" hidden="1"/>
    </xf>
    <xf numFmtId="0" fontId="0" fillId="14" borderId="0" xfId="0" applyFill="1" applyProtection="1">
      <protection locked="0" hidden="1"/>
    </xf>
    <xf numFmtId="0" fontId="41" fillId="14" borderId="0" xfId="0" applyFont="1" applyFill="1" applyProtection="1">
      <protection locked="0" hidden="1"/>
    </xf>
    <xf numFmtId="171" fontId="41" fillId="14" borderId="0" xfId="1" applyNumberFormat="1" applyFont="1" applyFill="1" applyProtection="1">
      <protection locked="0" hidden="1"/>
    </xf>
    <xf numFmtId="171" fontId="8" fillId="14" borderId="0" xfId="1" applyNumberFormat="1" applyFont="1" applyFill="1" applyProtection="1">
      <protection locked="0" hidden="1"/>
    </xf>
    <xf numFmtId="43" fontId="9" fillId="14" borderId="0" xfId="1" applyFont="1" applyFill="1" applyAlignment="1" applyProtection="1">
      <alignment wrapText="1"/>
      <protection locked="0" hidden="1"/>
    </xf>
    <xf numFmtId="9" fontId="41" fillId="14" borderId="0" xfId="2" applyFont="1" applyFill="1" applyAlignment="1" applyProtection="1">
      <alignment horizontal="center"/>
      <protection locked="0" hidden="1"/>
    </xf>
    <xf numFmtId="9" fontId="41" fillId="14" borderId="39" xfId="2" applyFont="1" applyFill="1" applyBorder="1" applyAlignment="1" applyProtection="1">
      <alignment horizontal="center"/>
      <protection locked="0" hidden="1"/>
    </xf>
    <xf numFmtId="9" fontId="50" fillId="14" borderId="39" xfId="2" applyFont="1" applyFill="1" applyBorder="1" applyAlignment="1" applyProtection="1">
      <alignment horizontal="center"/>
      <protection locked="0" hidden="1"/>
    </xf>
    <xf numFmtId="171" fontId="41" fillId="14" borderId="0" xfId="1" applyNumberFormat="1" applyFont="1" applyFill="1" applyAlignment="1" applyProtection="1">
      <alignment horizontal="center"/>
      <protection locked="0" hidden="1"/>
    </xf>
    <xf numFmtId="9" fontId="41" fillId="14" borderId="0" xfId="2" applyFont="1" applyFill="1" applyProtection="1">
      <protection locked="0" hidden="1"/>
    </xf>
    <xf numFmtId="0" fontId="41" fillId="14" borderId="0" xfId="0" applyFont="1" applyFill="1" applyAlignment="1" applyProtection="1">
      <alignment horizontal="left"/>
      <protection locked="0" hidden="1"/>
    </xf>
    <xf numFmtId="0" fontId="24" fillId="2" borderId="0" xfId="0" applyFont="1" applyFill="1" applyAlignment="1" applyProtection="1">
      <alignment horizontal="right"/>
      <protection locked="0" hidden="1"/>
    </xf>
    <xf numFmtId="0" fontId="24" fillId="2" borderId="0" xfId="0" applyFont="1" applyFill="1" applyAlignment="1" applyProtection="1">
      <alignment horizontal="left"/>
      <protection locked="0" hidden="1"/>
    </xf>
    <xf numFmtId="9" fontId="8" fillId="0" borderId="34" xfId="2" applyFont="1" applyBorder="1" applyAlignment="1" applyProtection="1">
      <alignment horizontal="center"/>
      <protection locked="0" hidden="1"/>
    </xf>
    <xf numFmtId="193" fontId="99" fillId="0" borderId="0" xfId="0" applyNumberFormat="1" applyFont="1" applyAlignment="1" applyProtection="1">
      <alignment horizontal="center"/>
      <protection locked="0" hidden="1"/>
    </xf>
    <xf numFmtId="0" fontId="41" fillId="15" borderId="78" xfId="0" applyFont="1" applyFill="1" applyBorder="1" applyProtection="1">
      <protection locked="0" hidden="1"/>
    </xf>
    <xf numFmtId="0" fontId="8" fillId="10" borderId="61" xfId="0" applyFont="1" applyFill="1" applyBorder="1" applyAlignment="1" applyProtection="1">
      <alignment horizontal="center"/>
      <protection locked="0" hidden="1"/>
    </xf>
    <xf numFmtId="0" fontId="41" fillId="5" borderId="71" xfId="0" applyFont="1" applyFill="1" applyBorder="1" applyProtection="1">
      <protection locked="0" hidden="1"/>
    </xf>
    <xf numFmtId="0" fontId="41" fillId="5" borderId="43" xfId="0" applyFont="1" applyFill="1" applyBorder="1" applyProtection="1">
      <protection locked="0" hidden="1"/>
    </xf>
    <xf numFmtId="0" fontId="0" fillId="0" borderId="35" xfId="0" applyBorder="1" applyProtection="1">
      <protection locked="0" hidden="1"/>
    </xf>
    <xf numFmtId="0" fontId="0" fillId="10" borderId="35" xfId="0" applyFill="1" applyBorder="1" applyProtection="1">
      <protection locked="0" hidden="1"/>
    </xf>
    <xf numFmtId="193" fontId="63" fillId="0" borderId="3" xfId="0" applyNumberFormat="1" applyFont="1" applyBorder="1" applyAlignment="1" applyProtection="1">
      <alignment horizontal="center"/>
      <protection locked="0" hidden="1"/>
    </xf>
    <xf numFmtId="171" fontId="41" fillId="10" borderId="13" xfId="0" applyNumberFormat="1" applyFont="1" applyFill="1" applyBorder="1" applyProtection="1">
      <protection locked="0" hidden="1"/>
    </xf>
    <xf numFmtId="171" fontId="41" fillId="10" borderId="40" xfId="0" applyNumberFormat="1" applyFont="1" applyFill="1" applyBorder="1" applyProtection="1">
      <protection locked="0" hidden="1"/>
    </xf>
    <xf numFmtId="171" fontId="41" fillId="10" borderId="0" xfId="0" applyNumberFormat="1" applyFont="1" applyFill="1" applyProtection="1">
      <protection locked="0" hidden="1"/>
    </xf>
    <xf numFmtId="171" fontId="41" fillId="10" borderId="15" xfId="0" applyNumberFormat="1" applyFont="1" applyFill="1" applyBorder="1" applyProtection="1">
      <protection locked="0" hidden="1"/>
    </xf>
    <xf numFmtId="171" fontId="39" fillId="10" borderId="0" xfId="0" applyNumberFormat="1" applyFont="1" applyFill="1" applyProtection="1">
      <protection locked="0" hidden="1"/>
    </xf>
    <xf numFmtId="171" fontId="39" fillId="10" borderId="15" xfId="0" applyNumberFormat="1" applyFont="1" applyFill="1" applyBorder="1" applyProtection="1">
      <protection locked="0" hidden="1"/>
    </xf>
    <xf numFmtId="0" fontId="41" fillId="10" borderId="42" xfId="0" applyFont="1" applyFill="1" applyBorder="1" applyProtection="1">
      <protection locked="0" hidden="1"/>
    </xf>
    <xf numFmtId="0" fontId="41" fillId="10" borderId="39" xfId="0" applyFont="1" applyFill="1" applyBorder="1" applyProtection="1">
      <protection locked="0" hidden="1"/>
    </xf>
    <xf numFmtId="171" fontId="41" fillId="10" borderId="39" xfId="0" applyNumberFormat="1" applyFont="1" applyFill="1" applyBorder="1" applyProtection="1">
      <protection locked="0" hidden="1"/>
    </xf>
    <xf numFmtId="171" fontId="41" fillId="10" borderId="41" xfId="0" applyNumberFormat="1" applyFont="1" applyFill="1" applyBorder="1" applyProtection="1">
      <protection locked="0" hidden="1"/>
    </xf>
    <xf numFmtId="43" fontId="41" fillId="10" borderId="12" xfId="1" applyFont="1" applyFill="1" applyBorder="1" applyProtection="1">
      <protection locked="0" hidden="1"/>
    </xf>
    <xf numFmtId="43" fontId="41" fillId="10" borderId="13" xfId="1" applyFont="1" applyFill="1" applyBorder="1" applyProtection="1">
      <protection locked="0" hidden="1"/>
    </xf>
    <xf numFmtId="43" fontId="41" fillId="10" borderId="14" xfId="1" applyFont="1" applyFill="1" applyBorder="1" applyProtection="1">
      <protection locked="0" hidden="1"/>
    </xf>
    <xf numFmtId="43" fontId="41" fillId="10" borderId="0" xfId="1" applyFont="1" applyFill="1" applyProtection="1">
      <protection locked="0" hidden="1"/>
    </xf>
    <xf numFmtId="171" fontId="91" fillId="0" borderId="0" xfId="0" applyNumberFormat="1" applyFont="1" applyProtection="1">
      <protection locked="0" hidden="1"/>
    </xf>
    <xf numFmtId="0" fontId="91" fillId="0" borderId="0" xfId="0" applyFont="1" applyProtection="1">
      <protection locked="0" hidden="1"/>
    </xf>
    <xf numFmtId="171" fontId="8" fillId="0" borderId="3" xfId="0" applyNumberFormat="1" applyFont="1" applyBorder="1" applyProtection="1">
      <protection locked="0" hidden="1"/>
    </xf>
    <xf numFmtId="171" fontId="91" fillId="10" borderId="0" xfId="0" applyNumberFormat="1" applyFont="1" applyFill="1" applyProtection="1">
      <protection locked="0" hidden="1"/>
    </xf>
    <xf numFmtId="171" fontId="0" fillId="10" borderId="34" xfId="1" applyNumberFormat="1" applyFont="1" applyFill="1" applyBorder="1" applyProtection="1">
      <protection locked="0" hidden="1"/>
    </xf>
    <xf numFmtId="171" fontId="91" fillId="10" borderId="0" xfId="0" applyNumberFormat="1" applyFont="1" applyFill="1" applyAlignment="1" applyProtection="1">
      <alignment horizontal="left"/>
      <protection locked="0" hidden="1"/>
    </xf>
    <xf numFmtId="171" fontId="0" fillId="10" borderId="0" xfId="1" applyNumberFormat="1" applyFont="1" applyFill="1" applyProtection="1">
      <protection locked="0" hidden="1"/>
    </xf>
    <xf numFmtId="43" fontId="0" fillId="0" borderId="4" xfId="1" applyFont="1" applyBorder="1" applyProtection="1">
      <protection locked="0" hidden="1"/>
    </xf>
    <xf numFmtId="0" fontId="0" fillId="0" borderId="5" xfId="0" applyBorder="1" applyAlignment="1" applyProtection="1">
      <alignment horizontal="centerContinuous"/>
      <protection locked="0" hidden="1"/>
    </xf>
    <xf numFmtId="170" fontId="0" fillId="0" borderId="6" xfId="2" applyNumberFormat="1" applyFont="1" applyBorder="1" applyProtection="1">
      <protection locked="0" hidden="1"/>
    </xf>
    <xf numFmtId="43" fontId="0" fillId="0" borderId="9" xfId="1" applyFont="1" applyBorder="1" applyAlignment="1" applyProtection="1">
      <alignment horizontal="left" indent="1"/>
      <protection locked="0" hidden="1"/>
    </xf>
    <xf numFmtId="5" fontId="0" fillId="0" borderId="10" xfId="1" applyNumberFormat="1" applyFont="1" applyBorder="1" applyAlignment="1" applyProtection="1">
      <alignment horizontal="center"/>
      <protection locked="0" hidden="1"/>
    </xf>
    <xf numFmtId="170" fontId="0" fillId="0" borderId="10" xfId="2" applyNumberFormat="1" applyFont="1" applyBorder="1" applyAlignment="1" applyProtection="1">
      <alignment horizontal="center"/>
      <protection locked="0" hidden="1"/>
    </xf>
    <xf numFmtId="43" fontId="9" fillId="3" borderId="0" xfId="1" applyFont="1" applyFill="1" applyAlignment="1" applyProtection="1">
      <alignment horizontal="center"/>
      <protection locked="0" hidden="1"/>
    </xf>
    <xf numFmtId="5" fontId="0" fillId="3" borderId="10" xfId="0" applyNumberFormat="1" applyFill="1" applyBorder="1" applyAlignment="1" applyProtection="1">
      <alignment horizontal="center"/>
      <protection locked="0" hidden="1"/>
    </xf>
    <xf numFmtId="43" fontId="27" fillId="3" borderId="0" xfId="1" applyFont="1" applyFill="1" applyAlignment="1" applyProtection="1">
      <alignment horizontal="centerContinuous"/>
      <protection locked="0" hidden="1"/>
    </xf>
    <xf numFmtId="0" fontId="0" fillId="3" borderId="39" xfId="0" applyFill="1" applyBorder="1" applyProtection="1">
      <protection locked="0" hidden="1"/>
    </xf>
    <xf numFmtId="5" fontId="0" fillId="3" borderId="39" xfId="0" applyNumberFormat="1" applyFill="1" applyBorder="1" applyAlignment="1" applyProtection="1">
      <alignment horizontal="center"/>
      <protection locked="0" hidden="1"/>
    </xf>
    <xf numFmtId="43" fontId="0" fillId="3" borderId="39" xfId="1" applyFont="1" applyFill="1" applyBorder="1" applyProtection="1">
      <protection locked="0" hidden="1"/>
    </xf>
    <xf numFmtId="9" fontId="7" fillId="3" borderId="15" xfId="2" applyFill="1" applyBorder="1" applyAlignment="1" applyProtection="1">
      <alignment horizontal="center"/>
      <protection locked="0" hidden="1"/>
    </xf>
    <xf numFmtId="9" fontId="40" fillId="3" borderId="15" xfId="2" applyFont="1" applyFill="1" applyBorder="1" applyAlignment="1" applyProtection="1">
      <alignment horizontal="center"/>
      <protection locked="0" hidden="1"/>
    </xf>
    <xf numFmtId="9" fontId="0" fillId="3" borderId="41" xfId="2" applyFont="1" applyFill="1" applyBorder="1" applyAlignment="1" applyProtection="1">
      <alignment horizontal="center"/>
      <protection locked="0" hidden="1"/>
    </xf>
    <xf numFmtId="43" fontId="27" fillId="3" borderId="7" xfId="1" applyFont="1" applyFill="1" applyBorder="1" applyAlignment="1" applyProtection="1">
      <alignment horizontal="centerContinuous"/>
      <protection locked="0" hidden="1"/>
    </xf>
    <xf numFmtId="43" fontId="27" fillId="3" borderId="15" xfId="1" applyFont="1" applyFill="1" applyBorder="1" applyAlignment="1" applyProtection="1">
      <alignment horizontal="centerContinuous"/>
      <protection locked="0" hidden="1"/>
    </xf>
    <xf numFmtId="0" fontId="106" fillId="13" borderId="0" xfId="0" applyFont="1" applyFill="1" applyProtection="1">
      <protection locked="0" hidden="1"/>
    </xf>
    <xf numFmtId="0" fontId="11" fillId="11" borderId="0" xfId="0" applyFont="1" applyFill="1" applyAlignment="1" applyProtection="1">
      <alignment horizontal="center"/>
      <protection locked="0" hidden="1"/>
    </xf>
    <xf numFmtId="43" fontId="0" fillId="10" borderId="63" xfId="1" applyFont="1" applyFill="1" applyBorder="1" applyAlignment="1" applyProtection="1">
      <alignment horizontal="left" indent="2"/>
      <protection locked="0" hidden="1"/>
    </xf>
    <xf numFmtId="0" fontId="107" fillId="0" borderId="0" xfId="0" applyFont="1" applyProtection="1">
      <protection locked="0" hidden="1"/>
    </xf>
    <xf numFmtId="43" fontId="0" fillId="10" borderId="14" xfId="1" applyFont="1" applyFill="1" applyBorder="1" applyAlignment="1" applyProtection="1">
      <alignment horizontal="left" indent="1"/>
      <protection locked="0" hidden="1"/>
    </xf>
    <xf numFmtId="43" fontId="0" fillId="10" borderId="81" xfId="1" applyFont="1" applyFill="1" applyBorder="1" applyProtection="1">
      <protection locked="0" hidden="1"/>
    </xf>
    <xf numFmtId="1" fontId="0" fillId="10" borderId="82" xfId="0" applyNumberFormat="1" applyFill="1" applyBorder="1" applyAlignment="1" applyProtection="1">
      <alignment horizontal="center"/>
      <protection locked="0" hidden="1"/>
    </xf>
    <xf numFmtId="0" fontId="0" fillId="10" borderId="18" xfId="0" applyFill="1" applyBorder="1" applyProtection="1">
      <protection locked="0" hidden="1"/>
    </xf>
    <xf numFmtId="0" fontId="0" fillId="10" borderId="13" xfId="0" applyFill="1" applyBorder="1" applyProtection="1">
      <protection locked="0" hidden="1"/>
    </xf>
    <xf numFmtId="9" fontId="35" fillId="10" borderId="12" xfId="2" applyFont="1" applyFill="1" applyBorder="1" applyProtection="1">
      <protection locked="0" hidden="1"/>
    </xf>
    <xf numFmtId="9" fontId="0" fillId="10" borderId="14" xfId="2" applyFont="1" applyFill="1" applyBorder="1" applyAlignment="1" applyProtection="1">
      <alignment horizontal="left"/>
      <protection locked="0" hidden="1"/>
    </xf>
    <xf numFmtId="9" fontId="0" fillId="10" borderId="20" xfId="2" applyFont="1" applyFill="1" applyBorder="1" applyAlignment="1" applyProtection="1">
      <alignment horizontal="left"/>
      <protection locked="0" hidden="1"/>
    </xf>
    <xf numFmtId="0" fontId="59" fillId="10" borderId="3" xfId="0" applyFont="1" applyFill="1" applyBorder="1" applyAlignment="1" applyProtection="1">
      <alignment horizontal="left" indent="2"/>
      <protection locked="0" hidden="1"/>
    </xf>
    <xf numFmtId="5" fontId="59" fillId="10" borderId="3" xfId="1" applyNumberFormat="1" applyFont="1" applyFill="1" applyBorder="1" applyProtection="1">
      <protection locked="0" hidden="1"/>
    </xf>
    <xf numFmtId="5" fontId="59" fillId="10" borderId="35" xfId="1" applyNumberFormat="1" applyFont="1" applyFill="1" applyBorder="1" applyProtection="1">
      <protection locked="0" hidden="1"/>
    </xf>
    <xf numFmtId="43" fontId="59" fillId="10" borderId="3" xfId="1" applyFont="1" applyFill="1" applyBorder="1" applyProtection="1">
      <protection locked="0" hidden="1"/>
    </xf>
    <xf numFmtId="0" fontId="59" fillId="10" borderId="3" xfId="0" applyFont="1" applyFill="1" applyBorder="1" applyProtection="1">
      <protection locked="0" hidden="1"/>
    </xf>
    <xf numFmtId="0" fontId="59" fillId="10" borderId="3" xfId="0" applyFont="1" applyFill="1" applyBorder="1" applyAlignment="1" applyProtection="1">
      <alignment horizontal="center"/>
      <protection locked="0" hidden="1"/>
    </xf>
    <xf numFmtId="5" fontId="0" fillId="10" borderId="3" xfId="1" applyNumberFormat="1" applyFont="1" applyFill="1" applyBorder="1" applyProtection="1">
      <protection locked="0" hidden="1"/>
    </xf>
    <xf numFmtId="5" fontId="0" fillId="10" borderId="3" xfId="0" applyNumberFormat="1" applyFill="1" applyBorder="1" applyProtection="1">
      <protection locked="0" hidden="1"/>
    </xf>
    <xf numFmtId="43" fontId="71" fillId="0" borderId="0" xfId="1" applyFont="1" applyProtection="1">
      <protection locked="0" hidden="1"/>
    </xf>
    <xf numFmtId="0" fontId="71" fillId="0" borderId="0" xfId="0" applyFont="1" applyProtection="1">
      <protection locked="0" hidden="1"/>
    </xf>
    <xf numFmtId="171" fontId="71" fillId="0" borderId="0" xfId="1" applyNumberFormat="1" applyFont="1" applyProtection="1">
      <protection locked="0" hidden="1"/>
    </xf>
    <xf numFmtId="171" fontId="71" fillId="10" borderId="34" xfId="1" applyNumberFormat="1" applyFont="1" applyFill="1" applyBorder="1" applyProtection="1">
      <protection locked="0" hidden="1"/>
    </xf>
    <xf numFmtId="0" fontId="0" fillId="0" borderId="0" xfId="0" quotePrefix="1" applyAlignment="1" applyProtection="1">
      <alignment horizontal="right"/>
      <protection locked="0" hidden="1"/>
    </xf>
    <xf numFmtId="5" fontId="41" fillId="0" borderId="3" xfId="0" applyNumberFormat="1" applyFont="1" applyBorder="1" applyProtection="1">
      <protection locked="0" hidden="1"/>
    </xf>
    <xf numFmtId="5" fontId="41" fillId="0" borderId="35" xfId="0" applyNumberFormat="1" applyFont="1" applyBorder="1" applyProtection="1">
      <protection locked="0" hidden="1"/>
    </xf>
    <xf numFmtId="5" fontId="0" fillId="0" borderId="3" xfId="0" applyNumberFormat="1" applyBorder="1" applyProtection="1">
      <protection locked="0" hidden="1"/>
    </xf>
    <xf numFmtId="171" fontId="91" fillId="0" borderId="0" xfId="1" applyNumberFormat="1" applyFont="1" applyProtection="1">
      <protection locked="0" hidden="1"/>
    </xf>
    <xf numFmtId="43" fontId="7" fillId="0" borderId="0" xfId="1" applyAlignment="1" applyProtection="1">
      <alignment horizontal="center"/>
      <protection locked="0" hidden="1"/>
    </xf>
    <xf numFmtId="3" fontId="0" fillId="0" borderId="13" xfId="0" applyNumberFormat="1" applyBorder="1" applyAlignment="1" applyProtection="1">
      <alignment horizontal="center"/>
      <protection locked="0" hidden="1"/>
    </xf>
    <xf numFmtId="3" fontId="0" fillId="0" borderId="40" xfId="0" applyNumberFormat="1" applyBorder="1" applyAlignment="1" applyProtection="1">
      <alignment horizontal="center"/>
      <protection locked="0" hidden="1"/>
    </xf>
    <xf numFmtId="3" fontId="0" fillId="0" borderId="15" xfId="0" applyNumberFormat="1" applyBorder="1" applyAlignment="1" applyProtection="1">
      <alignment horizontal="center"/>
      <protection locked="0" hidden="1"/>
    </xf>
    <xf numFmtId="3" fontId="0" fillId="0" borderId="39" xfId="0" applyNumberFormat="1" applyBorder="1" applyAlignment="1" applyProtection="1">
      <alignment horizontal="center"/>
      <protection locked="0" hidden="1"/>
    </xf>
    <xf numFmtId="3" fontId="0" fillId="0" borderId="41" xfId="0" applyNumberFormat="1" applyBorder="1" applyAlignment="1" applyProtection="1">
      <alignment horizontal="center"/>
      <protection locked="0" hidden="1"/>
    </xf>
    <xf numFmtId="3" fontId="0" fillId="0" borderId="0" xfId="0" applyNumberFormat="1" applyProtection="1">
      <protection locked="0" hidden="1"/>
    </xf>
    <xf numFmtId="0" fontId="41" fillId="0" borderId="12" xfId="0" applyFont="1" applyBorder="1" applyProtection="1">
      <protection locked="0" hidden="1"/>
    </xf>
    <xf numFmtId="3" fontId="41" fillId="0" borderId="13" xfId="0" applyNumberFormat="1" applyFont="1" applyBorder="1" applyAlignment="1" applyProtection="1">
      <alignment horizontal="center"/>
      <protection locked="0" hidden="1"/>
    </xf>
    <xf numFmtId="3" fontId="41" fillId="0" borderId="40" xfId="0" applyNumberFormat="1" applyFont="1" applyBorder="1" applyAlignment="1" applyProtection="1">
      <alignment horizontal="center"/>
      <protection locked="0" hidden="1"/>
    </xf>
    <xf numFmtId="0" fontId="41" fillId="0" borderId="14" xfId="0" applyFont="1" applyBorder="1" applyProtection="1">
      <protection locked="0" hidden="1"/>
    </xf>
    <xf numFmtId="3" fontId="41" fillId="0" borderId="0" xfId="0" applyNumberFormat="1" applyFont="1" applyAlignment="1" applyProtection="1">
      <alignment horizontal="center"/>
      <protection locked="0" hidden="1"/>
    </xf>
    <xf numFmtId="3" fontId="41" fillId="0" borderId="15" xfId="0" applyNumberFormat="1" applyFont="1" applyBorder="1" applyAlignment="1" applyProtection="1">
      <alignment horizontal="center"/>
      <protection locked="0" hidden="1"/>
    </xf>
    <xf numFmtId="0" fontId="41" fillId="0" borderId="42" xfId="0" applyFont="1" applyBorder="1" applyProtection="1">
      <protection locked="0" hidden="1"/>
    </xf>
    <xf numFmtId="3" fontId="41" fillId="0" borderId="39" xfId="0" applyNumberFormat="1" applyFont="1" applyBorder="1" applyAlignment="1" applyProtection="1">
      <alignment horizontal="center"/>
      <protection locked="0" hidden="1"/>
    </xf>
    <xf numFmtId="3" fontId="41" fillId="0" borderId="41" xfId="0" applyNumberFormat="1" applyFont="1" applyBorder="1" applyAlignment="1" applyProtection="1">
      <alignment horizontal="center"/>
      <protection locked="0" hidden="1"/>
    </xf>
    <xf numFmtId="194" fontId="41" fillId="7" borderId="0" xfId="0" applyNumberFormat="1" applyFont="1" applyFill="1" applyAlignment="1" applyProtection="1">
      <alignment horizontal="center"/>
      <protection locked="0" hidden="1"/>
    </xf>
    <xf numFmtId="194" fontId="41" fillId="7" borderId="39" xfId="0" applyNumberFormat="1" applyFont="1" applyFill="1" applyBorder="1" applyAlignment="1" applyProtection="1">
      <alignment horizontal="center"/>
      <protection locked="0" hidden="1"/>
    </xf>
    <xf numFmtId="9" fontId="41" fillId="0" borderId="34" xfId="2" applyFont="1" applyBorder="1" applyAlignment="1" applyProtection="1">
      <alignment horizontal="center"/>
      <protection locked="0" hidden="1"/>
    </xf>
    <xf numFmtId="43" fontId="0" fillId="0" borderId="36" xfId="0" applyNumberFormat="1" applyBorder="1" applyProtection="1">
      <protection locked="0" hidden="1"/>
    </xf>
    <xf numFmtId="0" fontId="7" fillId="0" borderId="38" xfId="1" applyNumberFormat="1" applyBorder="1" applyAlignment="1" applyProtection="1">
      <alignment horizontal="center" wrapText="1"/>
      <protection locked="0" hidden="1"/>
    </xf>
    <xf numFmtId="43" fontId="7" fillId="0" borderId="0" xfId="1" applyAlignment="1" applyProtection="1">
      <alignment wrapText="1"/>
      <protection locked="0" hidden="1"/>
    </xf>
    <xf numFmtId="43" fontId="7" fillId="0" borderId="36" xfId="0" applyNumberFormat="1" applyFont="1" applyBorder="1" applyProtection="1">
      <protection locked="0" hidden="1"/>
    </xf>
    <xf numFmtId="9" fontId="41" fillId="2" borderId="2" xfId="2" applyFont="1" applyFill="1" applyBorder="1" applyAlignment="1" applyProtection="1">
      <alignment horizontal="left" vertical="center"/>
      <protection locked="0" hidden="1"/>
    </xf>
    <xf numFmtId="43" fontId="0" fillId="0" borderId="0" xfId="1" quotePrefix="1" applyFont="1" applyAlignment="1" applyProtection="1">
      <alignment horizontal="right"/>
      <protection locked="0" hidden="1"/>
    </xf>
    <xf numFmtId="0" fontId="0" fillId="0" borderId="13" xfId="0" quotePrefix="1" applyBorder="1" applyProtection="1">
      <protection locked="0" hidden="1"/>
    </xf>
    <xf numFmtId="7" fontId="0" fillId="5" borderId="0" xfId="0" applyNumberFormat="1" applyFill="1" applyAlignment="1" applyProtection="1">
      <alignment horizontal="center" wrapText="1"/>
      <protection locked="0" hidden="1"/>
    </xf>
    <xf numFmtId="7" fontId="0" fillId="5" borderId="0" xfId="0" applyNumberFormat="1" applyFill="1" applyAlignment="1" applyProtection="1">
      <alignment horizontal="center"/>
      <protection locked="0" hidden="1"/>
    </xf>
    <xf numFmtId="0" fontId="41" fillId="10" borderId="13" xfId="0" applyFont="1" applyFill="1" applyBorder="1" applyAlignment="1" applyProtection="1">
      <alignment horizontal="center"/>
      <protection locked="0" hidden="1"/>
    </xf>
    <xf numFmtId="9" fontId="41" fillId="10" borderId="0" xfId="0" applyNumberFormat="1" applyFont="1" applyFill="1" applyAlignment="1" applyProtection="1">
      <alignment horizontal="center"/>
      <protection locked="0" hidden="1"/>
    </xf>
    <xf numFmtId="0" fontId="41" fillId="10" borderId="39" xfId="0" applyFont="1" applyFill="1" applyBorder="1" applyAlignment="1" applyProtection="1">
      <alignment horizontal="center"/>
      <protection locked="0" hidden="1"/>
    </xf>
    <xf numFmtId="43" fontId="73" fillId="9" borderId="6" xfId="1" applyFont="1" applyFill="1" applyBorder="1" applyAlignment="1" applyProtection="1">
      <alignment horizontal="centerContinuous"/>
      <protection locked="0" hidden="1"/>
    </xf>
    <xf numFmtId="43" fontId="9" fillId="0" borderId="8" xfId="1" applyFont="1" applyBorder="1" applyAlignment="1" applyProtection="1">
      <alignment horizontal="center"/>
      <protection locked="0" hidden="1"/>
    </xf>
    <xf numFmtId="0" fontId="34" fillId="0" borderId="8" xfId="0" applyFont="1" applyBorder="1" applyAlignment="1" applyProtection="1">
      <alignment horizontal="center"/>
      <protection locked="0" hidden="1"/>
    </xf>
    <xf numFmtId="10" fontId="11" fillId="0" borderId="8" xfId="2" applyNumberFormat="1" applyFont="1" applyBorder="1" applyAlignment="1" applyProtection="1">
      <alignment horizontal="center"/>
      <protection locked="0" hidden="1"/>
    </xf>
    <xf numFmtId="43" fontId="9" fillId="0" borderId="8" xfId="1" applyFont="1" applyBorder="1" applyAlignment="1" applyProtection="1">
      <alignment horizontal="centerContinuous"/>
      <protection locked="0" hidden="1"/>
    </xf>
    <xf numFmtId="170" fontId="34" fillId="0" borderId="8" xfId="0" applyNumberFormat="1" applyFont="1" applyBorder="1" applyAlignment="1" applyProtection="1">
      <alignment horizontal="center"/>
      <protection locked="0" hidden="1"/>
    </xf>
    <xf numFmtId="9" fontId="99" fillId="0" borderId="10" xfId="0" applyNumberFormat="1" applyFont="1" applyBorder="1" applyAlignment="1" applyProtection="1">
      <alignment horizontal="center"/>
      <protection locked="0" hidden="1"/>
    </xf>
    <xf numFmtId="10" fontId="0" fillId="10" borderId="10" xfId="0" applyNumberFormat="1" applyFill="1" applyBorder="1" applyAlignment="1" applyProtection="1">
      <alignment horizontal="center"/>
      <protection locked="0" hidden="1"/>
    </xf>
    <xf numFmtId="0" fontId="36" fillId="5" borderId="10" xfId="0" applyFont="1" applyFill="1" applyBorder="1" applyAlignment="1" applyProtection="1">
      <alignment horizontal="center" vertical="center"/>
      <protection locked="0" hidden="1"/>
    </xf>
    <xf numFmtId="170" fontId="34" fillId="0" borderId="11" xfId="0" applyNumberFormat="1" applyFont="1" applyBorder="1" applyAlignment="1" applyProtection="1">
      <alignment horizontal="center"/>
      <protection locked="0" hidden="1"/>
    </xf>
    <xf numFmtId="43" fontId="0" fillId="10" borderId="12" xfId="1" applyFont="1" applyFill="1" applyBorder="1" applyProtection="1">
      <protection locked="0" hidden="1"/>
    </xf>
    <xf numFmtId="0" fontId="40" fillId="10" borderId="40" xfId="0" applyFont="1" applyFill="1" applyBorder="1" applyAlignment="1" applyProtection="1">
      <alignment horizontal="center"/>
      <protection locked="0" hidden="1"/>
    </xf>
    <xf numFmtId="43" fontId="0" fillId="10" borderId="14" xfId="1" applyFont="1" applyFill="1" applyBorder="1" applyProtection="1">
      <protection locked="0" hidden="1"/>
    </xf>
    <xf numFmtId="5" fontId="0" fillId="10" borderId="15" xfId="0" applyNumberFormat="1" applyFill="1" applyBorder="1" applyAlignment="1" applyProtection="1">
      <alignment horizontal="center"/>
      <protection locked="0" hidden="1"/>
    </xf>
    <xf numFmtId="188" fontId="41" fillId="10" borderId="15" xfId="0" applyNumberFormat="1" applyFont="1" applyFill="1" applyBorder="1" applyAlignment="1" applyProtection="1">
      <alignment horizontal="center"/>
      <protection locked="0" hidden="1"/>
    </xf>
    <xf numFmtId="43" fontId="41" fillId="10" borderId="42" xfId="1" applyFont="1" applyFill="1" applyBorder="1" applyProtection="1">
      <protection locked="0" hidden="1"/>
    </xf>
    <xf numFmtId="188" fontId="41" fillId="10" borderId="41" xfId="0" applyNumberFormat="1" applyFont="1" applyFill="1" applyBorder="1" applyAlignment="1" applyProtection="1">
      <alignment horizontal="center"/>
      <protection locked="0" hidden="1"/>
    </xf>
    <xf numFmtId="5" fontId="8" fillId="10" borderId="15" xfId="0" applyNumberFormat="1" applyFont="1" applyFill="1" applyBorder="1" applyProtection="1">
      <protection locked="0" hidden="1"/>
    </xf>
    <xf numFmtId="177" fontId="0" fillId="0" borderId="8" xfId="0" applyNumberFormat="1" applyBorder="1" applyAlignment="1" applyProtection="1">
      <alignment horizontal="center"/>
      <protection locked="0" hidden="1"/>
    </xf>
    <xf numFmtId="177" fontId="8" fillId="0" borderId="0" xfId="0" applyNumberFormat="1" applyFont="1" applyAlignment="1" applyProtection="1">
      <alignment horizontal="center"/>
      <protection locked="0" hidden="1"/>
    </xf>
    <xf numFmtId="177" fontId="8" fillId="0" borderId="8" xfId="0" applyNumberFormat="1" applyFont="1" applyBorder="1" applyAlignment="1" applyProtection="1">
      <alignment horizontal="center"/>
      <protection locked="0" hidden="1"/>
    </xf>
    <xf numFmtId="43" fontId="24" fillId="10" borderId="7" xfId="1" applyFont="1" applyFill="1" applyBorder="1" applyAlignment="1" applyProtection="1">
      <alignment horizontal="left"/>
      <protection locked="0" hidden="1"/>
    </xf>
    <xf numFmtId="0" fontId="24" fillId="10" borderId="0" xfId="0" applyFont="1" applyFill="1" applyProtection="1">
      <protection locked="0" hidden="1"/>
    </xf>
    <xf numFmtId="5" fontId="24" fillId="10" borderId="15" xfId="0" applyNumberFormat="1" applyFont="1" applyFill="1" applyBorder="1" applyProtection="1">
      <protection locked="0" hidden="1"/>
    </xf>
    <xf numFmtId="43" fontId="0" fillId="10" borderId="14" xfId="0" applyNumberFormat="1" applyFill="1" applyBorder="1" applyProtection="1">
      <protection locked="0" hidden="1"/>
    </xf>
    <xf numFmtId="9" fontId="0" fillId="0" borderId="0" xfId="1" applyNumberFormat="1" applyFont="1" applyProtection="1">
      <protection locked="0" hidden="1"/>
    </xf>
    <xf numFmtId="43" fontId="0" fillId="0" borderId="0" xfId="0" quotePrefix="1" applyNumberFormat="1" applyProtection="1">
      <protection locked="0" hidden="1"/>
    </xf>
    <xf numFmtId="9" fontId="0" fillId="0" borderId="0" xfId="1" applyNumberFormat="1" applyFont="1" applyAlignment="1" applyProtection="1">
      <alignment horizontal="center"/>
      <protection locked="0" hidden="1"/>
    </xf>
    <xf numFmtId="2" fontId="0" fillId="0" borderId="0" xfId="0" applyNumberFormat="1" applyAlignment="1" applyProtection="1">
      <alignment horizontal="center"/>
      <protection locked="0" hidden="1"/>
    </xf>
    <xf numFmtId="0" fontId="77" fillId="2" borderId="2" xfId="0" applyFont="1" applyFill="1" applyBorder="1" applyAlignment="1" applyProtection="1">
      <alignment vertical="center"/>
      <protection locked="0" hidden="1"/>
    </xf>
    <xf numFmtId="5" fontId="0" fillId="0" borderId="43" xfId="0" applyNumberFormat="1" applyBorder="1" applyAlignment="1" applyProtection="1">
      <alignment horizontal="center"/>
      <protection locked="0" hidden="1"/>
    </xf>
    <xf numFmtId="5" fontId="0" fillId="0" borderId="35" xfId="0" applyNumberFormat="1" applyBorder="1" applyAlignment="1" applyProtection="1">
      <alignment horizontal="center"/>
      <protection locked="0" hidden="1"/>
    </xf>
    <xf numFmtId="5" fontId="70" fillId="10" borderId="15" xfId="0" applyNumberFormat="1" applyFont="1" applyFill="1" applyBorder="1" applyProtection="1">
      <protection locked="0" hidden="1"/>
    </xf>
    <xf numFmtId="43" fontId="0" fillId="10" borderId="63" xfId="1" applyFont="1" applyFill="1" applyBorder="1" applyAlignment="1" applyProtection="1">
      <alignment horizontal="left"/>
      <protection locked="0" hidden="1"/>
    </xf>
    <xf numFmtId="5" fontId="0" fillId="10" borderId="41" xfId="0" applyNumberFormat="1" applyFill="1" applyBorder="1" applyProtection="1">
      <protection locked="0" hidden="1"/>
    </xf>
    <xf numFmtId="9" fontId="7" fillId="2" borderId="54" xfId="2" applyFill="1" applyBorder="1" applyAlignment="1" applyProtection="1">
      <alignment horizontal="left" vertical="center" indent="1"/>
      <protection locked="0" hidden="1"/>
    </xf>
    <xf numFmtId="177" fontId="0" fillId="0" borderId="14" xfId="0" applyNumberFormat="1" applyBorder="1" applyAlignment="1" applyProtection="1">
      <alignment horizontal="center"/>
      <protection locked="0" hidden="1"/>
    </xf>
    <xf numFmtId="177" fontId="0" fillId="0" borderId="42" xfId="0" applyNumberFormat="1" applyBorder="1" applyAlignment="1" applyProtection="1">
      <alignment horizontal="center"/>
      <protection locked="0" hidden="1"/>
    </xf>
    <xf numFmtId="177" fontId="0" fillId="0" borderId="39" xfId="0" applyNumberFormat="1" applyBorder="1" applyAlignment="1" applyProtection="1">
      <alignment horizontal="center"/>
      <protection locked="0" hidden="1"/>
    </xf>
    <xf numFmtId="177" fontId="0" fillId="0" borderId="15" xfId="0" applyNumberFormat="1" applyBorder="1" applyAlignment="1" applyProtection="1">
      <alignment horizontal="center"/>
      <protection locked="0" hidden="1"/>
    </xf>
    <xf numFmtId="9" fontId="94" fillId="3" borderId="0" xfId="2" applyFont="1" applyFill="1" applyAlignment="1" applyProtection="1">
      <alignment horizontal="center"/>
      <protection locked="0" hidden="1"/>
    </xf>
    <xf numFmtId="177" fontId="0" fillId="0" borderId="3" xfId="0" applyNumberFormat="1" applyBorder="1" applyProtection="1">
      <protection locked="0" hidden="1"/>
    </xf>
    <xf numFmtId="0" fontId="8" fillId="0" borderId="34" xfId="0" quotePrefix="1" applyFont="1" applyBorder="1" applyAlignment="1" applyProtection="1">
      <alignment horizontal="center"/>
      <protection locked="0" hidden="1"/>
    </xf>
    <xf numFmtId="171" fontId="8" fillId="0" borderId="0" xfId="0" applyNumberFormat="1" applyFont="1" applyProtection="1">
      <protection locked="0" hidden="1"/>
    </xf>
    <xf numFmtId="43" fontId="27" fillId="0" borderId="0" xfId="1" applyFont="1" applyProtection="1">
      <protection locked="0" hidden="1"/>
    </xf>
    <xf numFmtId="43" fontId="27" fillId="0" borderId="0" xfId="1" applyFont="1" applyAlignment="1" applyProtection="1">
      <alignment wrapText="1"/>
      <protection locked="0" hidden="1"/>
    </xf>
    <xf numFmtId="5" fontId="0" fillId="5" borderId="0" xfId="0" applyNumberFormat="1" applyFill="1" applyAlignment="1" applyProtection="1">
      <alignment horizontal="center"/>
      <protection locked="0" hidden="1"/>
    </xf>
    <xf numFmtId="0" fontId="0" fillId="0" borderId="67" xfId="0" applyBorder="1" applyAlignment="1" applyProtection="1">
      <alignment horizontal="center"/>
      <protection locked="0" hidden="1"/>
    </xf>
    <xf numFmtId="2" fontId="0" fillId="0" borderId="39" xfId="0" applyNumberFormat="1" applyBorder="1" applyAlignment="1" applyProtection="1">
      <alignment horizontal="center"/>
      <protection locked="0" hidden="1"/>
    </xf>
    <xf numFmtId="43" fontId="0" fillId="0" borderId="14" xfId="0" applyNumberFormat="1" applyBorder="1" applyProtection="1">
      <protection locked="0" hidden="1"/>
    </xf>
    <xf numFmtId="9" fontId="40" fillId="0" borderId="0" xfId="2" applyFont="1" applyProtection="1">
      <protection locked="0" hidden="1"/>
    </xf>
    <xf numFmtId="9" fontId="40" fillId="0" borderId="15" xfId="2" applyFont="1" applyBorder="1" applyProtection="1">
      <protection locked="0" hidden="1"/>
    </xf>
    <xf numFmtId="9" fontId="0" fillId="0" borderId="41" xfId="2" applyFont="1" applyBorder="1" applyProtection="1">
      <protection locked="0" hidden="1"/>
    </xf>
    <xf numFmtId="9" fontId="40" fillId="0" borderId="15" xfId="2" applyFont="1" applyBorder="1" applyAlignment="1" applyProtection="1">
      <alignment horizontal="center"/>
      <protection locked="0" hidden="1"/>
    </xf>
    <xf numFmtId="9" fontId="0" fillId="0" borderId="15" xfId="0" applyNumberFormat="1" applyBorder="1" applyAlignment="1" applyProtection="1">
      <alignment horizontal="center"/>
      <protection locked="0" hidden="1"/>
    </xf>
    <xf numFmtId="0" fontId="0" fillId="0" borderId="39" xfId="0" applyBorder="1" applyAlignment="1" applyProtection="1">
      <alignment horizontal="left"/>
      <protection locked="0" hidden="1"/>
    </xf>
    <xf numFmtId="43" fontId="9" fillId="0" borderId="0" xfId="0" applyNumberFormat="1" applyFont="1" applyAlignment="1" applyProtection="1">
      <alignment horizontal="center"/>
      <protection locked="0" hidden="1"/>
    </xf>
    <xf numFmtId="43" fontId="9" fillId="0" borderId="15" xfId="0" applyNumberFormat="1" applyFont="1" applyBorder="1" applyAlignment="1" applyProtection="1">
      <alignment horizontal="center"/>
      <protection locked="0" hidden="1"/>
    </xf>
    <xf numFmtId="0" fontId="9" fillId="0" borderId="14" xfId="0" applyFont="1" applyBorder="1" applyProtection="1">
      <protection locked="0" hidden="1"/>
    </xf>
    <xf numFmtId="0" fontId="0" fillId="0" borderId="83" xfId="0" applyBorder="1" applyProtection="1">
      <protection locked="0" hidden="1"/>
    </xf>
    <xf numFmtId="171" fontId="0" fillId="10" borderId="3" xfId="1" applyNumberFormat="1" applyFont="1" applyFill="1" applyBorder="1" applyProtection="1">
      <protection locked="0" hidden="1"/>
    </xf>
    <xf numFmtId="0" fontId="0" fillId="0" borderId="84" xfId="0" applyBorder="1" applyProtection="1">
      <protection locked="0" hidden="1"/>
    </xf>
    <xf numFmtId="0" fontId="108" fillId="0" borderId="0" xfId="4" applyProtection="1">
      <protection locked="0" hidden="1"/>
    </xf>
    <xf numFmtId="174" fontId="7" fillId="0" borderId="0" xfId="1" applyNumberFormat="1" applyProtection="1">
      <protection locked="0" hidden="1"/>
    </xf>
    <xf numFmtId="43" fontId="0" fillId="10" borderId="3" xfId="1" applyFont="1" applyFill="1" applyBorder="1" applyProtection="1">
      <protection locked="0" hidden="1"/>
    </xf>
    <xf numFmtId="0" fontId="109" fillId="0" borderId="0" xfId="0" applyFont="1" applyAlignment="1" applyProtection="1">
      <alignment horizontal="left"/>
      <protection locked="0" hidden="1"/>
    </xf>
    <xf numFmtId="9" fontId="40" fillId="0" borderId="0" xfId="0" applyNumberFormat="1" applyFont="1" applyProtection="1">
      <protection locked="0" hidden="1"/>
    </xf>
    <xf numFmtId="43" fontId="8" fillId="19" borderId="0" xfId="1" applyFont="1" applyFill="1" applyProtection="1">
      <protection locked="0" hidden="1"/>
    </xf>
    <xf numFmtId="43" fontId="27" fillId="19" borderId="0" xfId="1" applyFont="1" applyFill="1" applyAlignment="1" applyProtection="1">
      <alignment horizontal="centerContinuous"/>
      <protection locked="0" hidden="1"/>
    </xf>
    <xf numFmtId="43" fontId="39" fillId="19" borderId="0" xfId="1" applyFont="1" applyFill="1" applyAlignment="1" applyProtection="1">
      <alignment horizontal="centerContinuous"/>
      <protection locked="0" hidden="1"/>
    </xf>
    <xf numFmtId="0" fontId="0" fillId="19" borderId="83" xfId="0" applyFill="1" applyBorder="1" applyProtection="1">
      <protection locked="0" hidden="1"/>
    </xf>
    <xf numFmtId="0" fontId="0" fillId="19" borderId="0" xfId="0" applyFill="1" applyProtection="1">
      <protection locked="0" hidden="1"/>
    </xf>
    <xf numFmtId="43" fontId="0" fillId="19" borderId="0" xfId="1" applyFont="1" applyFill="1" applyProtection="1">
      <protection locked="0" hidden="1"/>
    </xf>
    <xf numFmtId="37" fontId="0" fillId="19" borderId="0" xfId="1" applyNumberFormat="1" applyFont="1" applyFill="1" applyAlignment="1" applyProtection="1">
      <alignment horizontal="left"/>
      <protection locked="0" hidden="1"/>
    </xf>
    <xf numFmtId="0" fontId="0" fillId="19" borderId="84" xfId="0" applyFill="1" applyBorder="1" applyProtection="1">
      <protection locked="0" hidden="1"/>
    </xf>
    <xf numFmtId="0" fontId="0" fillId="19" borderId="85" xfId="0" applyFill="1" applyBorder="1" applyProtection="1">
      <protection locked="0" hidden="1"/>
    </xf>
    <xf numFmtId="9" fontId="0" fillId="0" borderId="3" xfId="0" applyNumberFormat="1" applyBorder="1" applyProtection="1">
      <protection locked="0" hidden="1"/>
    </xf>
    <xf numFmtId="174" fontId="0" fillId="10" borderId="3" xfId="1" applyNumberFormat="1" applyFont="1" applyFill="1" applyBorder="1" applyProtection="1">
      <protection locked="0" hidden="1"/>
    </xf>
    <xf numFmtId="5" fontId="0" fillId="0" borderId="34" xfId="0" applyNumberFormat="1" applyBorder="1" applyAlignment="1" applyProtection="1">
      <alignment horizontal="center"/>
      <protection locked="0" hidden="1"/>
    </xf>
    <xf numFmtId="171" fontId="0" fillId="0" borderId="35" xfId="0" applyNumberFormat="1" applyBorder="1" applyProtection="1">
      <protection locked="0" hidden="1"/>
    </xf>
    <xf numFmtId="43" fontId="0" fillId="0" borderId="42" xfId="1" applyFont="1" applyBorder="1" applyAlignment="1" applyProtection="1">
      <alignment horizontal="left" indent="1"/>
      <protection locked="0" hidden="1"/>
    </xf>
    <xf numFmtId="7" fontId="0" fillId="0" borderId="39" xfId="0" applyNumberFormat="1" applyBorder="1" applyAlignment="1" applyProtection="1">
      <alignment horizontal="center"/>
      <protection locked="0" hidden="1"/>
    </xf>
    <xf numFmtId="9" fontId="0" fillId="0" borderId="39" xfId="0" applyNumberFormat="1" applyBorder="1" applyProtection="1">
      <protection locked="0" hidden="1"/>
    </xf>
    <xf numFmtId="5" fontId="0" fillId="0" borderId="39" xfId="1" applyNumberFormat="1" applyFont="1" applyBorder="1" applyProtection="1">
      <protection locked="0" hidden="1"/>
    </xf>
    <xf numFmtId="5" fontId="0" fillId="0" borderId="39" xfId="0" applyNumberFormat="1" applyBorder="1" applyProtection="1">
      <protection locked="0" hidden="1"/>
    </xf>
    <xf numFmtId="9" fontId="0" fillId="0" borderId="13" xfId="0" applyNumberFormat="1" applyBorder="1" applyProtection="1">
      <protection locked="0" hidden="1"/>
    </xf>
    <xf numFmtId="5" fontId="0" fillId="0" borderId="13" xfId="1" applyNumberFormat="1" applyFont="1" applyBorder="1" applyProtection="1">
      <protection locked="0" hidden="1"/>
    </xf>
    <xf numFmtId="5" fontId="0" fillId="0" borderId="40" xfId="1" applyNumberFormat="1" applyFont="1" applyBorder="1" applyProtection="1">
      <protection locked="0" hidden="1"/>
    </xf>
    <xf numFmtId="5" fontId="0" fillId="0" borderId="13" xfId="0" applyNumberFormat="1" applyBorder="1" applyProtection="1">
      <protection locked="0" hidden="1"/>
    </xf>
    <xf numFmtId="43" fontId="0" fillId="0" borderId="39" xfId="1" applyFont="1" applyBorder="1" applyProtection="1">
      <protection locked="0" hidden="1"/>
    </xf>
    <xf numFmtId="175" fontId="0" fillId="0" borderId="39" xfId="0" applyNumberFormat="1" applyBorder="1" applyAlignment="1" applyProtection="1">
      <alignment horizontal="center"/>
      <protection locked="0" hidden="1"/>
    </xf>
    <xf numFmtId="0" fontId="24" fillId="0" borderId="12" xfId="0" applyFont="1" applyBorder="1" applyProtection="1">
      <protection locked="0" hidden="1"/>
    </xf>
    <xf numFmtId="0" fontId="24" fillId="0" borderId="13" xfId="0" applyFont="1" applyBorder="1" applyProtection="1">
      <protection locked="0" hidden="1"/>
    </xf>
    <xf numFmtId="0" fontId="24" fillId="0" borderId="40" xfId="0" applyFont="1" applyBorder="1" applyProtection="1">
      <protection locked="0" hidden="1"/>
    </xf>
    <xf numFmtId="0" fontId="0" fillId="0" borderId="14" xfId="0" applyBorder="1" applyAlignment="1" applyProtection="1">
      <alignment horizontal="center"/>
      <protection locked="0" hidden="1"/>
    </xf>
    <xf numFmtId="0" fontId="0" fillId="0" borderId="36" xfId="0" applyBorder="1" applyAlignment="1" applyProtection="1">
      <alignment horizontal="center"/>
      <protection locked="0" hidden="1"/>
    </xf>
    <xf numFmtId="43" fontId="0" fillId="0" borderId="38" xfId="0" applyNumberFormat="1" applyBorder="1" applyAlignment="1" applyProtection="1">
      <alignment horizontal="center"/>
      <protection locked="0" hidden="1"/>
    </xf>
    <xf numFmtId="1" fontId="0" fillId="0" borderId="38" xfId="0" applyNumberFormat="1" applyBorder="1" applyAlignment="1" applyProtection="1">
      <alignment horizontal="center"/>
      <protection locked="0" hidden="1"/>
    </xf>
    <xf numFmtId="175" fontId="0" fillId="0" borderId="38" xfId="0" applyNumberFormat="1" applyBorder="1" applyAlignment="1" applyProtection="1">
      <alignment horizontal="center"/>
      <protection locked="0" hidden="1"/>
    </xf>
    <xf numFmtId="174" fontId="41" fillId="0" borderId="35" xfId="0" applyNumberFormat="1" applyFont="1" applyBorder="1" applyProtection="1">
      <protection locked="0" hidden="1"/>
    </xf>
    <xf numFmtId="43" fontId="0" fillId="19" borderId="0" xfId="1" applyFont="1" applyFill="1" applyAlignment="1" applyProtection="1">
      <alignment horizontal="right"/>
      <protection locked="0" hidden="1"/>
    </xf>
    <xf numFmtId="9" fontId="0" fillId="2" borderId="14" xfId="2" applyFont="1" applyFill="1" applyBorder="1" applyAlignment="1" applyProtection="1">
      <alignment horizontal="left" vertical="center" indent="1"/>
      <protection locked="0" hidden="1"/>
    </xf>
    <xf numFmtId="0" fontId="37" fillId="2" borderId="0" xfId="0" applyFont="1" applyFill="1" applyProtection="1">
      <protection locked="0" hidden="1"/>
    </xf>
    <xf numFmtId="0" fontId="111" fillId="0" borderId="0" xfId="0" applyFont="1" applyProtection="1">
      <protection locked="0" hidden="1"/>
    </xf>
    <xf numFmtId="7" fontId="0" fillId="0" borderId="13" xfId="0" applyNumberFormat="1" applyBorder="1" applyAlignment="1" applyProtection="1">
      <alignment horizontal="center"/>
      <protection locked="0" hidden="1"/>
    </xf>
    <xf numFmtId="0" fontId="53" fillId="0" borderId="0" xfId="0" applyFont="1" applyAlignment="1" applyProtection="1">
      <alignment horizontal="center"/>
      <protection locked="0" hidden="1"/>
    </xf>
    <xf numFmtId="43" fontId="54" fillId="4" borderId="43" xfId="1" applyFont="1" applyFill="1" applyBorder="1" applyAlignment="1" applyProtection="1">
      <alignment horizontal="centerContinuous"/>
      <protection locked="0" hidden="1"/>
    </xf>
    <xf numFmtId="43" fontId="54" fillId="4" borderId="3" xfId="1" applyFont="1" applyFill="1" applyBorder="1" applyAlignment="1" applyProtection="1">
      <alignment horizontal="centerContinuous"/>
      <protection locked="0" hidden="1"/>
    </xf>
    <xf numFmtId="43" fontId="54" fillId="4" borderId="35" xfId="1" applyFont="1" applyFill="1" applyBorder="1" applyAlignment="1" applyProtection="1">
      <alignment horizontal="centerContinuous"/>
      <protection locked="0" hidden="1"/>
    </xf>
    <xf numFmtId="0" fontId="8" fillId="5" borderId="0" xfId="0" applyFont="1" applyFill="1" applyProtection="1">
      <protection locked="0" hidden="1"/>
    </xf>
    <xf numFmtId="9" fontId="103" fillId="3" borderId="34" xfId="2" applyFont="1" applyFill="1" applyBorder="1" applyAlignment="1" applyProtection="1">
      <alignment horizontal="center"/>
      <protection locked="0" hidden="1"/>
    </xf>
    <xf numFmtId="195" fontId="103" fillId="3" borderId="0" xfId="0" applyNumberFormat="1" applyFont="1" applyFill="1" applyAlignment="1" applyProtection="1">
      <alignment horizontal="center"/>
      <protection locked="0" hidden="1"/>
    </xf>
    <xf numFmtId="9" fontId="0" fillId="3" borderId="7" xfId="2" applyFont="1" applyFill="1" applyBorder="1" applyAlignment="1" applyProtection="1">
      <alignment horizontal="left"/>
      <protection locked="0" hidden="1"/>
    </xf>
    <xf numFmtId="9" fontId="0" fillId="3" borderId="0" xfId="2" applyFont="1" applyFill="1" applyAlignment="1" applyProtection="1">
      <alignment horizontal="center"/>
      <protection locked="0" hidden="1"/>
    </xf>
    <xf numFmtId="9" fontId="0" fillId="3" borderId="63" xfId="2" applyFont="1" applyFill="1" applyBorder="1" applyAlignment="1" applyProtection="1">
      <alignment horizontal="left"/>
      <protection locked="0" hidden="1"/>
    </xf>
    <xf numFmtId="9" fontId="40" fillId="3" borderId="0" xfId="2" applyFont="1" applyFill="1" applyAlignment="1" applyProtection="1">
      <alignment horizontal="center"/>
      <protection locked="0" hidden="1"/>
    </xf>
    <xf numFmtId="0" fontId="0" fillId="3" borderId="7" xfId="0" applyFill="1" applyBorder="1" applyAlignment="1" applyProtection="1">
      <alignment horizontal="left" indent="2"/>
      <protection locked="0" hidden="1"/>
    </xf>
    <xf numFmtId="5" fontId="0" fillId="3" borderId="9" xfId="0" applyNumberFormat="1" applyFill="1" applyBorder="1" applyAlignment="1" applyProtection="1">
      <alignment horizontal="center"/>
      <protection locked="0" hidden="1"/>
    </xf>
    <xf numFmtId="43" fontId="8" fillId="3" borderId="7" xfId="1" applyFont="1" applyFill="1" applyBorder="1" applyProtection="1">
      <protection locked="0" hidden="1"/>
    </xf>
    <xf numFmtId="0" fontId="0" fillId="3" borderId="40" xfId="0" applyFill="1" applyBorder="1" applyProtection="1">
      <protection locked="0" hidden="1"/>
    </xf>
    <xf numFmtId="9" fontId="0" fillId="0" borderId="0" xfId="2" applyFont="1" applyAlignment="1" applyProtection="1">
      <alignment horizontal="left" indent="1"/>
      <protection locked="0" hidden="1"/>
    </xf>
    <xf numFmtId="9" fontId="0" fillId="0" borderId="0" xfId="2" quotePrefix="1" applyFont="1" applyAlignment="1" applyProtection="1">
      <alignment horizontal="left" indent="1"/>
      <protection locked="0" hidden="1"/>
    </xf>
    <xf numFmtId="9" fontId="0" fillId="0" borderId="0" xfId="2" applyFont="1" applyAlignment="1" applyProtection="1">
      <alignment horizontal="left" indent="2"/>
      <protection locked="0" hidden="1"/>
    </xf>
    <xf numFmtId="43" fontId="9" fillId="0" borderId="13" xfId="1" applyFont="1" applyBorder="1" applyAlignment="1" applyProtection="1">
      <alignment horizontal="center" wrapText="1"/>
      <protection locked="0" hidden="1"/>
    </xf>
    <xf numFmtId="43" fontId="9" fillId="0" borderId="40" xfId="1" applyFont="1" applyBorder="1" applyAlignment="1" applyProtection="1">
      <alignment horizontal="center" wrapText="1"/>
      <protection locked="0" hidden="1"/>
    </xf>
    <xf numFmtId="5" fontId="0" fillId="10" borderId="0" xfId="0" applyNumberFormat="1" applyFill="1" applyProtection="1">
      <protection locked="0" hidden="1"/>
    </xf>
    <xf numFmtId="5" fontId="40" fillId="10" borderId="0" xfId="0" applyNumberFormat="1" applyFont="1" applyFill="1" applyProtection="1">
      <protection locked="0" hidden="1"/>
    </xf>
    <xf numFmtId="43" fontId="27" fillId="10" borderId="0" xfId="1" applyFont="1" applyFill="1" applyAlignment="1" applyProtection="1">
      <alignment horizontal="center"/>
      <protection locked="0" hidden="1"/>
    </xf>
    <xf numFmtId="43" fontId="27" fillId="10" borderId="15" xfId="1" applyFont="1" applyFill="1" applyBorder="1" applyAlignment="1" applyProtection="1">
      <alignment horizontal="center"/>
      <protection locked="0" hidden="1"/>
    </xf>
    <xf numFmtId="171" fontId="75" fillId="0" borderId="0" xfId="0" applyNumberFormat="1" applyFont="1" applyProtection="1">
      <protection locked="0" hidden="1"/>
    </xf>
    <xf numFmtId="0" fontId="112" fillId="0" borderId="0" xfId="0" applyFont="1" applyAlignment="1" applyProtection="1">
      <alignment horizontal="right"/>
      <protection locked="0" hidden="1"/>
    </xf>
    <xf numFmtId="0" fontId="0" fillId="0" borderId="37" xfId="0" applyBorder="1" applyProtection="1">
      <protection locked="0" hidden="1"/>
    </xf>
    <xf numFmtId="171" fontId="0" fillId="0" borderId="37" xfId="1" applyNumberFormat="1" applyFont="1" applyBorder="1" applyProtection="1">
      <protection locked="0" hidden="1"/>
    </xf>
    <xf numFmtId="171" fontId="0" fillId="10" borderId="86" xfId="1" applyNumberFormat="1" applyFont="1" applyFill="1" applyBorder="1" applyProtection="1">
      <protection locked="0" hidden="1"/>
    </xf>
    <xf numFmtId="171" fontId="9" fillId="0" borderId="37" xfId="1" applyNumberFormat="1" applyFont="1" applyBorder="1" applyProtection="1">
      <protection locked="0" hidden="1"/>
    </xf>
    <xf numFmtId="0" fontId="0" fillId="0" borderId="38" xfId="0" applyBorder="1" applyAlignment="1" applyProtection="1">
      <alignment horizontal="center"/>
      <protection locked="0" hidden="1"/>
    </xf>
    <xf numFmtId="0" fontId="113" fillId="2" borderId="0" xfId="0" applyFont="1" applyFill="1" applyProtection="1">
      <protection locked="0" hidden="1"/>
    </xf>
    <xf numFmtId="174" fontId="7" fillId="0" borderId="0" xfId="1" applyNumberFormat="1" applyAlignment="1" applyProtection="1">
      <alignment horizontal="center" vertical="center"/>
      <protection locked="0" hidden="1"/>
    </xf>
    <xf numFmtId="177" fontId="41" fillId="0" borderId="0" xfId="1" applyNumberFormat="1" applyFont="1" applyAlignment="1" applyProtection="1">
      <alignment horizontal="right"/>
      <protection locked="0" hidden="1"/>
    </xf>
    <xf numFmtId="0" fontId="112" fillId="0" borderId="3" xfId="0" applyFont="1" applyBorder="1" applyAlignment="1" applyProtection="1">
      <alignment horizontal="right"/>
      <protection locked="0" hidden="1"/>
    </xf>
    <xf numFmtId="0" fontId="37" fillId="2" borderId="1" xfId="0" applyFont="1" applyFill="1" applyBorder="1" applyProtection="1">
      <protection locked="0" hidden="1"/>
    </xf>
    <xf numFmtId="171" fontId="9" fillId="0" borderId="34" xfId="1" applyNumberFormat="1" applyFont="1" applyBorder="1" applyProtection="1">
      <protection locked="0" hidden="1"/>
    </xf>
    <xf numFmtId="0" fontId="8" fillId="15" borderId="34" xfId="0" applyFont="1" applyFill="1" applyBorder="1" applyAlignment="1" applyProtection="1">
      <alignment horizontal="center"/>
      <protection locked="0" hidden="1"/>
    </xf>
    <xf numFmtId="167" fontId="24" fillId="2" borderId="2" xfId="0" applyNumberFormat="1" applyFont="1" applyFill="1" applyBorder="1" applyAlignment="1" applyProtection="1">
      <alignment horizontal="right"/>
      <protection locked="0" hidden="1"/>
    </xf>
    <xf numFmtId="5" fontId="0" fillId="10" borderId="0" xfId="0" applyNumberFormat="1" applyFill="1" applyAlignment="1" applyProtection="1">
      <alignment horizontal="center"/>
      <protection locked="0" hidden="1"/>
    </xf>
    <xf numFmtId="5" fontId="40" fillId="10" borderId="0" xfId="0" applyNumberFormat="1" applyFont="1" applyFill="1" applyAlignment="1" applyProtection="1">
      <alignment horizontal="center"/>
      <protection locked="0" hidden="1"/>
    </xf>
    <xf numFmtId="9" fontId="103" fillId="0" borderId="0" xfId="0" applyNumberFormat="1" applyFont="1" applyAlignment="1" applyProtection="1">
      <alignment horizontal="left"/>
      <protection locked="0" hidden="1"/>
    </xf>
    <xf numFmtId="196" fontId="0" fillId="0" borderId="0" xfId="0" applyNumberFormat="1" applyProtection="1">
      <protection locked="0" hidden="1"/>
    </xf>
    <xf numFmtId="9" fontId="94" fillId="0" borderId="0" xfId="0" applyNumberFormat="1" applyFont="1" applyAlignment="1" applyProtection="1">
      <alignment horizontal="center"/>
      <protection locked="0" hidden="1"/>
    </xf>
    <xf numFmtId="0" fontId="105" fillId="0" borderId="0" xfId="0" quotePrefix="1" applyFont="1" applyProtection="1">
      <protection locked="0" hidden="1"/>
    </xf>
    <xf numFmtId="5" fontId="26" fillId="0" borderId="0" xfId="0" applyNumberFormat="1" applyFont="1" applyAlignment="1" applyProtection="1">
      <alignment horizontal="center"/>
      <protection locked="0" hidden="1"/>
    </xf>
    <xf numFmtId="174" fontId="41" fillId="0" borderId="0" xfId="1" applyNumberFormat="1" applyFont="1" applyAlignment="1" applyProtection="1">
      <alignment horizontal="right"/>
      <protection locked="0" hidden="1"/>
    </xf>
    <xf numFmtId="174" fontId="0" fillId="0" borderId="0" xfId="1" applyNumberFormat="1" applyFont="1" applyAlignment="1" applyProtection="1">
      <alignment horizontal="right"/>
      <protection locked="0" hidden="1"/>
    </xf>
    <xf numFmtId="174" fontId="50" fillId="0" borderId="0" xfId="1" applyNumberFormat="1" applyFont="1" applyAlignment="1" applyProtection="1">
      <alignment horizontal="right"/>
      <protection locked="0" hidden="1"/>
    </xf>
    <xf numFmtId="0" fontId="103" fillId="0" borderId="41" xfId="0" applyFont="1" applyBorder="1" applyAlignment="1" applyProtection="1">
      <alignment horizontal="center"/>
      <protection locked="0" hidden="1"/>
    </xf>
    <xf numFmtId="43" fontId="0" fillId="0" borderId="0" xfId="1" applyFont="1" applyAlignment="1" applyProtection="1">
      <alignment vertical="center"/>
      <protection locked="0" hidden="1"/>
    </xf>
    <xf numFmtId="0" fontId="0" fillId="0" borderId="0" xfId="0" applyAlignment="1" applyProtection="1">
      <alignment vertical="center"/>
      <protection locked="0" hidden="1"/>
    </xf>
    <xf numFmtId="2" fontId="0" fillId="0" borderId="0" xfId="2" applyNumberFormat="1" applyFont="1" applyProtection="1">
      <protection locked="0" hidden="1"/>
    </xf>
    <xf numFmtId="9" fontId="99" fillId="6" borderId="0" xfId="2" applyFont="1" applyFill="1" applyAlignment="1" applyProtection="1">
      <alignment horizontal="center"/>
      <protection locked="0" hidden="1"/>
    </xf>
    <xf numFmtId="9" fontId="99" fillId="6" borderId="10" xfId="2" applyFont="1" applyFill="1" applyBorder="1" applyAlignment="1" applyProtection="1">
      <alignment horizontal="center"/>
      <protection locked="0" hidden="1"/>
    </xf>
    <xf numFmtId="0" fontId="115" fillId="0" borderId="0" xfId="6" applyFont="1"/>
    <xf numFmtId="0" fontId="116" fillId="0" borderId="0" xfId="6" applyFont="1"/>
    <xf numFmtId="0" fontId="116" fillId="0" borderId="0" xfId="6" quotePrefix="1" applyFont="1" applyAlignment="1">
      <alignment horizontal="center"/>
    </xf>
    <xf numFmtId="0" fontId="116" fillId="0" borderId="0" xfId="6" quotePrefix="1" applyFont="1" applyAlignment="1">
      <alignment horizontal="left"/>
    </xf>
    <xf numFmtId="0" fontId="117" fillId="0" borderId="0" xfId="6" applyFont="1"/>
    <xf numFmtId="0" fontId="116" fillId="0" borderId="0" xfId="6" applyFont="1" applyAlignment="1">
      <alignment horizontal="right"/>
    </xf>
    <xf numFmtId="0" fontId="116" fillId="0" borderId="0" xfId="6" applyFont="1" applyAlignment="1">
      <alignment horizontal="center"/>
    </xf>
    <xf numFmtId="0" fontId="116" fillId="0" borderId="0" xfId="6" applyFont="1" applyAlignment="1">
      <alignment horizontal="left"/>
    </xf>
    <xf numFmtId="0" fontId="6" fillId="0" borderId="0" xfId="6"/>
    <xf numFmtId="0" fontId="116" fillId="0" borderId="0" xfId="6" quotePrefix="1" applyFont="1" applyAlignment="1">
      <alignment horizontal="right"/>
    </xf>
    <xf numFmtId="0" fontId="118" fillId="0" borderId="0" xfId="6" applyFont="1"/>
    <xf numFmtId="0" fontId="119" fillId="0" borderId="0" xfId="6" applyFont="1"/>
    <xf numFmtId="0" fontId="116" fillId="5" borderId="0" xfId="6" applyFont="1" applyFill="1" applyAlignment="1">
      <alignment horizontal="left"/>
    </xf>
    <xf numFmtId="0" fontId="115" fillId="5" borderId="0" xfId="6" applyFont="1" applyFill="1"/>
    <xf numFmtId="0" fontId="118" fillId="0" borderId="14" xfId="6" quotePrefix="1" applyFont="1" applyBorder="1" applyAlignment="1">
      <alignment horizontal="right" vertical="center"/>
    </xf>
    <xf numFmtId="0" fontId="117" fillId="0" borderId="0" xfId="6" applyFont="1" applyAlignment="1">
      <alignment horizontal="center" vertical="center" wrapText="1"/>
    </xf>
    <xf numFmtId="0" fontId="122" fillId="0" borderId="0" xfId="6" applyFont="1"/>
    <xf numFmtId="0" fontId="115" fillId="0" borderId="0" xfId="6" applyFont="1" applyAlignment="1">
      <alignment horizontal="center" wrapText="1"/>
    </xf>
    <xf numFmtId="0" fontId="119" fillId="0" borderId="0" xfId="6" applyFont="1" applyAlignment="1">
      <alignment horizontal="center" wrapText="1"/>
    </xf>
    <xf numFmtId="0" fontId="115" fillId="0" borderId="3" xfId="6" applyFont="1" applyBorder="1"/>
    <xf numFmtId="0" fontId="118" fillId="0" borderId="0" xfId="6" quotePrefix="1" applyFont="1" applyAlignment="1">
      <alignment horizontal="right" vertical="center"/>
    </xf>
    <xf numFmtId="0" fontId="115" fillId="0" borderId="37" xfId="6" applyFont="1" applyBorder="1" applyAlignment="1">
      <alignment horizontal="center"/>
    </xf>
    <xf numFmtId="171" fontId="118" fillId="0" borderId="0" xfId="7" applyNumberFormat="1" applyFont="1" applyAlignment="1">
      <alignment horizontal="center" vertical="center"/>
    </xf>
    <xf numFmtId="171" fontId="118" fillId="0" borderId="15" xfId="7" applyNumberFormat="1" applyFont="1" applyBorder="1" applyAlignment="1">
      <alignment horizontal="center" vertical="center"/>
    </xf>
    <xf numFmtId="0" fontId="115" fillId="0" borderId="0" xfId="6" applyFont="1" applyAlignment="1">
      <alignment horizontal="center"/>
    </xf>
    <xf numFmtId="0" fontId="119" fillId="0" borderId="0" xfId="6" applyFont="1" applyAlignment="1">
      <alignment horizontal="right"/>
    </xf>
    <xf numFmtId="0" fontId="118" fillId="0" borderId="0" xfId="6" applyFont="1" applyAlignment="1">
      <alignment horizontal="right"/>
    </xf>
    <xf numFmtId="6" fontId="115" fillId="0" borderId="37" xfId="6" applyNumberFormat="1" applyFont="1" applyBorder="1" applyAlignment="1">
      <alignment horizontal="center"/>
    </xf>
    <xf numFmtId="6" fontId="115" fillId="0" borderId="0" xfId="6" applyNumberFormat="1" applyFont="1" applyAlignment="1">
      <alignment horizontal="center"/>
    </xf>
    <xf numFmtId="6" fontId="115" fillId="0" borderId="15" xfId="6" applyNumberFormat="1" applyFont="1" applyBorder="1" applyAlignment="1">
      <alignment horizontal="center"/>
    </xf>
    <xf numFmtId="8" fontId="115" fillId="0" borderId="37" xfId="6" applyNumberFormat="1" applyFont="1" applyBorder="1" applyAlignment="1">
      <alignment horizontal="center"/>
    </xf>
    <xf numFmtId="8" fontId="115" fillId="0" borderId="0" xfId="6" applyNumberFormat="1" applyFont="1" applyAlignment="1">
      <alignment horizontal="center"/>
    </xf>
    <xf numFmtId="8" fontId="115" fillId="0" borderId="15" xfId="6" applyNumberFormat="1" applyFont="1" applyBorder="1" applyAlignment="1">
      <alignment horizontal="center"/>
    </xf>
    <xf numFmtId="0" fontId="115" fillId="0" borderId="0" xfId="6" applyFont="1" applyAlignment="1">
      <alignment vertical="center"/>
    </xf>
    <xf numFmtId="171" fontId="115" fillId="0" borderId="37" xfId="6" applyNumberFormat="1" applyFont="1" applyBorder="1" applyAlignment="1">
      <alignment horizontal="center"/>
    </xf>
    <xf numFmtId="171" fontId="115" fillId="0" borderId="0" xfId="6" applyNumberFormat="1" applyFont="1" applyAlignment="1">
      <alignment horizontal="center"/>
    </xf>
    <xf numFmtId="171" fontId="115" fillId="0" borderId="15" xfId="6" applyNumberFormat="1" applyFont="1" applyBorder="1" applyAlignment="1">
      <alignment horizontal="center"/>
    </xf>
    <xf numFmtId="43" fontId="115" fillId="0" borderId="37" xfId="6" applyNumberFormat="1" applyFont="1" applyBorder="1" applyAlignment="1">
      <alignment horizontal="center"/>
    </xf>
    <xf numFmtId="43" fontId="115" fillId="0" borderId="0" xfId="6" applyNumberFormat="1" applyFont="1" applyAlignment="1">
      <alignment horizontal="center"/>
    </xf>
    <xf numFmtId="43" fontId="115" fillId="0" borderId="15" xfId="6" applyNumberFormat="1" applyFont="1" applyBorder="1" applyAlignment="1">
      <alignment horizontal="center"/>
    </xf>
    <xf numFmtId="0" fontId="125" fillId="0" borderId="0" xfId="6" applyFont="1" applyAlignment="1">
      <alignment horizontal="right"/>
    </xf>
    <xf numFmtId="43" fontId="118" fillId="0" borderId="38" xfId="7" applyFont="1" applyBorder="1" applyAlignment="1">
      <alignment horizontal="center" vertical="center"/>
    </xf>
    <xf numFmtId="43" fontId="118" fillId="0" borderId="39" xfId="7" applyFont="1" applyBorder="1" applyAlignment="1">
      <alignment horizontal="center" vertical="center"/>
    </xf>
    <xf numFmtId="43" fontId="118" fillId="0" borderId="41" xfId="7" applyFont="1" applyBorder="1" applyAlignment="1">
      <alignment horizontal="center" vertical="center"/>
    </xf>
    <xf numFmtId="6" fontId="115" fillId="0" borderId="0" xfId="6" applyNumberFormat="1" applyFont="1"/>
    <xf numFmtId="43" fontId="0" fillId="0" borderId="14" xfId="1" applyFont="1" applyBorder="1" applyAlignment="1" applyProtection="1">
      <alignment horizontal="center"/>
      <protection locked="0" hidden="1"/>
    </xf>
    <xf numFmtId="9" fontId="126" fillId="0" borderId="0" xfId="0" applyNumberFormat="1" applyFont="1" applyAlignment="1" applyProtection="1">
      <alignment horizontal="center"/>
      <protection locked="0" hidden="1"/>
    </xf>
    <xf numFmtId="9" fontId="0" fillId="0" borderId="43" xfId="2" applyFont="1" applyBorder="1" applyAlignment="1" applyProtection="1">
      <alignment horizontal="center"/>
      <protection locked="0" hidden="1"/>
    </xf>
    <xf numFmtId="9" fontId="0" fillId="0" borderId="3" xfId="2" applyFont="1" applyBorder="1" applyAlignment="1" applyProtection="1">
      <alignment horizontal="center"/>
      <protection locked="0" hidden="1"/>
    </xf>
    <xf numFmtId="9" fontId="0" fillId="0" borderId="35" xfId="2" applyFont="1" applyBorder="1" applyAlignment="1" applyProtection="1">
      <alignment horizontal="center"/>
      <protection locked="0" hidden="1"/>
    </xf>
    <xf numFmtId="6" fontId="118" fillId="0" borderId="36" xfId="11" applyNumberFormat="1" applyFont="1" applyBorder="1" applyAlignment="1">
      <alignment horizontal="center" vertical="center"/>
    </xf>
    <xf numFmtId="6" fontId="118" fillId="0" borderId="13" xfId="11" applyNumberFormat="1" applyFont="1" applyBorder="1" applyAlignment="1">
      <alignment horizontal="center" vertical="center"/>
    </xf>
    <xf numFmtId="6" fontId="118" fillId="0" borderId="40" xfId="11" applyNumberFormat="1" applyFont="1" applyBorder="1" applyAlignment="1">
      <alignment horizontal="center" vertical="center"/>
    </xf>
    <xf numFmtId="8" fontId="118" fillId="0" borderId="36" xfId="11" applyNumberFormat="1" applyFont="1" applyBorder="1" applyAlignment="1">
      <alignment horizontal="center" vertical="center"/>
    </xf>
    <xf numFmtId="8" fontId="118" fillId="0" borderId="13" xfId="11" applyNumberFormat="1" applyFont="1" applyBorder="1" applyAlignment="1">
      <alignment horizontal="center" vertical="center"/>
    </xf>
    <xf numFmtId="8" fontId="118" fillId="0" borderId="40" xfId="11" applyNumberFormat="1" applyFont="1" applyBorder="1" applyAlignment="1">
      <alignment horizontal="center" vertical="center"/>
    </xf>
    <xf numFmtId="38" fontId="123" fillId="0" borderId="37" xfId="11" applyNumberFormat="1" applyFont="1" applyBorder="1" applyAlignment="1">
      <alignment horizontal="center" vertical="center"/>
    </xf>
    <xf numFmtId="38" fontId="123" fillId="0" borderId="0" xfId="11" applyNumberFormat="1" applyFont="1" applyAlignment="1">
      <alignment horizontal="center" vertical="center"/>
    </xf>
    <xf numFmtId="38" fontId="123" fillId="0" borderId="15" xfId="11" applyNumberFormat="1" applyFont="1" applyBorder="1" applyAlignment="1">
      <alignment horizontal="center" vertical="center"/>
    </xf>
    <xf numFmtId="38" fontId="118" fillId="0" borderId="38" xfId="11" applyNumberFormat="1" applyFont="1" applyBorder="1" applyAlignment="1">
      <alignment horizontal="center" vertical="center"/>
    </xf>
    <xf numFmtId="38" fontId="118" fillId="0" borderId="39" xfId="11" applyNumberFormat="1" applyFont="1" applyBorder="1" applyAlignment="1">
      <alignment horizontal="center" vertical="center"/>
    </xf>
    <xf numFmtId="38" fontId="118" fillId="0" borderId="41" xfId="11" applyNumberFormat="1" applyFont="1" applyBorder="1" applyAlignment="1">
      <alignment horizontal="center" vertical="center"/>
    </xf>
    <xf numFmtId="6" fontId="119" fillId="0" borderId="37" xfId="11" applyNumberFormat="1" applyFont="1" applyBorder="1" applyAlignment="1">
      <alignment horizontal="center" vertical="center"/>
    </xf>
    <xf numFmtId="8" fontId="119" fillId="0" borderId="37" xfId="11" applyNumberFormat="1" applyFont="1" applyBorder="1" applyAlignment="1">
      <alignment horizontal="center" vertical="center"/>
    </xf>
    <xf numFmtId="6" fontId="118" fillId="0" borderId="37" xfId="11" applyNumberFormat="1" applyFont="1" applyBorder="1" applyAlignment="1">
      <alignment horizontal="center" vertical="center"/>
    </xf>
    <xf numFmtId="8" fontId="118" fillId="0" borderId="37" xfId="11" applyNumberFormat="1" applyFont="1" applyBorder="1" applyAlignment="1">
      <alignment horizontal="center" vertical="center"/>
    </xf>
    <xf numFmtId="6" fontId="118" fillId="14" borderId="34" xfId="11" applyNumberFormat="1" applyFont="1" applyFill="1" applyBorder="1" applyAlignment="1">
      <alignment horizontal="center" vertical="center"/>
    </xf>
    <xf numFmtId="8" fontId="118" fillId="14" borderId="34" xfId="11" applyNumberFormat="1" applyFont="1" applyFill="1" applyBorder="1" applyAlignment="1">
      <alignment horizontal="center" vertical="center"/>
    </xf>
    <xf numFmtId="6" fontId="118" fillId="22" borderId="34" xfId="11" applyNumberFormat="1" applyFont="1" applyFill="1" applyBorder="1" applyAlignment="1">
      <alignment horizontal="center" vertical="center"/>
    </xf>
    <xf numFmtId="8" fontId="118" fillId="22" borderId="34" xfId="11" applyNumberFormat="1" applyFont="1" applyFill="1" applyBorder="1" applyAlignment="1">
      <alignment horizontal="center" vertical="center"/>
    </xf>
    <xf numFmtId="170" fontId="118" fillId="0" borderId="37" xfId="12" applyNumberFormat="1" applyFont="1" applyBorder="1" applyAlignment="1">
      <alignment horizontal="center"/>
    </xf>
    <xf numFmtId="6" fontId="119" fillId="0" borderId="36" xfId="11" applyNumberFormat="1" applyFont="1" applyBorder="1" applyAlignment="1">
      <alignment horizontal="center" vertical="center"/>
    </xf>
    <xf numFmtId="8" fontId="119" fillId="0" borderId="36" xfId="11" applyNumberFormat="1" applyFont="1" applyBorder="1" applyAlignment="1">
      <alignment horizontal="center" vertical="center"/>
    </xf>
    <xf numFmtId="0" fontId="117" fillId="20" borderId="34" xfId="0" applyFont="1" applyFill="1" applyBorder="1" applyAlignment="1">
      <alignment horizontal="center" vertical="center" wrapText="1"/>
    </xf>
    <xf numFmtId="0" fontId="120" fillId="19" borderId="43" xfId="0" applyFont="1" applyFill="1" applyBorder="1" applyAlignment="1">
      <alignment horizontal="centerContinuous" vertical="center"/>
    </xf>
    <xf numFmtId="0" fontId="120" fillId="19" borderId="3" xfId="0" applyFont="1" applyFill="1" applyBorder="1" applyAlignment="1">
      <alignment horizontal="centerContinuous" vertical="center"/>
    </xf>
    <xf numFmtId="0" fontId="120" fillId="19" borderId="35" xfId="0" applyFont="1" applyFill="1" applyBorder="1" applyAlignment="1">
      <alignment horizontal="centerContinuous" vertical="center"/>
    </xf>
    <xf numFmtId="0" fontId="115" fillId="0" borderId="0" xfId="0" applyFont="1"/>
    <xf numFmtId="0" fontId="121" fillId="0" borderId="0" xfId="0" applyFont="1" applyAlignment="1">
      <alignment vertical="center"/>
    </xf>
    <xf numFmtId="0" fontId="118" fillId="21" borderId="43" xfId="0" applyFont="1" applyFill="1" applyBorder="1" applyAlignment="1">
      <alignment horizontal="center" vertical="center"/>
    </xf>
    <xf numFmtId="0" fontId="118" fillId="21" borderId="34" xfId="0" applyFont="1" applyFill="1" applyBorder="1" applyAlignment="1">
      <alignment horizontal="center" vertical="center"/>
    </xf>
    <xf numFmtId="0" fontId="118" fillId="0" borderId="12" xfId="0" applyFont="1" applyBorder="1" applyAlignment="1">
      <alignment horizontal="right" vertical="center"/>
    </xf>
    <xf numFmtId="0" fontId="118" fillId="0" borderId="13" xfId="0" quotePrefix="1" applyFont="1" applyBorder="1" applyAlignment="1">
      <alignment horizontal="right" vertical="center"/>
    </xf>
    <xf numFmtId="0" fontId="118" fillId="0" borderId="14" xfId="0" applyFont="1" applyBorder="1" applyAlignment="1">
      <alignment horizontal="right" vertical="center"/>
    </xf>
    <xf numFmtId="0" fontId="118" fillId="0" borderId="0" xfId="0" quotePrefix="1" applyFont="1" applyAlignment="1">
      <alignment horizontal="right" vertical="center"/>
    </xf>
    <xf numFmtId="0" fontId="118" fillId="0" borderId="42" xfId="0" applyFont="1" applyBorder="1" applyAlignment="1">
      <alignment horizontal="right" vertical="center"/>
    </xf>
    <xf numFmtId="0" fontId="118" fillId="0" borderId="39" xfId="0" quotePrefix="1" applyFont="1" applyBorder="1" applyAlignment="1">
      <alignment horizontal="right" vertical="center"/>
    </xf>
    <xf numFmtId="0" fontId="119" fillId="0" borderId="0" xfId="0" applyFont="1" applyAlignment="1">
      <alignment horizontal="right"/>
    </xf>
    <xf numFmtId="6" fontId="119" fillId="0" borderId="0" xfId="11" applyNumberFormat="1" applyFont="1" applyAlignment="1">
      <alignment horizontal="center" vertical="center"/>
    </xf>
    <xf numFmtId="6" fontId="119" fillId="0" borderId="15" xfId="11" applyNumberFormat="1" applyFont="1" applyBorder="1" applyAlignment="1">
      <alignment horizontal="center" vertical="center"/>
    </xf>
    <xf numFmtId="8" fontId="119" fillId="0" borderId="0" xfId="11" applyNumberFormat="1" applyFont="1" applyAlignment="1">
      <alignment horizontal="center" vertical="center"/>
    </xf>
    <xf numFmtId="8" fontId="119" fillId="0" borderId="15" xfId="11" applyNumberFormat="1" applyFont="1" applyBorder="1" applyAlignment="1">
      <alignment horizontal="center" vertical="center"/>
    </xf>
    <xf numFmtId="0" fontId="119" fillId="0" borderId="0" xfId="0" applyFont="1" applyAlignment="1">
      <alignment horizontal="right" vertical="center"/>
    </xf>
    <xf numFmtId="0" fontId="118" fillId="0" borderId="0" xfId="0" applyFont="1" applyAlignment="1">
      <alignment horizontal="right"/>
    </xf>
    <xf numFmtId="0" fontId="117" fillId="0" borderId="0" xfId="0" applyFont="1"/>
    <xf numFmtId="6" fontId="118" fillId="0" borderId="0" xfId="11" applyNumberFormat="1" applyFont="1" applyAlignment="1">
      <alignment horizontal="center" vertical="center"/>
    </xf>
    <xf numFmtId="6" fontId="118" fillId="0" borderId="15" xfId="11" applyNumberFormat="1" applyFont="1" applyBorder="1" applyAlignment="1">
      <alignment horizontal="center" vertical="center"/>
    </xf>
    <xf numFmtId="8" fontId="118" fillId="0" borderId="0" xfId="11" applyNumberFormat="1" applyFont="1" applyAlignment="1">
      <alignment horizontal="center" vertical="center"/>
    </xf>
    <xf numFmtId="8" fontId="118" fillId="0" borderId="15" xfId="11" applyNumberFormat="1" applyFont="1" applyBorder="1" applyAlignment="1">
      <alignment horizontal="center" vertical="center"/>
    </xf>
    <xf numFmtId="0" fontId="119" fillId="0" borderId="0" xfId="0" applyFont="1"/>
    <xf numFmtId="6" fontId="115" fillId="0" borderId="37" xfId="0" applyNumberFormat="1" applyFont="1" applyBorder="1" applyAlignment="1">
      <alignment horizontal="center"/>
    </xf>
    <xf numFmtId="6" fontId="115" fillId="0" borderId="0" xfId="0" applyNumberFormat="1" applyFont="1" applyAlignment="1">
      <alignment horizontal="center"/>
    </xf>
    <xf numFmtId="6" fontId="115" fillId="0" borderId="15" xfId="0" applyNumberFormat="1" applyFont="1" applyBorder="1" applyAlignment="1">
      <alignment horizontal="center"/>
    </xf>
    <xf numFmtId="8" fontId="115" fillId="0" borderId="37" xfId="0" applyNumberFormat="1" applyFont="1" applyBorder="1" applyAlignment="1">
      <alignment horizontal="center"/>
    </xf>
    <xf numFmtId="8" fontId="115" fillId="0" borderId="0" xfId="0" applyNumberFormat="1" applyFont="1" applyAlignment="1">
      <alignment horizontal="center"/>
    </xf>
    <xf numFmtId="8" fontId="115" fillId="0" borderId="15" xfId="0" applyNumberFormat="1" applyFont="1" applyBorder="1" applyAlignment="1">
      <alignment horizontal="center"/>
    </xf>
    <xf numFmtId="0" fontId="118" fillId="14" borderId="43" xfId="0" applyFont="1" applyFill="1" applyBorder="1" applyAlignment="1">
      <alignment horizontal="right" vertical="center"/>
    </xf>
    <xf numFmtId="0" fontId="117" fillId="14" borderId="3" xfId="0" applyFont="1" applyFill="1" applyBorder="1" applyAlignment="1">
      <alignment vertical="center"/>
    </xf>
    <xf numFmtId="6" fontId="118" fillId="14" borderId="3" xfId="11" applyNumberFormat="1" applyFont="1" applyFill="1" applyBorder="1" applyAlignment="1">
      <alignment horizontal="center" vertical="center"/>
    </xf>
    <xf numFmtId="6" fontId="118" fillId="14" borderId="35" xfId="11" applyNumberFormat="1" applyFont="1" applyFill="1" applyBorder="1" applyAlignment="1">
      <alignment horizontal="center" vertical="center"/>
    </xf>
    <xf numFmtId="8" fontId="118" fillId="14" borderId="3" xfId="11" applyNumberFormat="1" applyFont="1" applyFill="1" applyBorder="1" applyAlignment="1">
      <alignment horizontal="center" vertical="center"/>
    </xf>
    <xf numFmtId="8" fontId="118" fillId="14" borderId="35" xfId="11" applyNumberFormat="1" applyFont="1" applyFill="1" applyBorder="1" applyAlignment="1">
      <alignment horizontal="center" vertical="center"/>
    </xf>
    <xf numFmtId="0" fontId="118" fillId="22" borderId="43" xfId="0" applyFont="1" applyFill="1" applyBorder="1" applyAlignment="1">
      <alignment horizontal="right" vertical="center"/>
    </xf>
    <xf numFmtId="0" fontId="124" fillId="22" borderId="3" xfId="0" applyFont="1" applyFill="1" applyBorder="1" applyAlignment="1">
      <alignment horizontal="right" vertical="center"/>
    </xf>
    <xf numFmtId="6" fontId="118" fillId="22" borderId="3" xfId="11" applyNumberFormat="1" applyFont="1" applyFill="1" applyBorder="1" applyAlignment="1">
      <alignment horizontal="center" vertical="center"/>
    </xf>
    <xf numFmtId="6" fontId="118" fillId="22" borderId="35" xfId="11" applyNumberFormat="1" applyFont="1" applyFill="1" applyBorder="1" applyAlignment="1">
      <alignment horizontal="center" vertical="center"/>
    </xf>
    <xf numFmtId="8" fontId="118" fillId="22" borderId="3" xfId="11" applyNumberFormat="1" applyFont="1" applyFill="1" applyBorder="1" applyAlignment="1">
      <alignment horizontal="center" vertical="center"/>
    </xf>
    <xf numFmtId="8" fontId="118" fillId="22" borderId="35" xfId="11" applyNumberFormat="1" applyFont="1" applyFill="1" applyBorder="1" applyAlignment="1">
      <alignment horizontal="center" vertical="center"/>
    </xf>
    <xf numFmtId="170" fontId="118" fillId="0" borderId="0" xfId="12" applyNumberFormat="1" applyFont="1" applyAlignment="1">
      <alignment horizontal="center"/>
    </xf>
    <xf numFmtId="170" fontId="118" fillId="0" borderId="15" xfId="12" applyNumberFormat="1" applyFont="1" applyBorder="1" applyAlignment="1">
      <alignment horizontal="center"/>
    </xf>
    <xf numFmtId="6" fontId="119" fillId="0" borderId="13" xfId="11" applyNumberFormat="1" applyFont="1" applyBorder="1" applyAlignment="1">
      <alignment horizontal="center" vertical="center"/>
    </xf>
    <xf numFmtId="6" fontId="119" fillId="0" borderId="40" xfId="11" applyNumberFormat="1" applyFont="1" applyBorder="1" applyAlignment="1">
      <alignment horizontal="center" vertical="center"/>
    </xf>
    <xf numFmtId="8" fontId="119" fillId="0" borderId="13" xfId="11" applyNumberFormat="1" applyFont="1" applyBorder="1" applyAlignment="1">
      <alignment horizontal="center" vertical="center"/>
    </xf>
    <xf numFmtId="8" fontId="119" fillId="0" borderId="40" xfId="11" applyNumberFormat="1" applyFont="1" applyBorder="1" applyAlignment="1">
      <alignment horizontal="center" vertical="center"/>
    </xf>
    <xf numFmtId="9" fontId="118" fillId="14" borderId="34" xfId="12" applyFont="1" applyFill="1" applyBorder="1" applyAlignment="1">
      <alignment horizontal="center" vertical="center"/>
    </xf>
    <xf numFmtId="9" fontId="118" fillId="14" borderId="3" xfId="12" applyFont="1" applyFill="1" applyBorder="1" applyAlignment="1">
      <alignment horizontal="center" vertical="center"/>
    </xf>
    <xf numFmtId="9" fontId="118" fillId="14" borderId="35" xfId="12" applyFont="1" applyFill="1" applyBorder="1" applyAlignment="1">
      <alignment horizontal="center" vertical="center"/>
    </xf>
    <xf numFmtId="170" fontId="99" fillId="0" borderId="0" xfId="0" applyNumberFormat="1" applyFont="1" applyAlignment="1" applyProtection="1">
      <alignment horizontal="center" vertical="center"/>
      <protection locked="0" hidden="1"/>
    </xf>
    <xf numFmtId="9" fontId="99" fillId="6" borderId="8" xfId="2" applyFont="1" applyFill="1" applyBorder="1" applyAlignment="1" applyProtection="1">
      <alignment horizontal="center"/>
      <protection locked="0" hidden="1"/>
    </xf>
    <xf numFmtId="9" fontId="99" fillId="6" borderId="11" xfId="2" applyFont="1" applyFill="1" applyBorder="1" applyAlignment="1" applyProtection="1">
      <alignment horizontal="center"/>
      <protection locked="0" hidden="1"/>
    </xf>
    <xf numFmtId="8" fontId="0" fillId="0" borderId="0" xfId="0" applyNumberFormat="1" applyProtection="1">
      <protection locked="0" hidden="1"/>
    </xf>
    <xf numFmtId="177" fontId="24" fillId="5" borderId="0" xfId="0" applyNumberFormat="1" applyFont="1" applyFill="1" applyAlignment="1" applyProtection="1">
      <alignment horizontal="left" vertical="center"/>
      <protection locked="0" hidden="1"/>
    </xf>
    <xf numFmtId="171" fontId="128" fillId="0" borderId="0" xfId="1" applyNumberFormat="1" applyFont="1" applyProtection="1">
      <protection locked="0" hidden="1"/>
    </xf>
    <xf numFmtId="197" fontId="0" fillId="0" borderId="0" xfId="0" applyNumberFormat="1" applyProtection="1">
      <protection locked="0" hidden="1"/>
    </xf>
    <xf numFmtId="198" fontId="0" fillId="0" borderId="0" xfId="0" applyNumberFormat="1" applyProtection="1">
      <protection locked="0" hidden="1"/>
    </xf>
    <xf numFmtId="199" fontId="0" fillId="0" borderId="0" xfId="0" applyNumberFormat="1" applyProtection="1">
      <protection locked="0" hidden="1"/>
    </xf>
    <xf numFmtId="0" fontId="130" fillId="0" borderId="13" xfId="0" applyFont="1" applyBorder="1" applyProtection="1">
      <protection locked="0" hidden="1"/>
    </xf>
    <xf numFmtId="171" fontId="26" fillId="0" borderId="0" xfId="0" applyNumberFormat="1" applyFont="1" applyProtection="1">
      <protection locked="0" hidden="1"/>
    </xf>
    <xf numFmtId="170" fontId="0" fillId="0" borderId="0" xfId="0" applyNumberFormat="1" applyProtection="1">
      <protection locked="0" hidden="1"/>
    </xf>
    <xf numFmtId="10" fontId="0" fillId="0" borderId="43" xfId="0" applyNumberFormat="1" applyBorder="1" applyProtection="1">
      <protection locked="0" hidden="1"/>
    </xf>
    <xf numFmtId="170" fontId="129" fillId="0" borderId="35" xfId="0" applyNumberFormat="1" applyFont="1" applyBorder="1" applyProtection="1">
      <protection locked="0" hidden="1"/>
    </xf>
    <xf numFmtId="0" fontId="8" fillId="14" borderId="43" xfId="0" applyFont="1" applyFill="1" applyBorder="1" applyAlignment="1" applyProtection="1">
      <alignment vertical="center"/>
      <protection locked="0" hidden="1"/>
    </xf>
    <xf numFmtId="0" fontId="8" fillId="14" borderId="3" xfId="0" applyFont="1" applyFill="1" applyBorder="1" applyAlignment="1" applyProtection="1">
      <alignment vertical="center"/>
      <protection locked="0" hidden="1"/>
    </xf>
    <xf numFmtId="0" fontId="8" fillId="14" borderId="35" xfId="0" applyFont="1" applyFill="1" applyBorder="1" applyAlignment="1" applyProtection="1">
      <alignment vertical="center"/>
      <protection locked="0" hidden="1"/>
    </xf>
    <xf numFmtId="171" fontId="77" fillId="14" borderId="12" xfId="1" applyNumberFormat="1" applyFont="1" applyFill="1" applyBorder="1" applyAlignment="1" applyProtection="1">
      <alignment vertical="center"/>
      <protection locked="0" hidden="1"/>
    </xf>
    <xf numFmtId="171" fontId="77" fillId="14" borderId="13" xfId="1" applyNumberFormat="1" applyFont="1" applyFill="1" applyBorder="1" applyAlignment="1" applyProtection="1">
      <alignment vertical="center"/>
      <protection locked="0" hidden="1"/>
    </xf>
    <xf numFmtId="171" fontId="77" fillId="14" borderId="40" xfId="1" applyNumberFormat="1" applyFont="1" applyFill="1" applyBorder="1" applyAlignment="1" applyProtection="1">
      <alignment vertical="center"/>
      <protection locked="0" hidden="1"/>
    </xf>
    <xf numFmtId="171" fontId="77" fillId="14" borderId="14" xfId="1" applyNumberFormat="1" applyFont="1" applyFill="1" applyBorder="1" applyAlignment="1" applyProtection="1">
      <alignment vertical="center"/>
      <protection locked="0" hidden="1"/>
    </xf>
    <xf numFmtId="171" fontId="77" fillId="14" borderId="0" xfId="1" applyNumberFormat="1" applyFont="1" applyFill="1" applyAlignment="1" applyProtection="1">
      <alignment vertical="center"/>
      <protection locked="0" hidden="1"/>
    </xf>
    <xf numFmtId="171" fontId="77" fillId="14" borderId="15" xfId="1" applyNumberFormat="1" applyFont="1" applyFill="1" applyBorder="1" applyAlignment="1" applyProtection="1">
      <alignment vertical="center"/>
      <protection locked="0" hidden="1"/>
    </xf>
    <xf numFmtId="171" fontId="77" fillId="14" borderId="42" xfId="1" applyNumberFormat="1" applyFont="1" applyFill="1" applyBorder="1" applyAlignment="1" applyProtection="1">
      <alignment vertical="center"/>
      <protection locked="0" hidden="1"/>
    </xf>
    <xf numFmtId="171" fontId="77" fillId="14" borderId="39" xfId="1" applyNumberFormat="1" applyFont="1" applyFill="1" applyBorder="1" applyAlignment="1" applyProtection="1">
      <alignment vertical="center"/>
      <protection locked="0" hidden="1"/>
    </xf>
    <xf numFmtId="171" fontId="77" fillId="14" borderId="41" xfId="1" applyNumberFormat="1" applyFont="1" applyFill="1" applyBorder="1" applyAlignment="1" applyProtection="1">
      <alignment vertical="center"/>
      <protection locked="0" hidden="1"/>
    </xf>
    <xf numFmtId="170" fontId="129" fillId="0" borderId="0" xfId="0" applyNumberFormat="1" applyFont="1" applyProtection="1">
      <protection locked="0" hidden="1"/>
    </xf>
    <xf numFmtId="171" fontId="23" fillId="0" borderId="39" xfId="1" applyNumberFormat="1" applyFont="1" applyBorder="1" applyProtection="1">
      <protection locked="0" hidden="1"/>
    </xf>
    <xf numFmtId="170" fontId="0" fillId="0" borderId="12" xfId="0" applyNumberFormat="1" applyBorder="1" applyProtection="1">
      <protection locked="0" hidden="1"/>
    </xf>
    <xf numFmtId="170" fontId="129" fillId="0" borderId="40" xfId="0" applyNumberFormat="1" applyFont="1" applyBorder="1" applyProtection="1">
      <protection locked="0" hidden="1"/>
    </xf>
    <xf numFmtId="170" fontId="0" fillId="0" borderId="42" xfId="0" applyNumberFormat="1" applyBorder="1" applyProtection="1">
      <protection locked="0" hidden="1"/>
    </xf>
    <xf numFmtId="170" fontId="129" fillId="0" borderId="41" xfId="0" applyNumberFormat="1" applyFont="1" applyBorder="1" applyProtection="1">
      <protection locked="0" hidden="1"/>
    </xf>
    <xf numFmtId="171" fontId="128" fillId="0" borderId="39" xfId="1" applyNumberFormat="1" applyFont="1" applyBorder="1" applyProtection="1">
      <protection locked="0" hidden="1"/>
    </xf>
    <xf numFmtId="8" fontId="11" fillId="0" borderId="0" xfId="0" applyNumberFormat="1" applyFont="1" applyProtection="1">
      <protection locked="0" hidden="1"/>
    </xf>
    <xf numFmtId="171" fontId="0" fillId="5" borderId="0" xfId="1" applyNumberFormat="1" applyFont="1" applyFill="1" applyProtection="1">
      <protection locked="0" hidden="1"/>
    </xf>
    <xf numFmtId="8" fontId="11" fillId="5" borderId="3" xfId="0" applyNumberFormat="1" applyFont="1" applyFill="1" applyBorder="1" applyProtection="1">
      <protection locked="0" hidden="1"/>
    </xf>
    <xf numFmtId="171" fontId="0" fillId="5" borderId="0" xfId="0" applyNumberFormat="1" applyFill="1" applyProtection="1">
      <protection locked="0" hidden="1"/>
    </xf>
    <xf numFmtId="171" fontId="0" fillId="0" borderId="0" xfId="0" applyNumberFormat="1"/>
    <xf numFmtId="43" fontId="0" fillId="0" borderId="0" xfId="1" applyFont="1"/>
    <xf numFmtId="170" fontId="0" fillId="0" borderId="0" xfId="0" applyNumberFormat="1"/>
    <xf numFmtId="0" fontId="70" fillId="0" borderId="0" xfId="0" applyFont="1" applyAlignment="1" applyProtection="1">
      <alignment horizontal="center"/>
      <protection locked="0" hidden="1"/>
    </xf>
    <xf numFmtId="5" fontId="70" fillId="0" borderId="0" xfId="0" applyNumberFormat="1" applyFont="1" applyAlignment="1" applyProtection="1">
      <alignment horizontal="center"/>
      <protection locked="0" hidden="1"/>
    </xf>
    <xf numFmtId="0" fontId="63" fillId="0" borderId="0" xfId="0" applyFont="1" applyProtection="1">
      <protection locked="0" hidden="1"/>
    </xf>
    <xf numFmtId="0" fontId="63" fillId="0" borderId="0" xfId="0" applyFont="1" applyAlignment="1" applyProtection="1">
      <alignment horizontal="center"/>
      <protection locked="0" hidden="1"/>
    </xf>
    <xf numFmtId="9" fontId="94" fillId="0" borderId="51" xfId="2" applyFont="1" applyBorder="1" applyAlignment="1" applyProtection="1">
      <alignment horizontal="center"/>
      <protection locked="0" hidden="1"/>
    </xf>
    <xf numFmtId="9" fontId="26" fillId="0" borderId="0" xfId="0" applyNumberFormat="1" applyFont="1" applyProtection="1">
      <protection locked="0" hidden="1"/>
    </xf>
    <xf numFmtId="43" fontId="0" fillId="10" borderId="14" xfId="1" applyFont="1" applyFill="1" applyBorder="1" applyAlignment="1" applyProtection="1">
      <alignment horizontal="left"/>
      <protection locked="0" hidden="1"/>
    </xf>
    <xf numFmtId="2" fontId="26" fillId="0" borderId="0" xfId="2" applyNumberFormat="1" applyFont="1" applyAlignment="1" applyProtection="1">
      <alignment horizontal="center"/>
      <protection locked="0" hidden="1"/>
    </xf>
    <xf numFmtId="170" fontId="26" fillId="0" borderId="13" xfId="2" applyNumberFormat="1" applyFont="1" applyBorder="1" applyProtection="1">
      <protection locked="0" hidden="1"/>
    </xf>
    <xf numFmtId="170" fontId="26" fillId="0" borderId="0" xfId="2" applyNumberFormat="1" applyFont="1" applyProtection="1">
      <protection locked="0" hidden="1"/>
    </xf>
    <xf numFmtId="0" fontId="8" fillId="0" borderId="3" xfId="0" applyFont="1" applyBorder="1" applyAlignment="1" applyProtection="1">
      <alignment horizontal="right" vertical="center" wrapText="1"/>
      <protection locked="0" hidden="1"/>
    </xf>
    <xf numFmtId="174" fontId="0" fillId="0" borderId="14" xfId="1" applyNumberFormat="1" applyFont="1" applyBorder="1" applyAlignment="1" applyProtection="1">
      <alignment horizontal="center"/>
      <protection locked="0" hidden="1"/>
    </xf>
    <xf numFmtId="174" fontId="0" fillId="0" borderId="42" xfId="0" applyNumberFormat="1" applyBorder="1" applyProtection="1">
      <protection locked="0" hidden="1"/>
    </xf>
    <xf numFmtId="174" fontId="0" fillId="0" borderId="39" xfId="0" applyNumberFormat="1" applyBorder="1" applyProtection="1">
      <protection locked="0" hidden="1"/>
    </xf>
    <xf numFmtId="38" fontId="0" fillId="0" borderId="0" xfId="0" applyNumberFormat="1" applyProtection="1">
      <protection locked="0" hidden="1"/>
    </xf>
    <xf numFmtId="44" fontId="0" fillId="0" borderId="0" xfId="3" applyFont="1" applyProtection="1">
      <protection locked="0" hidden="1"/>
    </xf>
    <xf numFmtId="191" fontId="0" fillId="0" borderId="0" xfId="3" applyNumberFormat="1" applyFont="1" applyProtection="1">
      <protection locked="0" hidden="1"/>
    </xf>
    <xf numFmtId="191" fontId="0" fillId="0" borderId="0" xfId="0" applyNumberFormat="1" applyProtection="1">
      <protection locked="0" hidden="1"/>
    </xf>
    <xf numFmtId="170" fontId="24" fillId="0" borderId="0" xfId="2" applyNumberFormat="1" applyFont="1" applyProtection="1">
      <protection locked="0" hidden="1"/>
    </xf>
    <xf numFmtId="6" fontId="0" fillId="0" borderId="0" xfId="0" applyNumberFormat="1" applyProtection="1">
      <protection locked="0" hidden="1"/>
    </xf>
    <xf numFmtId="0" fontId="118" fillId="5" borderId="43" xfId="0" applyFont="1" applyFill="1" applyBorder="1" applyAlignment="1">
      <alignment horizontal="right" vertical="center"/>
    </xf>
    <xf numFmtId="0" fontId="124" fillId="5" borderId="3" xfId="0" applyFont="1" applyFill="1" applyBorder="1" applyAlignment="1">
      <alignment horizontal="right" vertical="center"/>
    </xf>
    <xf numFmtId="6" fontId="118" fillId="5" borderId="34" xfId="1" applyNumberFormat="1" applyFont="1" applyFill="1" applyBorder="1" applyAlignment="1">
      <alignment horizontal="center" vertical="center"/>
    </xf>
    <xf numFmtId="6" fontId="118" fillId="5" borderId="3" xfId="1" applyNumberFormat="1" applyFont="1" applyFill="1" applyBorder="1" applyAlignment="1">
      <alignment horizontal="center" vertical="center"/>
    </xf>
    <xf numFmtId="6" fontId="118" fillId="5" borderId="35" xfId="1" applyNumberFormat="1" applyFont="1" applyFill="1" applyBorder="1" applyAlignment="1">
      <alignment horizontal="center" vertical="center"/>
    </xf>
    <xf numFmtId="0" fontId="115" fillId="0" borderId="43" xfId="6" applyFont="1" applyBorder="1"/>
    <xf numFmtId="170" fontId="115" fillId="0" borderId="3" xfId="2" applyNumberFormat="1" applyFont="1" applyBorder="1"/>
    <xf numFmtId="170" fontId="115" fillId="0" borderId="35" xfId="2" applyNumberFormat="1" applyFont="1" applyBorder="1"/>
    <xf numFmtId="170" fontId="115" fillId="0" borderId="0" xfId="2" applyNumberFormat="1" applyFont="1"/>
    <xf numFmtId="0" fontId="8" fillId="0" borderId="36" xfId="0" applyFont="1" applyBorder="1" applyAlignment="1" applyProtection="1">
      <alignment horizontal="center" vertical="top"/>
      <protection locked="0" hidden="1"/>
    </xf>
    <xf numFmtId="9" fontId="94" fillId="0" borderId="38" xfId="0" applyNumberFormat="1" applyFont="1" applyBorder="1" applyAlignment="1" applyProtection="1">
      <alignment horizontal="center" vertical="top"/>
      <protection locked="0" hidden="1"/>
    </xf>
    <xf numFmtId="5" fontId="37" fillId="23" borderId="0" xfId="0" applyNumberFormat="1" applyFont="1" applyFill="1" applyAlignment="1" applyProtection="1">
      <alignment horizontal="center" vertical="center"/>
      <protection locked="0" hidden="1"/>
    </xf>
    <xf numFmtId="5" fontId="37" fillId="23" borderId="8" xfId="0" applyNumberFormat="1" applyFont="1" applyFill="1" applyBorder="1" applyAlignment="1" applyProtection="1">
      <alignment horizontal="center" vertical="center"/>
      <protection locked="0" hidden="1"/>
    </xf>
    <xf numFmtId="5" fontId="37" fillId="23" borderId="39" xfId="0" applyNumberFormat="1" applyFont="1" applyFill="1" applyBorder="1" applyAlignment="1" applyProtection="1">
      <alignment horizontal="center" vertical="center"/>
      <protection locked="0" hidden="1"/>
    </xf>
    <xf numFmtId="5" fontId="37" fillId="23" borderId="47" xfId="0" applyNumberFormat="1" applyFont="1" applyFill="1" applyBorder="1" applyAlignment="1" applyProtection="1">
      <alignment horizontal="center" vertical="center"/>
      <protection locked="0" hidden="1"/>
    </xf>
    <xf numFmtId="5" fontId="0" fillId="23" borderId="0" xfId="0" applyNumberFormat="1" applyFill="1" applyAlignment="1" applyProtection="1">
      <alignment horizontal="center" vertical="center"/>
      <protection locked="0" hidden="1"/>
    </xf>
    <xf numFmtId="9" fontId="0" fillId="23" borderId="38" xfId="0" applyNumberFormat="1" applyFill="1" applyBorder="1" applyAlignment="1" applyProtection="1">
      <alignment horizontal="center"/>
      <protection locked="0" hidden="1"/>
    </xf>
    <xf numFmtId="0" fontId="8" fillId="0" borderId="0" xfId="0" applyFont="1" applyAlignment="1" applyProtection="1">
      <alignment horizontal="center"/>
      <protection locked="0" hidden="1"/>
    </xf>
    <xf numFmtId="170" fontId="26" fillId="0" borderId="0" xfId="0" applyNumberFormat="1" applyFont="1" applyProtection="1">
      <protection locked="0" hidden="1"/>
    </xf>
    <xf numFmtId="17" fontId="0" fillId="0" borderId="0" xfId="0" applyNumberFormat="1"/>
    <xf numFmtId="171" fontId="63" fillId="0" borderId="0" xfId="1" applyNumberFormat="1" applyFont="1" applyProtection="1">
      <protection locked="0" hidden="1"/>
    </xf>
    <xf numFmtId="171" fontId="63" fillId="0" borderId="39" xfId="1" applyNumberFormat="1" applyFont="1" applyBorder="1" applyProtection="1">
      <protection locked="0" hidden="1"/>
    </xf>
    <xf numFmtId="171" fontId="63" fillId="0" borderId="0" xfId="0" applyNumberFormat="1" applyFont="1"/>
    <xf numFmtId="171" fontId="0" fillId="0" borderId="39" xfId="0" applyNumberFormat="1" applyBorder="1"/>
    <xf numFmtId="171" fontId="131" fillId="0" borderId="0" xfId="0" applyNumberFormat="1" applyFont="1"/>
    <xf numFmtId="171" fontId="131" fillId="0" borderId="39" xfId="0" applyNumberFormat="1" applyFont="1" applyBorder="1"/>
    <xf numFmtId="0" fontId="8" fillId="0" borderId="0" xfId="0" applyFont="1" applyAlignment="1">
      <alignment horizontal="right"/>
    </xf>
    <xf numFmtId="43" fontId="99" fillId="0" borderId="0" xfId="0" applyNumberFormat="1" applyFont="1" applyAlignment="1" applyProtection="1">
      <alignment horizontal="center" vertical="center"/>
      <protection locked="0" hidden="1"/>
    </xf>
    <xf numFmtId="2" fontId="0" fillId="0" borderId="0" xfId="0" applyNumberFormat="1" applyProtection="1">
      <protection locked="0" hidden="1"/>
    </xf>
    <xf numFmtId="2" fontId="0" fillId="0" borderId="15" xfId="0" applyNumberFormat="1" applyBorder="1" applyProtection="1">
      <protection locked="0" hidden="1"/>
    </xf>
    <xf numFmtId="171" fontId="0" fillId="0" borderId="36" xfId="1" applyNumberFormat="1" applyFont="1" applyBorder="1" applyProtection="1">
      <protection locked="0" hidden="1"/>
    </xf>
    <xf numFmtId="171" fontId="0" fillId="0" borderId="38" xfId="1" applyNumberFormat="1" applyFont="1" applyBorder="1" applyProtection="1">
      <protection locked="0" hidden="1"/>
    </xf>
    <xf numFmtId="9" fontId="115" fillId="0" borderId="0" xfId="2" applyFont="1"/>
    <xf numFmtId="192" fontId="97" fillId="0" borderId="10" xfId="0" applyNumberFormat="1" applyFont="1" applyBorder="1" applyAlignment="1" applyProtection="1">
      <alignment horizontal="center"/>
      <protection locked="0" hidden="1"/>
    </xf>
    <xf numFmtId="0" fontId="1" fillId="0" borderId="0" xfId="17"/>
    <xf numFmtId="14" fontId="1" fillId="0" borderId="0" xfId="17" applyNumberFormat="1"/>
    <xf numFmtId="19" fontId="1" fillId="0" borderId="0" xfId="17" applyNumberFormat="1"/>
    <xf numFmtId="0" fontId="1" fillId="24" borderId="0" xfId="17" applyFill="1"/>
    <xf numFmtId="0" fontId="1" fillId="5" borderId="0" xfId="17" applyFill="1"/>
    <xf numFmtId="8" fontId="1" fillId="0" borderId="0" xfId="17" applyNumberFormat="1"/>
    <xf numFmtId="8" fontId="132" fillId="0" borderId="0" xfId="17" applyNumberFormat="1" applyFont="1"/>
    <xf numFmtId="0" fontId="132" fillId="0" borderId="0" xfId="17" applyFont="1"/>
    <xf numFmtId="0" fontId="7" fillId="0" borderId="0" xfId="18"/>
    <xf numFmtId="0" fontId="8" fillId="0" borderId="12" xfId="17" applyFont="1" applyBorder="1"/>
    <xf numFmtId="0" fontId="1" fillId="0" borderId="40" xfId="17" applyBorder="1"/>
    <xf numFmtId="6" fontId="8" fillId="5" borderId="0" xfId="18" applyNumberFormat="1" applyFont="1" applyFill="1"/>
    <xf numFmtId="0" fontId="1" fillId="0" borderId="14" xfId="17" applyBorder="1"/>
    <xf numFmtId="43" fontId="0" fillId="0" borderId="15" xfId="19" applyFont="1" applyBorder="1"/>
    <xf numFmtId="0" fontId="8" fillId="0" borderId="43" xfId="17" applyFont="1" applyBorder="1"/>
    <xf numFmtId="43" fontId="8" fillId="0" borderId="35" xfId="17" applyNumberFormat="1" applyFont="1" applyBorder="1"/>
    <xf numFmtId="200" fontId="1" fillId="0" borderId="0" xfId="17" applyNumberFormat="1"/>
    <xf numFmtId="43" fontId="1" fillId="0" borderId="0" xfId="1" applyFont="1"/>
    <xf numFmtId="0" fontId="97" fillId="0" borderId="7" xfId="0" applyFont="1" applyBorder="1" applyAlignment="1" applyProtection="1">
      <alignment horizontal="center"/>
      <protection locked="0" hidden="1"/>
    </xf>
    <xf numFmtId="192" fontId="97" fillId="0" borderId="7" xfId="0" applyNumberFormat="1" applyFont="1" applyBorder="1" applyAlignment="1" applyProtection="1">
      <alignment horizontal="center"/>
      <protection locked="0" hidden="1"/>
    </xf>
    <xf numFmtId="192" fontId="97" fillId="0" borderId="9" xfId="0" applyNumberFormat="1" applyFont="1" applyBorder="1" applyAlignment="1" applyProtection="1">
      <alignment horizontal="center"/>
      <protection locked="0" hidden="1"/>
    </xf>
    <xf numFmtId="178" fontId="97" fillId="0" borderId="14" xfId="0" applyNumberFormat="1" applyFont="1" applyBorder="1" applyAlignment="1" applyProtection="1">
      <alignment horizontal="center"/>
      <protection locked="0" hidden="1"/>
    </xf>
    <xf numFmtId="1" fontId="0" fillId="5" borderId="0" xfId="0" applyNumberFormat="1" applyFill="1" applyProtection="1">
      <protection locked="0" hidden="1"/>
    </xf>
    <xf numFmtId="1" fontId="0" fillId="5" borderId="15" xfId="0" applyNumberFormat="1" applyFill="1" applyBorder="1" applyProtection="1">
      <protection locked="0" hidden="1"/>
    </xf>
    <xf numFmtId="174" fontId="0" fillId="5" borderId="13" xfId="1" applyNumberFormat="1" applyFont="1" applyFill="1" applyBorder="1" applyProtection="1">
      <protection locked="0" hidden="1"/>
    </xf>
    <xf numFmtId="174" fontId="0" fillId="5" borderId="0" xfId="1" applyNumberFormat="1" applyFont="1" applyFill="1" applyProtection="1">
      <protection locked="0" hidden="1"/>
    </xf>
    <xf numFmtId="0" fontId="99" fillId="0" borderId="0" xfId="1" applyNumberFormat="1" applyFont="1" applyAlignment="1" applyProtection="1">
      <alignment horizontal="center"/>
      <protection locked="0" hidden="1"/>
    </xf>
    <xf numFmtId="0" fontId="63" fillId="0" borderId="0" xfId="1" applyNumberFormat="1" applyFont="1" applyAlignment="1" applyProtection="1">
      <alignment horizontal="center"/>
      <protection locked="0" hidden="1"/>
    </xf>
    <xf numFmtId="0" fontId="8" fillId="14" borderId="43" xfId="0" applyFont="1" applyFill="1" applyBorder="1" applyAlignment="1" applyProtection="1">
      <alignment horizontal="center" vertical="center"/>
      <protection locked="0" hidden="1"/>
    </xf>
    <xf numFmtId="0" fontId="8" fillId="14" borderId="3" xfId="0" applyFont="1" applyFill="1" applyBorder="1" applyAlignment="1" applyProtection="1">
      <alignment horizontal="center" vertical="center"/>
      <protection locked="0" hidden="1"/>
    </xf>
    <xf numFmtId="0" fontId="8" fillId="14" borderId="35" xfId="0" applyFont="1" applyFill="1" applyBorder="1" applyAlignment="1" applyProtection="1">
      <alignment horizontal="center" vertical="center"/>
      <protection locked="0" hidden="1"/>
    </xf>
    <xf numFmtId="171" fontId="77" fillId="14" borderId="12" xfId="1" applyNumberFormat="1" applyFont="1" applyFill="1" applyBorder="1" applyAlignment="1" applyProtection="1">
      <alignment horizontal="center" vertical="center"/>
      <protection locked="0" hidden="1"/>
    </xf>
    <xf numFmtId="171" fontId="77" fillId="14" borderId="13" xfId="1" applyNumberFormat="1" applyFont="1" applyFill="1" applyBorder="1" applyAlignment="1" applyProtection="1">
      <alignment horizontal="center" vertical="center"/>
      <protection locked="0" hidden="1"/>
    </xf>
    <xf numFmtId="171" fontId="77" fillId="14" borderId="40" xfId="1" applyNumberFormat="1" applyFont="1" applyFill="1" applyBorder="1" applyAlignment="1" applyProtection="1">
      <alignment horizontal="center" vertical="center"/>
      <protection locked="0" hidden="1"/>
    </xf>
    <xf numFmtId="171" fontId="77" fillId="14" borderId="14" xfId="1" applyNumberFormat="1" applyFont="1" applyFill="1" applyBorder="1" applyAlignment="1" applyProtection="1">
      <alignment horizontal="center" vertical="center"/>
      <protection locked="0" hidden="1"/>
    </xf>
    <xf numFmtId="171" fontId="77" fillId="14" borderId="0" xfId="1" applyNumberFormat="1" applyFont="1" applyFill="1" applyAlignment="1" applyProtection="1">
      <alignment horizontal="center" vertical="center"/>
      <protection locked="0" hidden="1"/>
    </xf>
    <xf numFmtId="171" fontId="77" fillId="14" borderId="15" xfId="1" applyNumberFormat="1" applyFont="1" applyFill="1" applyBorder="1" applyAlignment="1" applyProtection="1">
      <alignment horizontal="center" vertical="center"/>
      <protection locked="0" hidden="1"/>
    </xf>
    <xf numFmtId="171" fontId="77" fillId="14" borderId="42" xfId="1" applyNumberFormat="1" applyFont="1" applyFill="1" applyBorder="1" applyAlignment="1" applyProtection="1">
      <alignment horizontal="center" vertical="center"/>
      <protection locked="0" hidden="1"/>
    </xf>
    <xf numFmtId="171" fontId="77" fillId="14" borderId="39" xfId="1" applyNumberFormat="1" applyFont="1" applyFill="1" applyBorder="1" applyAlignment="1" applyProtection="1">
      <alignment horizontal="center" vertical="center"/>
      <protection locked="0" hidden="1"/>
    </xf>
    <xf numFmtId="171" fontId="77" fillId="14" borderId="41" xfId="1" applyNumberFormat="1" applyFont="1" applyFill="1" applyBorder="1" applyAlignment="1" applyProtection="1">
      <alignment horizontal="center" vertical="center"/>
      <protection locked="0" hidden="1"/>
    </xf>
    <xf numFmtId="0" fontId="8" fillId="15" borderId="34" xfId="0" applyFont="1" applyFill="1" applyBorder="1" applyAlignment="1" applyProtection="1">
      <alignment horizontal="center"/>
      <protection locked="0" hidden="1"/>
    </xf>
    <xf numFmtId="43" fontId="0" fillId="0" borderId="52" xfId="1" applyFont="1" applyBorder="1" applyAlignment="1" applyProtection="1">
      <alignment horizontal="center" vertical="center" wrapText="1"/>
      <protection locked="0" hidden="1"/>
    </xf>
    <xf numFmtId="43" fontId="0" fillId="0" borderId="51" xfId="1" applyFont="1" applyBorder="1" applyAlignment="1" applyProtection="1">
      <alignment horizontal="center" vertical="center" wrapText="1"/>
      <protection locked="0" hidden="1"/>
    </xf>
    <xf numFmtId="43" fontId="0" fillId="0" borderId="53" xfId="1" applyFont="1" applyBorder="1" applyAlignment="1" applyProtection="1">
      <alignment horizontal="center" vertical="center" wrapText="1"/>
      <protection locked="0" hidden="1"/>
    </xf>
    <xf numFmtId="0" fontId="8" fillId="0" borderId="52" xfId="0" applyFont="1" applyBorder="1" applyAlignment="1" applyProtection="1">
      <alignment horizontal="center" vertical="center" wrapText="1"/>
      <protection locked="0" hidden="1"/>
    </xf>
    <xf numFmtId="0" fontId="8" fillId="0" borderId="51" xfId="0" applyFont="1" applyBorder="1" applyAlignment="1" applyProtection="1">
      <alignment horizontal="center" vertical="center" wrapText="1"/>
      <protection locked="0" hidden="1"/>
    </xf>
    <xf numFmtId="0" fontId="8" fillId="0" borderId="53" xfId="0" applyFont="1" applyBorder="1" applyAlignment="1" applyProtection="1">
      <alignment horizontal="center" vertical="center" wrapText="1"/>
      <protection locked="0" hidden="1"/>
    </xf>
    <xf numFmtId="43" fontId="8" fillId="0" borderId="52" xfId="1" applyFont="1" applyBorder="1" applyAlignment="1" applyProtection="1">
      <alignment horizontal="center" wrapText="1"/>
      <protection locked="0" hidden="1"/>
    </xf>
    <xf numFmtId="43" fontId="8" fillId="0" borderId="51" xfId="1" applyFont="1" applyBorder="1" applyAlignment="1" applyProtection="1">
      <alignment horizontal="center" wrapText="1"/>
      <protection locked="0" hidden="1"/>
    </xf>
    <xf numFmtId="43" fontId="8" fillId="0" borderId="53" xfId="1" applyFont="1" applyBorder="1" applyAlignment="1" applyProtection="1">
      <alignment horizontal="center" wrapText="1"/>
      <protection locked="0" hidden="1"/>
    </xf>
    <xf numFmtId="43" fontId="8" fillId="0" borderId="52" xfId="1" applyFont="1" applyBorder="1" applyAlignment="1" applyProtection="1">
      <alignment horizontal="center" vertical="center" wrapText="1"/>
      <protection locked="0" hidden="1"/>
    </xf>
    <xf numFmtId="43" fontId="8" fillId="0" borderId="51" xfId="1" applyFont="1" applyBorder="1" applyAlignment="1" applyProtection="1">
      <alignment horizontal="center" vertical="center" wrapText="1"/>
      <protection locked="0" hidden="1"/>
    </xf>
    <xf numFmtId="43" fontId="8" fillId="0" borderId="53" xfId="1" applyFont="1" applyBorder="1" applyAlignment="1" applyProtection="1">
      <alignment horizontal="center" vertical="center" wrapText="1"/>
      <protection locked="0" hidden="1"/>
    </xf>
    <xf numFmtId="167" fontId="24" fillId="2" borderId="2" xfId="0" applyNumberFormat="1" applyFont="1" applyFill="1" applyBorder="1" applyAlignment="1" applyProtection="1">
      <alignment horizontal="right"/>
      <protection locked="0" hidden="1"/>
    </xf>
    <xf numFmtId="0" fontId="8" fillId="0" borderId="4" xfId="0" applyFont="1" applyBorder="1" applyAlignment="1" applyProtection="1">
      <alignment horizontal="center" vertical="center" wrapText="1"/>
      <protection locked="0" hidden="1"/>
    </xf>
    <xf numFmtId="0" fontId="8" fillId="0" borderId="7" xfId="0" applyFont="1" applyBorder="1" applyAlignment="1" applyProtection="1">
      <alignment horizontal="center" vertical="center" wrapText="1"/>
      <protection locked="0" hidden="1"/>
    </xf>
    <xf numFmtId="0" fontId="8" fillId="0" borderId="9" xfId="0" applyFont="1" applyBorder="1" applyAlignment="1" applyProtection="1">
      <alignment horizontal="center" vertical="center" wrapText="1"/>
      <protection locked="0" hidden="1"/>
    </xf>
    <xf numFmtId="0" fontId="0" fillId="0" borderId="16" xfId="0" applyBorder="1" applyAlignment="1" applyProtection="1">
      <alignment horizontal="center" vertical="center"/>
      <protection locked="0" hidden="1"/>
    </xf>
    <xf numFmtId="0" fontId="0" fillId="0" borderId="15" xfId="0" applyBorder="1" applyAlignment="1" applyProtection="1">
      <alignment horizontal="center" vertical="center"/>
      <protection locked="0" hidden="1"/>
    </xf>
    <xf numFmtId="0" fontId="0" fillId="0" borderId="19" xfId="0" applyBorder="1" applyAlignment="1" applyProtection="1">
      <alignment horizontal="center" vertical="center"/>
      <protection locked="0" hidden="1"/>
    </xf>
    <xf numFmtId="5" fontId="0" fillId="10" borderId="10" xfId="0" applyNumberFormat="1" applyFill="1" applyBorder="1" applyAlignment="1" applyProtection="1">
      <alignment horizontal="center"/>
      <protection locked="0" hidden="1"/>
    </xf>
    <xf numFmtId="5" fontId="0" fillId="10" borderId="0" xfId="0" applyNumberFormat="1" applyFill="1" applyAlignment="1" applyProtection="1">
      <alignment horizontal="center"/>
      <protection locked="0" hidden="1"/>
    </xf>
    <xf numFmtId="5" fontId="40" fillId="10" borderId="0" xfId="0" applyNumberFormat="1" applyFont="1" applyFill="1" applyAlignment="1" applyProtection="1">
      <alignment horizontal="center"/>
      <protection locked="0" hidden="1"/>
    </xf>
    <xf numFmtId="0" fontId="54" fillId="4" borderId="49" xfId="0" applyFont="1" applyFill="1" applyBorder="1" applyAlignment="1" applyProtection="1">
      <alignment horizontal="center" vertical="center" wrapText="1"/>
      <protection locked="0" hidden="1"/>
    </xf>
    <xf numFmtId="0" fontId="54" fillId="4" borderId="50" xfId="0" applyFont="1" applyFill="1" applyBorder="1" applyAlignment="1" applyProtection="1">
      <alignment horizontal="center" vertical="center" wrapText="1"/>
      <protection locked="0" hidden="1"/>
    </xf>
    <xf numFmtId="0" fontId="54" fillId="4" borderId="61" xfId="0" applyFont="1" applyFill="1" applyBorder="1" applyAlignment="1" applyProtection="1">
      <alignment horizontal="center" vertical="center" wrapText="1"/>
      <protection locked="0" hidden="1"/>
    </xf>
    <xf numFmtId="0" fontId="54" fillId="4" borderId="4" xfId="0" applyFont="1" applyFill="1" applyBorder="1" applyAlignment="1" applyProtection="1">
      <alignment horizontal="center" vertical="center" wrapText="1"/>
      <protection locked="0" hidden="1"/>
    </xf>
    <xf numFmtId="0" fontId="54" fillId="4" borderId="7" xfId="0" applyFont="1" applyFill="1" applyBorder="1" applyAlignment="1" applyProtection="1">
      <alignment horizontal="center" vertical="center" wrapText="1"/>
      <protection locked="0" hidden="1"/>
    </xf>
    <xf numFmtId="0" fontId="54" fillId="4" borderId="9" xfId="0" applyFont="1" applyFill="1" applyBorder="1" applyAlignment="1" applyProtection="1">
      <alignment horizontal="center" vertical="center" wrapText="1"/>
      <protection locked="0" hidden="1"/>
    </xf>
    <xf numFmtId="43" fontId="0" fillId="0" borderId="36" xfId="0" applyNumberFormat="1" applyBorder="1" applyAlignment="1" applyProtection="1">
      <alignment horizontal="center" vertical="center" wrapText="1"/>
      <protection locked="0" hidden="1"/>
    </xf>
    <xf numFmtId="0" fontId="0" fillId="0" borderId="38" xfId="0" applyBorder="1" applyAlignment="1" applyProtection="1">
      <alignment horizontal="center" vertical="center" wrapText="1"/>
      <protection locked="0" hidden="1"/>
    </xf>
    <xf numFmtId="9" fontId="66" fillId="0" borderId="36" xfId="2" applyFont="1" applyBorder="1" applyAlignment="1" applyProtection="1">
      <alignment horizontal="center" vertical="center" textRotation="90"/>
      <protection locked="0" hidden="1"/>
    </xf>
    <xf numFmtId="9" fontId="66" fillId="0" borderId="37" xfId="2" applyFont="1" applyBorder="1" applyAlignment="1" applyProtection="1">
      <alignment horizontal="center" vertical="center" textRotation="90"/>
      <protection locked="0" hidden="1"/>
    </xf>
    <xf numFmtId="9" fontId="66" fillId="0" borderId="38" xfId="2" applyFont="1" applyBorder="1" applyAlignment="1" applyProtection="1">
      <alignment horizontal="center" vertical="center" textRotation="90"/>
      <protection locked="0" hidden="1"/>
    </xf>
    <xf numFmtId="0" fontId="0" fillId="0" borderId="0" xfId="0" applyAlignment="1" applyProtection="1">
      <alignment horizontal="left" wrapText="1"/>
      <protection locked="0" hidden="1"/>
    </xf>
    <xf numFmtId="43" fontId="0" fillId="0" borderId="36" xfId="1" applyFont="1" applyBorder="1" applyAlignment="1" applyProtection="1">
      <alignment horizontal="center" vertical="center" wrapText="1"/>
      <protection locked="0" hidden="1"/>
    </xf>
    <xf numFmtId="43" fontId="0" fillId="0" borderId="37" xfId="1" applyFont="1" applyBorder="1" applyAlignment="1" applyProtection="1">
      <alignment horizontal="center" vertical="center" wrapText="1"/>
      <protection locked="0" hidden="1"/>
    </xf>
    <xf numFmtId="43" fontId="0" fillId="0" borderId="38" xfId="1" applyFont="1" applyBorder="1" applyAlignment="1" applyProtection="1">
      <alignment horizontal="center" vertical="center" wrapText="1"/>
      <protection locked="0" hidden="1"/>
    </xf>
    <xf numFmtId="0" fontId="28" fillId="0" borderId="0" xfId="0" applyFont="1" applyAlignment="1" applyProtection="1">
      <alignment horizontal="left" vertical="top" wrapText="1"/>
      <protection locked="0" hidden="1"/>
    </xf>
    <xf numFmtId="0" fontId="28" fillId="0" borderId="27" xfId="0" applyFont="1" applyBorder="1" applyAlignment="1" applyProtection="1">
      <alignment horizontal="left" vertical="top" wrapText="1"/>
      <protection locked="0" hidden="1"/>
    </xf>
    <xf numFmtId="0" fontId="28" fillId="0" borderId="26" xfId="0" applyFont="1" applyBorder="1" applyAlignment="1" applyProtection="1">
      <alignment horizontal="left" vertical="top" wrapText="1"/>
      <protection locked="0" hidden="1"/>
    </xf>
    <xf numFmtId="0" fontId="28" fillId="0" borderId="8" xfId="0" applyFont="1" applyBorder="1" applyAlignment="1" applyProtection="1">
      <alignment horizontal="left" vertical="top" wrapText="1"/>
      <protection locked="0" hidden="1"/>
    </xf>
    <xf numFmtId="0" fontId="28" fillId="0" borderId="7" xfId="0" applyFont="1" applyBorder="1" applyAlignment="1" applyProtection="1">
      <alignment horizontal="left" vertical="top" wrapText="1"/>
      <protection locked="0" hidden="1"/>
    </xf>
    <xf numFmtId="43" fontId="9" fillId="0" borderId="0" xfId="1" applyFont="1" applyAlignment="1" applyProtection="1">
      <alignment horizontal="center"/>
      <protection locked="0" hidden="1"/>
    </xf>
    <xf numFmtId="43" fontId="9" fillId="0" borderId="12" xfId="1" applyFont="1" applyBorder="1" applyProtection="1">
      <protection locked="0" hidden="1"/>
    </xf>
    <xf numFmtId="43" fontId="9" fillId="0" borderId="13" xfId="1" applyFont="1" applyBorder="1" applyProtection="1">
      <protection locked="0" hidden="1"/>
    </xf>
    <xf numFmtId="0" fontId="0" fillId="0" borderId="0" xfId="0" applyAlignment="1" applyProtection="1">
      <alignment horizontal="center"/>
      <protection locked="0" hidden="1"/>
    </xf>
  </cellXfs>
  <cellStyles count="20">
    <cellStyle name="Comma" xfId="1" builtinId="3"/>
    <cellStyle name="Comma 2" xfId="7"/>
    <cellStyle name="Comma 3" xfId="11"/>
    <cellStyle name="Comma 4" xfId="14"/>
    <cellStyle name="Comma 4 2" xfId="19"/>
    <cellStyle name="Currency" xfId="3" builtinId="4"/>
    <cellStyle name="Hyperlink" xfId="4" builtinId="8"/>
    <cellStyle name="Normal" xfId="0" builtinId="0"/>
    <cellStyle name="Normal 2" xfId="6"/>
    <cellStyle name="Normal 3" xfId="9"/>
    <cellStyle name="Normal 4" xfId="10"/>
    <cellStyle name="Normal 5" xfId="13"/>
    <cellStyle name="Normal 5 2" xfId="18"/>
    <cellStyle name="Normal 6" xfId="15"/>
    <cellStyle name="Normal 7" xfId="16"/>
    <cellStyle name="Normal 8" xfId="17"/>
    <cellStyle name="Percent" xfId="2" builtinId="5"/>
    <cellStyle name="Percent 2" xfId="8"/>
    <cellStyle name="Percent 3" xfId="12"/>
    <cellStyle name="STYLE4_Worksheet in F: Groups Finance Projects Eric Projects Quarterly Packets Q4 2007 WBEV Annual Review 2007" xfId="5"/>
  </cellStyles>
  <dxfs count="179"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  <border>
        <left/>
        <right/>
        <top/>
        <bottom/>
        <vertical/>
        <horizontal/>
      </border>
    </dxf>
    <dxf>
      <font>
        <color theme="0"/>
      </font>
    </dxf>
    <dxf>
      <font>
        <color theme="0"/>
      </font>
      <border>
        <left/>
        <right/>
        <top/>
        <bottom/>
        <vertical/>
        <horizontal/>
      </border>
    </dxf>
    <dxf>
      <font>
        <color theme="0"/>
      </font>
    </dxf>
    <dxf>
      <font>
        <color theme="0"/>
      </font>
      <border>
        <left/>
        <right/>
        <top/>
        <bottom/>
        <vertical/>
        <horizontal/>
      </border>
    </dxf>
    <dxf>
      <font>
        <color theme="0"/>
      </font>
      <border>
        <left/>
        <right/>
        <top/>
        <bottom/>
        <vertical/>
        <horizontal/>
      </border>
    </dxf>
    <dxf>
      <font>
        <color theme="0"/>
      </font>
      <border>
        <vertical/>
        <horizontal/>
      </border>
    </dxf>
    <dxf>
      <font>
        <color theme="0"/>
      </font>
      <border>
        <left/>
        <right/>
        <top/>
        <bottom/>
        <vertical/>
        <horizontal/>
      </border>
    </dxf>
    <dxf>
      <font>
        <color theme="1" tint="0.499984740745262"/>
      </font>
    </dxf>
    <dxf>
      <font>
        <color rgb="FFCCFFFF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1" tint="0.499984740745262"/>
      </font>
    </dxf>
    <dxf>
      <font>
        <color theme="1" tint="0.499984740745262"/>
      </font>
    </dxf>
    <dxf>
      <font>
        <color theme="0"/>
      </font>
    </dxf>
    <dxf>
      <font>
        <color theme="0"/>
      </font>
    </dxf>
    <dxf>
      <font>
        <color rgb="FFCCFFFF"/>
      </font>
    </dxf>
    <dxf>
      <font>
        <color theme="1" tint="0.499984740745262"/>
      </font>
    </dxf>
    <dxf>
      <font>
        <color theme="0"/>
      </font>
    </dxf>
    <dxf>
      <font>
        <color theme="0"/>
      </font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border>
        <left/>
        <right/>
        <top/>
        <bottom/>
        <vertical/>
        <horizontal/>
      </border>
    </dxf>
    <dxf>
      <font>
        <color theme="0"/>
      </font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border>
        <left/>
        <right/>
        <top/>
        <bottom/>
        <vertical/>
        <horizontal/>
      </border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  <border>
        <left/>
        <right/>
        <top/>
        <bottom/>
        <vertical/>
        <horizontal/>
      </border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rgb="FFFFFF00"/>
      </font>
      <fill>
        <patternFill>
          <bgColor rgb="FFFF0000"/>
        </patternFill>
      </fill>
    </dxf>
    <dxf>
      <font>
        <color rgb="FFCCFFFF"/>
      </font>
    </dxf>
    <dxf>
      <font>
        <color theme="1"/>
      </font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CCFFFF"/>
      </font>
    </dxf>
    <dxf>
      <font>
        <color theme="0"/>
      </font>
    </dxf>
    <dxf>
      <font>
        <color theme="0"/>
      </font>
    </dxf>
    <dxf>
      <font>
        <color theme="4" tint="-0.24994659260841701"/>
      </font>
      <fill>
        <patternFill>
          <bgColor rgb="FFFFFFCC"/>
        </patternFill>
      </fill>
    </dxf>
    <dxf>
      <font>
        <color theme="1"/>
      </font>
    </dxf>
    <dxf>
      <font>
        <color rgb="FFCCFFFF"/>
      </font>
    </dxf>
    <dxf>
      <font>
        <b/>
        <i/>
        <color rgb="FFFFFF00"/>
      </font>
      <fill>
        <patternFill>
          <bgColor rgb="FFFF0000"/>
        </patternFill>
      </fill>
    </dxf>
    <dxf>
      <font>
        <color rgb="FFCCFFFF"/>
      </font>
    </dxf>
    <dxf>
      <font>
        <color rgb="FFCCFFFF"/>
      </font>
    </dxf>
    <dxf>
      <font>
        <color theme="0"/>
      </font>
      <fill>
        <patternFill>
          <bgColor theme="0"/>
        </patternFill>
      </fill>
    </dxf>
    <dxf>
      <font>
        <color theme="4" tint="-0.24994659260841701"/>
      </font>
      <fill>
        <patternFill>
          <bgColor rgb="FFFFFFCC"/>
        </patternFill>
      </fill>
    </dxf>
    <dxf>
      <font>
        <color theme="0"/>
      </font>
    </dxf>
    <dxf>
      <font>
        <color theme="4" tint="-0.24994659260841701"/>
      </font>
      <fill>
        <patternFill>
          <bgColor rgb="FFFFFFCC"/>
        </patternFill>
      </fill>
    </dxf>
    <dxf>
      <font>
        <color theme="4" tint="-0.24994659260841701"/>
      </font>
      <fill>
        <patternFill>
          <bgColor rgb="FFFFFFCC"/>
        </patternFill>
      </fill>
    </dxf>
    <dxf>
      <font>
        <color theme="1"/>
      </font>
      <fill>
        <patternFill>
          <bgColor rgb="FFFFFFCC"/>
        </patternFill>
      </fill>
    </dxf>
    <dxf>
      <font>
        <color theme="1"/>
      </font>
    </dxf>
    <dxf>
      <font>
        <color theme="1"/>
      </font>
    </dxf>
    <dxf>
      <font>
        <color theme="4" tint="-0.24994659260841701"/>
      </font>
      <fill>
        <patternFill>
          <bgColor rgb="FFFFFFCC"/>
        </patternFill>
      </fill>
    </dxf>
    <dxf>
      <font>
        <color theme="6" tint="0.79998168889431442"/>
      </font>
    </dxf>
    <dxf>
      <font>
        <color theme="4" tint="-0.24994659260841701"/>
      </font>
      <fill>
        <patternFill>
          <bgColor rgb="FFFFFFCC"/>
        </patternFill>
      </fill>
    </dxf>
    <dxf>
      <font>
        <color theme="4" tint="-0.24994659260841701"/>
      </font>
      <fill>
        <patternFill>
          <bgColor rgb="FFFFFFCC"/>
        </patternFill>
      </fill>
    </dxf>
    <dxf>
      <font>
        <color theme="4" tint="-0.24994659260841701"/>
      </font>
      <fill>
        <patternFill>
          <bgColor rgb="FFFFFFCC"/>
        </patternFill>
      </fill>
    </dxf>
    <dxf>
      <font>
        <color theme="4" tint="-0.24994659260841701"/>
      </font>
    </dxf>
    <dxf>
      <font>
        <color theme="0"/>
      </font>
    </dxf>
    <dxf>
      <font>
        <color theme="1"/>
      </font>
    </dxf>
    <dxf>
      <font>
        <color theme="0"/>
      </font>
    </dxf>
    <dxf>
      <font>
        <color theme="1"/>
      </font>
    </dxf>
    <dxf>
      <font>
        <color theme="4" tint="-0.24994659260841701"/>
      </font>
      <fill>
        <patternFill>
          <bgColor rgb="FFFFFFCC"/>
        </patternFill>
      </fill>
    </dxf>
    <dxf>
      <font>
        <color rgb="FFFFFF00"/>
      </font>
      <fill>
        <patternFill>
          <bgColor rgb="FFFF0000"/>
        </patternFill>
      </fill>
    </dxf>
    <dxf>
      <font>
        <color theme="0"/>
      </font>
    </dxf>
    <dxf>
      <font>
        <color theme="4" tint="-0.24994659260841701"/>
      </font>
      <fill>
        <patternFill>
          <bgColor rgb="FFFFFFCC"/>
        </patternFill>
      </fill>
    </dxf>
    <dxf>
      <font>
        <color theme="4" tint="-0.24994659260841701"/>
      </font>
    </dxf>
    <dxf>
      <font>
        <color theme="4" tint="-0.24994659260841701"/>
      </font>
      <fill>
        <patternFill>
          <fgColor auto="1"/>
          <bgColor rgb="FFFFFFCC"/>
        </patternFill>
      </fill>
    </dxf>
    <dxf>
      <font>
        <color theme="4" tint="-0.24994659260841701"/>
      </font>
      <fill>
        <patternFill>
          <bgColor rgb="FFFFFFCC"/>
        </patternFill>
      </fill>
    </dxf>
    <dxf>
      <font>
        <color theme="4" tint="-0.24994659260841701"/>
      </font>
      <fill>
        <patternFill>
          <fgColor auto="1"/>
          <bgColor rgb="FFFFFFCC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</dxfs>
  <tableStyles count="0" defaultTableStyle="TableStyleMedium2" defaultPivotStyle="PivotStyleLight16"/>
  <colors>
    <mruColors>
      <color rgb="FF0000FF"/>
      <color rgb="FF008000"/>
      <color rgb="FFFFFFFF"/>
      <color rgb="FFFFFFCC"/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externalLink" Target="externalLinks/externalLink1.xml"/><Relationship Id="rId68" Type="http://schemas.openxmlformats.org/officeDocument/2006/relationships/externalLink" Target="externalLinks/externalLink6.xml"/><Relationship Id="rId76" Type="http://schemas.openxmlformats.org/officeDocument/2006/relationships/calcChain" Target="calcChain.xml"/><Relationship Id="rId7" Type="http://schemas.openxmlformats.org/officeDocument/2006/relationships/worksheet" Target="worksheets/sheet7.xml"/><Relationship Id="rId71" Type="http://schemas.openxmlformats.org/officeDocument/2006/relationships/externalLink" Target="externalLinks/externalLink9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externalLink" Target="externalLinks/externalLink4.xml"/><Relationship Id="rId7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61" Type="http://schemas.openxmlformats.org/officeDocument/2006/relationships/worksheet" Target="worksheets/sheet6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externalLink" Target="externalLinks/externalLink3.xml"/><Relationship Id="rId73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externalLink" Target="externalLinks/externalLink2.xml"/><Relationship Id="rId69" Type="http://schemas.openxmlformats.org/officeDocument/2006/relationships/externalLink" Target="externalLinks/externalLink7.xml"/><Relationship Id="rId77" Type="http://schemas.microsoft.com/office/2006/relationships/vbaProject" Target="vbaProject.bin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externalLink" Target="externalLinks/externalLink10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externalLink" Target="externalLinks/externalLink5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externalLink" Target="externalLinks/externalLink8.xml"/><Relationship Id="rId75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cap="none" spc="0" normalizeH="0" baseline="0">
                <a:solidFill>
                  <a:schemeClr val="dk1">
                    <a:lumMod val="50000"/>
                    <a:lumOff val="50000"/>
                  </a:schemeClr>
                </a:solidFill>
                <a:latin typeface="Times New Roman" panose="02020603050405020304" pitchFamily="18" charset="0"/>
                <a:ea typeface="+mj-ea"/>
                <a:cs typeface="Times New Roman" panose="02020603050405020304" pitchFamily="18" charset="0"/>
              </a:defRPr>
            </a:pPr>
            <a:r>
              <a:rPr lang="en-US" sz="1200"/>
              <a:t>Project NPV ($Mil.)</a:t>
            </a:r>
          </a:p>
        </c:rich>
      </c:tx>
      <c:layout>
        <c:manualLayout>
          <c:xMode val="edge"/>
          <c:yMode val="edge"/>
          <c:x val="0.28322072355505512"/>
          <c:y val="1.271121764957575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cap="none" spc="0" normalizeH="0" baseline="0">
              <a:solidFill>
                <a:schemeClr val="dk1">
                  <a:lumMod val="50000"/>
                  <a:lumOff val="50000"/>
                </a:schemeClr>
              </a:solidFill>
              <a:latin typeface="Times New Roman" panose="02020603050405020304" pitchFamily="18" charset="0"/>
              <a:ea typeface="+mj-ea"/>
              <a:cs typeface="Times New Roman" panose="02020603050405020304" pitchFamily="18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949053146613814"/>
          <c:y val="0.13219666355558782"/>
          <c:w val="0.83655830623483574"/>
          <c:h val="0.59603308476407058"/>
        </c:manualLayout>
      </c:layout>
      <c:barChart>
        <c:barDir val="col"/>
        <c:grouping val="stacked"/>
        <c:varyColors val="0"/>
        <c:ser>
          <c:idx val="0"/>
          <c:order val="0"/>
          <c:spPr>
            <a:noFill/>
            <a:ln>
              <a:noFill/>
            </a:ln>
            <a:effectLst/>
          </c:spPr>
          <c:invertIfNegative val="0"/>
          <c:cat>
            <c:strRef>
              <c:f>'A1'!$S$101:$W$101</c:f>
              <c:strCache>
                <c:ptCount val="5"/>
                <c:pt idx="0">
                  <c:v>SH Equity Value</c:v>
                </c:pt>
                <c:pt idx="1">
                  <c:v>Synergies</c:v>
                </c:pt>
                <c:pt idx="2">
                  <c:v>Total Value to SH</c:v>
                </c:pt>
                <c:pt idx="3">
                  <c:v>Partner Equity Value</c:v>
                </c:pt>
                <c:pt idx="4">
                  <c:v>Total Equity Value</c:v>
                </c:pt>
              </c:strCache>
            </c:strRef>
          </c:cat>
          <c:val>
            <c:numRef>
              <c:f>'A1'!$S$102:$W$102</c:f>
              <c:numCache>
                <c:formatCode>"$"#,##0.0_);\("$"#,##0.0\)</c:formatCode>
                <c:ptCount val="5"/>
                <c:pt idx="0">
                  <c:v>0</c:v>
                </c:pt>
                <c:pt idx="1">
                  <c:v>#N/A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C7DD-4755-90F3-A3BCF0AEB4BA}"/>
            </c:ext>
          </c:extLst>
        </c:ser>
        <c:ser>
          <c:idx val="1"/>
          <c:order val="1"/>
          <c:spPr>
            <a:solidFill>
              <a:schemeClr val="bg1">
                <a:lumMod val="95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dPt>
            <c:idx val="2"/>
            <c:invertIfNegative val="0"/>
            <c:bubble3D val="0"/>
            <c:spPr>
              <a:solidFill>
                <a:schemeClr val="accent2"/>
              </a:solidFill>
              <a:ln>
                <a:solidFill>
                  <a:schemeClr val="tx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2-C7DD-4755-90F3-A3BCF0AEB4BA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1">
                  <a:lumMod val="75000"/>
                </a:schemeClr>
              </a:solidFill>
              <a:ln>
                <a:solidFill>
                  <a:schemeClr val="tx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4-C7DD-4755-90F3-A3BCF0AEB4BA}"/>
              </c:ext>
            </c:extLst>
          </c:dPt>
          <c:cat>
            <c:strRef>
              <c:f>'A1'!$S$101:$W$101</c:f>
              <c:strCache>
                <c:ptCount val="5"/>
                <c:pt idx="0">
                  <c:v>SH Equity Value</c:v>
                </c:pt>
                <c:pt idx="1">
                  <c:v>Synergies</c:v>
                </c:pt>
                <c:pt idx="2">
                  <c:v>Total Value to SH</c:v>
                </c:pt>
                <c:pt idx="3">
                  <c:v>Partner Equity Value</c:v>
                </c:pt>
                <c:pt idx="4">
                  <c:v>Total Equity Value</c:v>
                </c:pt>
              </c:strCache>
            </c:strRef>
          </c:cat>
          <c:val>
            <c:numRef>
              <c:f>'A1'!$S$103:$W$103</c:f>
              <c:numCache>
                <c:formatCode>"$"#,##0.0_);\("$"#,##0.0\)</c:formatCode>
                <c:ptCount val="5"/>
                <c:pt idx="0">
                  <c:v>0.68631464635768225</c:v>
                </c:pt>
                <c:pt idx="1">
                  <c:v>#N/A</c:v>
                </c:pt>
                <c:pt idx="2">
                  <c:v>0.68631464635768225</c:v>
                </c:pt>
                <c:pt idx="3">
                  <c:v>0</c:v>
                </c:pt>
                <c:pt idx="4">
                  <c:v>0.68631464635768225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5-C7DD-4755-90F3-A3BCF0AEB4BA}"/>
            </c:ext>
          </c:extLst>
        </c:ser>
        <c:ser>
          <c:idx val="2"/>
          <c:order val="2"/>
          <c:spPr>
            <a:solidFill>
              <a:schemeClr val="bg1">
                <a:lumMod val="95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'A1'!$S$101:$W$101</c:f>
              <c:strCache>
                <c:ptCount val="5"/>
                <c:pt idx="0">
                  <c:v>SH Equity Value</c:v>
                </c:pt>
                <c:pt idx="1">
                  <c:v>Synergies</c:v>
                </c:pt>
                <c:pt idx="2">
                  <c:v>Total Value to SH</c:v>
                </c:pt>
                <c:pt idx="3">
                  <c:v>Partner Equity Value</c:v>
                </c:pt>
                <c:pt idx="4">
                  <c:v>Total Equity Value</c:v>
                </c:pt>
              </c:strCache>
            </c:strRef>
          </c:cat>
          <c:val>
            <c:numRef>
              <c:f>'A1'!$S$104:$W$104</c:f>
              <c:numCache>
                <c:formatCode>"$"#,##0.0_);\("$"#,##0.0\)</c:formatCode>
                <c:ptCount val="5"/>
                <c:pt idx="0">
                  <c:v>0</c:v>
                </c:pt>
                <c:pt idx="1">
                  <c:v>#N/A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6-C7DD-4755-90F3-A3BCF0AEB4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790322712"/>
        <c:axId val="790323104"/>
      </c:barChart>
      <c:lineChart>
        <c:grouping val="standard"/>
        <c:varyColors val="0"/>
        <c:ser>
          <c:idx val="3"/>
          <c:order val="3"/>
          <c:spPr>
            <a:ln w="9525" cap="rnd">
              <a:solidFill>
                <a:schemeClr val="tx1"/>
              </a:solidFill>
              <a:prstDash val="lgDash"/>
              <a:round/>
            </a:ln>
            <a:effectLst/>
          </c:spPr>
          <c:marker>
            <c:symbol val="none"/>
          </c:marker>
          <c:cat>
            <c:strRef>
              <c:f>'A1'!$S$101:$W$101</c:f>
              <c:strCache>
                <c:ptCount val="5"/>
                <c:pt idx="0">
                  <c:v>SH Equity Value</c:v>
                </c:pt>
                <c:pt idx="1">
                  <c:v>Synergies</c:v>
                </c:pt>
                <c:pt idx="2">
                  <c:v>Total Value to SH</c:v>
                </c:pt>
                <c:pt idx="3">
                  <c:v>Partner Equity Value</c:v>
                </c:pt>
                <c:pt idx="4">
                  <c:v>Total Equity Value</c:v>
                </c:pt>
              </c:strCache>
            </c:strRef>
          </c:cat>
          <c:val>
            <c:numRef>
              <c:f>'A1'!$S$105:$W$105</c:f>
              <c:numCache>
                <c:formatCode>"$"#,##0.00_);\("$"#,##0.00\)</c:formatCode>
                <c:ptCount val="5"/>
                <c:pt idx="0">
                  <c:v>0.68631464635768225</c:v>
                </c:pt>
                <c:pt idx="1">
                  <c:v>0.68631464635768225</c:v>
                </c:pt>
                <c:pt idx="3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7-C7DD-4755-90F3-A3BCF0AEB4BA}"/>
            </c:ext>
          </c:extLst>
        </c:ser>
        <c:ser>
          <c:idx val="4"/>
          <c:order val="4"/>
          <c:spPr>
            <a:ln w="9525" cap="rnd">
              <a:solidFill>
                <a:schemeClr val="tx1"/>
              </a:solidFill>
              <a:prstDash val="lgDash"/>
              <a:round/>
            </a:ln>
            <a:effectLst/>
          </c:spPr>
          <c:marker>
            <c:symbol val="none"/>
          </c:marker>
          <c:cat>
            <c:strRef>
              <c:f>'A1'!$S$101:$W$101</c:f>
              <c:strCache>
                <c:ptCount val="5"/>
                <c:pt idx="0">
                  <c:v>SH Equity Value</c:v>
                </c:pt>
                <c:pt idx="1">
                  <c:v>Synergies</c:v>
                </c:pt>
                <c:pt idx="2">
                  <c:v>Total Value to SH</c:v>
                </c:pt>
                <c:pt idx="3">
                  <c:v>Partner Equity Value</c:v>
                </c:pt>
                <c:pt idx="4">
                  <c:v>Total Equity Value</c:v>
                </c:pt>
              </c:strCache>
            </c:strRef>
          </c:cat>
          <c:val>
            <c:numRef>
              <c:f>'A1'!$S$106:$W$106</c:f>
              <c:numCache>
                <c:formatCode>"$"#,##0_);\("$"#,##0\)</c:formatCode>
                <c:ptCount val="5"/>
                <c:pt idx="3">
                  <c:v>0.68631464635768225</c:v>
                </c:pt>
                <c:pt idx="4" formatCode="&quot;$&quot;#,##0.00_);\(&quot;$&quot;#,##0.00\)">
                  <c:v>0.68631464635768225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8-C7DD-4755-90F3-A3BCF0AEB4BA}"/>
            </c:ext>
          </c:extLst>
        </c:ser>
        <c:ser>
          <c:idx val="5"/>
          <c:order val="5"/>
          <c:spPr>
            <a:ln w="9525" cap="rnd">
              <a:solidFill>
                <a:schemeClr val="tx1"/>
              </a:solidFill>
              <a:prstDash val="lgDash"/>
              <a:round/>
            </a:ln>
            <a:effectLst/>
          </c:spPr>
          <c:marker>
            <c:symbol val="none"/>
          </c:marker>
          <c:cat>
            <c:strRef>
              <c:f>'A1'!$S$101:$W$101</c:f>
              <c:strCache>
                <c:ptCount val="5"/>
                <c:pt idx="0">
                  <c:v>SH Equity Value</c:v>
                </c:pt>
                <c:pt idx="1">
                  <c:v>Synergies</c:v>
                </c:pt>
                <c:pt idx="2">
                  <c:v>Total Value to SH</c:v>
                </c:pt>
                <c:pt idx="3">
                  <c:v>Partner Equity Value</c:v>
                </c:pt>
                <c:pt idx="4">
                  <c:v>Total Equity Value</c:v>
                </c:pt>
              </c:strCache>
            </c:strRef>
          </c:cat>
          <c:val>
            <c:numRef>
              <c:f>'A1'!$S$107:$W$107</c:f>
              <c:numCache>
                <c:formatCode>"$"#,##0.00_);\("$"#,##0.00\)</c:formatCode>
                <c:ptCount val="5"/>
                <c:pt idx="1">
                  <c:v>0.68631464635768225</c:v>
                </c:pt>
                <c:pt idx="2">
                  <c:v>0.68631464635768225</c:v>
                </c:pt>
                <c:pt idx="3">
                  <c:v>0.68631464635768225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9-C7DD-4755-90F3-A3BCF0AEB4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90322712"/>
        <c:axId val="790323104"/>
      </c:lineChart>
      <c:catAx>
        <c:axId val="790322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dk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790323104"/>
        <c:crosses val="autoZero"/>
        <c:auto val="0"/>
        <c:lblAlgn val="ctr"/>
        <c:lblOffset val="100"/>
        <c:noMultiLvlLbl val="0"/>
      </c:catAx>
      <c:valAx>
        <c:axId val="790323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.0_);\(&quot;$&quot;#,##0.0\)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790322712"/>
        <c:crosses val="autoZero"/>
        <c:crossBetween val="between"/>
      </c:valAx>
      <c:spPr>
        <a:solidFill>
          <a:srgbClr val="CCFFFF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rgbClr val="CCFFFF"/>
    </a:solidFill>
    <a:ln w="9525" cap="flat" cmpd="sng" algn="ctr">
      <a:noFill/>
      <a:round/>
    </a:ln>
    <a:effectLst/>
  </c:spPr>
  <c:txPr>
    <a:bodyPr/>
    <a:lstStyle/>
    <a:p>
      <a:pPr>
        <a:defRPr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000000000000144" l="0.70000000000000062" r="0.70000000000000062" t="0.75000000000000144" header="0.30000000000000032" footer="0.30000000000000032"/>
    <c:pageSetup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en-US" sz="1200" b="1"/>
              <a:t>Cash Position</a:t>
            </a:r>
          </a:p>
        </c:rich>
      </c:tx>
      <c:layout>
        <c:manualLayout>
          <c:xMode val="edge"/>
          <c:yMode val="edge"/>
          <c:x val="0.40557210196759086"/>
          <c:y val="8.8304615814201008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5845837929070636"/>
          <c:y val="0.11943511151462778"/>
          <c:w val="0.8346001899875054"/>
          <c:h val="0.73383781097280165"/>
        </c:manualLayout>
      </c:layout>
      <c:barChart>
        <c:barDir val="col"/>
        <c:grouping val="clustered"/>
        <c:varyColors val="0"/>
        <c:ser>
          <c:idx val="1"/>
          <c:order val="1"/>
          <c:tx>
            <c:strRef>
              <c:f>'A1'!$F$95</c:f>
              <c:strCache>
                <c:ptCount val="1"/>
                <c:pt idx="0">
                  <c:v>Ending Cash Balance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'A1'!$D$96:$D$114</c:f>
              <c:strCache>
                <c:ptCount val="19"/>
                <c:pt idx="0">
                  <c:v>M1</c:v>
                </c:pt>
                <c:pt idx="1">
                  <c:v>M2</c:v>
                </c:pt>
                <c:pt idx="2">
                  <c:v>M3</c:v>
                </c:pt>
                <c:pt idx="3">
                  <c:v>M4</c:v>
                </c:pt>
                <c:pt idx="4">
                  <c:v>M5</c:v>
                </c:pt>
                <c:pt idx="5">
                  <c:v>M6</c:v>
                </c:pt>
                <c:pt idx="6">
                  <c:v>M7</c:v>
                </c:pt>
                <c:pt idx="7">
                  <c:v>M8</c:v>
                </c:pt>
                <c:pt idx="8">
                  <c:v>M9</c:v>
                </c:pt>
                <c:pt idx="9">
                  <c:v>M10</c:v>
                </c:pt>
                <c:pt idx="10">
                  <c:v>M11</c:v>
                </c:pt>
                <c:pt idx="11">
                  <c:v>M12</c:v>
                </c:pt>
                <c:pt idx="12">
                  <c:v>Y2Q1</c:v>
                </c:pt>
                <c:pt idx="13">
                  <c:v>Y2Q2</c:v>
                </c:pt>
                <c:pt idx="14">
                  <c:v>Y2Q3</c:v>
                </c:pt>
                <c:pt idx="15">
                  <c:v>Y2Q4</c:v>
                </c:pt>
                <c:pt idx="16">
                  <c:v>Y3</c:v>
                </c:pt>
                <c:pt idx="17">
                  <c:v>Y4</c:v>
                </c:pt>
                <c:pt idx="18">
                  <c:v>Y5</c:v>
                </c:pt>
              </c:strCache>
            </c:strRef>
          </c:cat>
          <c:val>
            <c:numRef>
              <c:f>'A1'!$F$96:$F$114</c:f>
              <c:numCache>
                <c:formatCode>"$"#,##0_);\("$"#,##0\)</c:formatCode>
                <c:ptCount val="19"/>
                <c:pt idx="0">
                  <c:v>635</c:v>
                </c:pt>
                <c:pt idx="1">
                  <c:v>640</c:v>
                </c:pt>
                <c:pt idx="2">
                  <c:v>567</c:v>
                </c:pt>
                <c:pt idx="3">
                  <c:v>573</c:v>
                </c:pt>
                <c:pt idx="4">
                  <c:v>578</c:v>
                </c:pt>
                <c:pt idx="5">
                  <c:v>506</c:v>
                </c:pt>
                <c:pt idx="6">
                  <c:v>513</c:v>
                </c:pt>
                <c:pt idx="7">
                  <c:v>519</c:v>
                </c:pt>
                <c:pt idx="8">
                  <c:v>448</c:v>
                </c:pt>
                <c:pt idx="9">
                  <c:v>455</c:v>
                </c:pt>
                <c:pt idx="10">
                  <c:v>462</c:v>
                </c:pt>
                <c:pt idx="11">
                  <c:v>391</c:v>
                </c:pt>
                <c:pt idx="12">
                  <c:v>211</c:v>
                </c:pt>
                <c:pt idx="13">
                  <c:v>288</c:v>
                </c:pt>
                <c:pt idx="14">
                  <c:v>366</c:v>
                </c:pt>
                <c:pt idx="15">
                  <c:v>446</c:v>
                </c:pt>
                <c:pt idx="16">
                  <c:v>438</c:v>
                </c:pt>
                <c:pt idx="17">
                  <c:v>464</c:v>
                </c:pt>
                <c:pt idx="18">
                  <c:v>491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38A6-4BD8-8497-149E858A50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90318792"/>
        <c:axId val="790320360"/>
      </c:barChart>
      <c:lineChart>
        <c:grouping val="standard"/>
        <c:varyColors val="0"/>
        <c:ser>
          <c:idx val="0"/>
          <c:order val="0"/>
          <c:tx>
            <c:strRef>
              <c:f>'A1'!$E$95</c:f>
              <c:strCache>
                <c:ptCount val="1"/>
                <c:pt idx="0">
                  <c:v>Cash Generation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'A1'!$D$96:$D$114</c:f>
              <c:strCache>
                <c:ptCount val="19"/>
                <c:pt idx="0">
                  <c:v>M1</c:v>
                </c:pt>
                <c:pt idx="1">
                  <c:v>M2</c:v>
                </c:pt>
                <c:pt idx="2">
                  <c:v>M3</c:v>
                </c:pt>
                <c:pt idx="3">
                  <c:v>M4</c:v>
                </c:pt>
                <c:pt idx="4">
                  <c:v>M5</c:v>
                </c:pt>
                <c:pt idx="5">
                  <c:v>M6</c:v>
                </c:pt>
                <c:pt idx="6">
                  <c:v>M7</c:v>
                </c:pt>
                <c:pt idx="7">
                  <c:v>M8</c:v>
                </c:pt>
                <c:pt idx="8">
                  <c:v>M9</c:v>
                </c:pt>
                <c:pt idx="9">
                  <c:v>M10</c:v>
                </c:pt>
                <c:pt idx="10">
                  <c:v>M11</c:v>
                </c:pt>
                <c:pt idx="11">
                  <c:v>M12</c:v>
                </c:pt>
                <c:pt idx="12">
                  <c:v>Y2Q1</c:v>
                </c:pt>
                <c:pt idx="13">
                  <c:v>Y2Q2</c:v>
                </c:pt>
                <c:pt idx="14">
                  <c:v>Y2Q3</c:v>
                </c:pt>
                <c:pt idx="15">
                  <c:v>Y2Q4</c:v>
                </c:pt>
                <c:pt idx="16">
                  <c:v>Y3</c:v>
                </c:pt>
                <c:pt idx="17">
                  <c:v>Y4</c:v>
                </c:pt>
                <c:pt idx="18">
                  <c:v>Y5</c:v>
                </c:pt>
              </c:strCache>
            </c:strRef>
          </c:cat>
          <c:val>
            <c:numRef>
              <c:f>'A1'!$E$96:$E$114</c:f>
              <c:numCache>
                <c:formatCode>"$"#,##0_);\("$"#,##0\)</c:formatCode>
                <c:ptCount val="19"/>
                <c:pt idx="0">
                  <c:v>-4.9860529075050053</c:v>
                </c:pt>
                <c:pt idx="1">
                  <c:v>5.1347665242842382</c:v>
                </c:pt>
                <c:pt idx="2">
                  <c:v>-73.000299601058614</c:v>
                </c:pt>
                <c:pt idx="3">
                  <c:v>5.619627671829253</c:v>
                </c:pt>
                <c:pt idx="4">
                  <c:v>5.8632493760155491</c:v>
                </c:pt>
                <c:pt idx="5">
                  <c:v>-72.269431886034994</c:v>
                </c:pt>
                <c:pt idx="6">
                  <c:v>6.3528880575671565</c:v>
                </c:pt>
                <c:pt idx="7">
                  <c:v>6.5989102654489713</c:v>
                </c:pt>
                <c:pt idx="8">
                  <c:v>-71.531362634281621</c:v>
                </c:pt>
                <c:pt idx="9">
                  <c:v>7.0933735559919455</c:v>
                </c:pt>
                <c:pt idx="10">
                  <c:v>7.3418199207081969</c:v>
                </c:pt>
                <c:pt idx="11">
                  <c:v>-70.786020886129393</c:v>
                </c:pt>
                <c:pt idx="12">
                  <c:v>-179.82042900959499</c:v>
                </c:pt>
                <c:pt idx="13">
                  <c:v>76.704415917880794</c:v>
                </c:pt>
                <c:pt idx="14">
                  <c:v>78.228521898331081</c:v>
                </c:pt>
                <c:pt idx="15">
                  <c:v>79.751883450933306</c:v>
                </c:pt>
                <c:pt idx="16">
                  <c:v>-7.7002825780107855</c:v>
                </c:pt>
                <c:pt idx="17">
                  <c:v>25.694651489308399</c:v>
                </c:pt>
                <c:pt idx="18">
                  <c:v>27.31432505491955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38A6-4BD8-8497-149E858A50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90318792"/>
        <c:axId val="790320360"/>
      </c:lineChart>
      <c:catAx>
        <c:axId val="7903187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790320360"/>
        <c:crosses val="autoZero"/>
        <c:auto val="1"/>
        <c:lblAlgn val="ctr"/>
        <c:lblOffset val="100"/>
        <c:noMultiLvlLbl val="0"/>
      </c:catAx>
      <c:valAx>
        <c:axId val="7903203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_);\(&quot;$&quot;#,##0\)" sourceLinked="1"/>
        <c:majorTickMark val="none"/>
        <c:minorTickMark val="none"/>
        <c:tickLblPos val="nextTo"/>
        <c:spPr>
          <a:noFill/>
          <a:ln w="12700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7903187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1326064689761772"/>
          <c:y val="0.88987787991257805"/>
          <c:w val="0.77347870620476589"/>
          <c:h val="9.381830101757170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CCFFFF"/>
    </a:solidFill>
    <a:ln w="9525" cap="flat" cmpd="sng" algn="ctr">
      <a:noFill/>
      <a:round/>
    </a:ln>
    <a:effectLst/>
  </c:spPr>
  <c:txPr>
    <a:bodyPr/>
    <a:lstStyle/>
    <a:p>
      <a:pPr>
        <a:defRPr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000000000000144" l="0.70000000000000062" r="0.70000000000000062" t="0.75000000000000144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en-US" sz="1200" b="1"/>
              <a:t>P&amp;L Summary ($ Mil.)</a:t>
            </a:r>
          </a:p>
        </c:rich>
      </c:tx>
      <c:layout>
        <c:manualLayout>
          <c:xMode val="edge"/>
          <c:yMode val="edge"/>
          <c:x val="0.34056975448277244"/>
          <c:y val="2.067183462532314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5140604070264274"/>
          <c:y val="0.12816537467700256"/>
          <c:w val="0.80493353426921455"/>
          <c:h val="0.6461136543978516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'A1'!$R$128</c:f>
              <c:strCache>
                <c:ptCount val="1"/>
                <c:pt idx="0">
                  <c:v>Revenues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'A1'!$S$127:$W$127</c:f>
              <c:strCache>
                <c:ptCount val="5"/>
                <c:pt idx="0">
                  <c:v>Y1</c:v>
                </c:pt>
                <c:pt idx="1">
                  <c:v>Y2</c:v>
                </c:pt>
                <c:pt idx="2">
                  <c:v>Y3</c:v>
                </c:pt>
                <c:pt idx="3">
                  <c:v>Y4</c:v>
                </c:pt>
                <c:pt idx="4">
                  <c:v>Y5</c:v>
                </c:pt>
              </c:strCache>
            </c:strRef>
          </c:cat>
          <c:val>
            <c:numRef>
              <c:f>'A1'!$S$128:$W$128</c:f>
              <c:numCache>
                <c:formatCode>"$"#,##0.0_);\("$"#,##0.0\)</c:formatCode>
                <c:ptCount val="5"/>
                <c:pt idx="0">
                  <c:v>3.533807806374456</c:v>
                </c:pt>
                <c:pt idx="1">
                  <c:v>3.6936922412977857</c:v>
                </c:pt>
                <c:pt idx="2">
                  <c:v>3.8425480386220867</c:v>
                </c:pt>
                <c:pt idx="3">
                  <c:v>3.9974027245785568</c:v>
                </c:pt>
                <c:pt idx="4">
                  <c:v>4.1584980543790717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F073-4140-99C8-08546ED99A0A}"/>
            </c:ext>
          </c:extLst>
        </c:ser>
        <c:ser>
          <c:idx val="2"/>
          <c:order val="2"/>
          <c:tx>
            <c:strRef>
              <c:f>'A1'!$R$130</c:f>
              <c:strCache>
                <c:ptCount val="1"/>
                <c:pt idx="0">
                  <c:v>Income </c:v>
                </c:pt>
              </c:strCache>
            </c:strRef>
          </c:tx>
          <c:spPr>
            <a:solidFill>
              <a:srgbClr val="FFC00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'A1'!$S$127:$W$127</c:f>
              <c:strCache>
                <c:ptCount val="5"/>
                <c:pt idx="0">
                  <c:v>Y1</c:v>
                </c:pt>
                <c:pt idx="1">
                  <c:v>Y2</c:v>
                </c:pt>
                <c:pt idx="2">
                  <c:v>Y3</c:v>
                </c:pt>
                <c:pt idx="3">
                  <c:v>Y4</c:v>
                </c:pt>
                <c:pt idx="4">
                  <c:v>Y5</c:v>
                </c:pt>
              </c:strCache>
            </c:strRef>
          </c:cat>
          <c:val>
            <c:numRef>
              <c:f>'A1'!$S$130:$W$130</c:f>
              <c:numCache>
                <c:formatCode>"$"#,##0.0_);\("$"#,##0.0\)</c:formatCode>
                <c:ptCount val="5"/>
                <c:pt idx="0">
                  <c:v>0.40107908596624314</c:v>
                </c:pt>
                <c:pt idx="1">
                  <c:v>0.25604838282917469</c:v>
                </c:pt>
                <c:pt idx="2">
                  <c:v>0.22173460077756169</c:v>
                </c:pt>
                <c:pt idx="3">
                  <c:v>0.17103207481956439</c:v>
                </c:pt>
                <c:pt idx="4">
                  <c:v>0.11361280418072306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F073-4140-99C8-08546ED99A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790313696"/>
        <c:axId val="790315264"/>
      </c:barChart>
      <c:lineChart>
        <c:grouping val="standard"/>
        <c:varyColors val="0"/>
        <c:ser>
          <c:idx val="1"/>
          <c:order val="1"/>
          <c:tx>
            <c:strRef>
              <c:f>'A1'!$R$129</c:f>
              <c:strCache>
                <c:ptCount val="1"/>
                <c:pt idx="0">
                  <c:v>EBITDA</c:v>
                </c:pt>
              </c:strCache>
            </c:strRef>
          </c:tx>
          <c:spPr>
            <a:ln w="28575" cap="rnd">
              <a:solidFill>
                <a:schemeClr val="accent2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'A1'!$S$127:$W$127</c:f>
              <c:strCache>
                <c:ptCount val="5"/>
                <c:pt idx="0">
                  <c:v>Y1</c:v>
                </c:pt>
                <c:pt idx="1">
                  <c:v>Y2</c:v>
                </c:pt>
                <c:pt idx="2">
                  <c:v>Y3</c:v>
                </c:pt>
                <c:pt idx="3">
                  <c:v>Y4</c:v>
                </c:pt>
                <c:pt idx="4">
                  <c:v>Y5</c:v>
                </c:pt>
              </c:strCache>
            </c:strRef>
          </c:cat>
          <c:val>
            <c:numRef>
              <c:f>'A1'!$S$129:$W$129</c:f>
              <c:numCache>
                <c:formatCode>"$"#,##0.0_);\("$"#,##0.0\)</c:formatCode>
                <c:ptCount val="5"/>
                <c:pt idx="0">
                  <c:v>0.41379553739481456</c:v>
                </c:pt>
                <c:pt idx="1">
                  <c:v>0.3797648342577461</c:v>
                </c:pt>
                <c:pt idx="2">
                  <c:v>0.33522289220613311</c:v>
                </c:pt>
                <c:pt idx="3">
                  <c:v>0.28452036624813581</c:v>
                </c:pt>
                <c:pt idx="4">
                  <c:v>0.22710109560929448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F073-4140-99C8-08546ED99A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90313696"/>
        <c:axId val="790315264"/>
      </c:lineChart>
      <c:catAx>
        <c:axId val="7903136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790315264"/>
        <c:crosses val="autoZero"/>
        <c:auto val="1"/>
        <c:lblAlgn val="ctr"/>
        <c:lblOffset val="100"/>
        <c:noMultiLvlLbl val="0"/>
      </c:catAx>
      <c:valAx>
        <c:axId val="7903152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.0_);\(&quot;$&quot;#,##0.0\)" sourceLinked="1"/>
        <c:majorTickMark val="none"/>
        <c:minorTickMark val="none"/>
        <c:tickLblPos val="nextTo"/>
        <c:spPr>
          <a:noFill/>
          <a:ln w="12700"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7903136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CCFFFF"/>
    </a:solidFill>
    <a:ln w="9525" cap="flat" cmpd="sng" algn="ctr">
      <a:noFill/>
      <a:round/>
    </a:ln>
    <a:effectLst/>
  </c:spPr>
  <c:txPr>
    <a:bodyPr/>
    <a:lstStyle/>
    <a:p>
      <a:pPr>
        <a:defRPr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000000000000144" l="0.70000000000000062" r="0.70000000000000062" t="0.75000000000000144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5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en-US" sz="1050" b="1"/>
              <a:t>Nocturnal Patients</a:t>
            </a:r>
          </a:p>
        </c:rich>
      </c:tx>
      <c:layout>
        <c:manualLayout>
          <c:xMode val="edge"/>
          <c:yMode val="edge"/>
          <c:x val="0.2542624274602836"/>
          <c:y val="2.170247133784765E-2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6219653617551055"/>
          <c:y val="0.207887651750681"/>
          <c:w val="0.81991081405007515"/>
          <c:h val="0.51175029859149168"/>
        </c:manualLayout>
      </c:layout>
      <c:barChart>
        <c:barDir val="col"/>
        <c:grouping val="clustered"/>
        <c:varyColors val="0"/>
        <c:ser>
          <c:idx val="2"/>
          <c:order val="2"/>
          <c:tx>
            <c:strRef>
              <c:f>'A1'!$R$141</c:f>
              <c:strCache>
                <c:ptCount val="1"/>
                <c:pt idx="0">
                  <c:v>Capacity</c:v>
                </c:pt>
              </c:strCache>
            </c:strRef>
          </c:tx>
          <c:spPr>
            <a:pattFill prst="horzBrick">
              <a:fgClr>
                <a:schemeClr val="bg1"/>
              </a:fgClr>
              <a:bgClr>
                <a:schemeClr val="tx1"/>
              </a:bgClr>
            </a:pattFill>
            <a:ln>
              <a:noFill/>
            </a:ln>
            <a:effectLst/>
          </c:spPr>
          <c:invertIfNegative val="0"/>
          <c:cat>
            <c:strRef>
              <c:f>'A1'!$S$133:$W$133</c:f>
              <c:strCache>
                <c:ptCount val="5"/>
                <c:pt idx="0">
                  <c:v>Y1</c:v>
                </c:pt>
                <c:pt idx="1">
                  <c:v>Y2</c:v>
                </c:pt>
                <c:pt idx="2">
                  <c:v>Y3</c:v>
                </c:pt>
                <c:pt idx="3">
                  <c:v>Y4</c:v>
                </c:pt>
                <c:pt idx="4">
                  <c:v>Y5</c:v>
                </c:pt>
              </c:strCache>
            </c:strRef>
          </c:cat>
          <c:val>
            <c:numRef>
              <c:f>'A1'!$S$141:$W$141</c:f>
              <c:numCache>
                <c:formatCode>General</c:formatCode>
                <c:ptCount val="5"/>
                <c:pt idx="0" formatCode="_(* #,##0_);_(* \(#,##0\);_(* &quot;-&quot;??_);_(@_)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49C9-4493-A37B-6346DBA1C7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90316832"/>
        <c:axId val="790316048"/>
      </c:barChart>
      <c:lineChart>
        <c:grouping val="standard"/>
        <c:varyColors val="0"/>
        <c:ser>
          <c:idx val="0"/>
          <c:order val="0"/>
          <c:tx>
            <c:strRef>
              <c:f>'A1'!$R$139</c:f>
              <c:strCache>
                <c:ptCount val="1"/>
                <c:pt idx="0">
                  <c:v>Nocturnal</c:v>
                </c:pt>
              </c:strCache>
            </c:strRef>
          </c:tx>
          <c:spPr>
            <a:ln w="22225" cap="rnd">
              <a:solidFill>
                <a:schemeClr val="tx1"/>
              </a:solidFill>
              <a:prstDash val="lgDash"/>
              <a:round/>
            </a:ln>
            <a:effectLst/>
          </c:spPr>
          <c:marker>
            <c:symbol val="none"/>
          </c:marker>
          <c:cat>
            <c:strRef>
              <c:f>'A1'!$S$133:$W$133</c:f>
              <c:strCache>
                <c:ptCount val="5"/>
                <c:pt idx="0">
                  <c:v>Y1</c:v>
                </c:pt>
                <c:pt idx="1">
                  <c:v>Y2</c:v>
                </c:pt>
                <c:pt idx="2">
                  <c:v>Y3</c:v>
                </c:pt>
                <c:pt idx="3">
                  <c:v>Y4</c:v>
                </c:pt>
                <c:pt idx="4">
                  <c:v>Y5</c:v>
                </c:pt>
              </c:strCache>
            </c:strRef>
          </c:cat>
          <c:val>
            <c:numRef>
              <c:f>'A1'!$S$139:$W$139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9C9-4493-A37B-6346DBA1C7B7}"/>
            </c:ext>
          </c:extLst>
        </c:ser>
        <c:ser>
          <c:idx val="1"/>
          <c:order val="1"/>
          <c:tx>
            <c:strRef>
              <c:f>'A1'!$R$140</c:f>
              <c:strCache>
                <c:ptCount val="1"/>
                <c:pt idx="0">
                  <c:v>Forecast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'A1'!$S$133:$W$133</c:f>
              <c:strCache>
                <c:ptCount val="5"/>
                <c:pt idx="0">
                  <c:v>Y1</c:v>
                </c:pt>
                <c:pt idx="1">
                  <c:v>Y2</c:v>
                </c:pt>
                <c:pt idx="2">
                  <c:v>Y3</c:v>
                </c:pt>
                <c:pt idx="3">
                  <c:v>Y4</c:v>
                </c:pt>
                <c:pt idx="4">
                  <c:v>Y5</c:v>
                </c:pt>
              </c:strCache>
            </c:strRef>
          </c:cat>
          <c:val>
            <c:numRef>
              <c:f>'A1'!$S$140:$W$140</c:f>
              <c:numCache>
                <c:formatCode>_(* #,##0_);_(* \(#,##0\);_(* "-"??_);_(@_)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49C9-4493-A37B-6346DBA1C7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90316832"/>
        <c:axId val="790316048"/>
      </c:lineChart>
      <c:catAx>
        <c:axId val="7903168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790316048"/>
        <c:crosses val="autoZero"/>
        <c:auto val="1"/>
        <c:lblAlgn val="ctr"/>
        <c:lblOffset val="100"/>
        <c:noMultiLvlLbl val="0"/>
      </c:catAx>
      <c:valAx>
        <c:axId val="790316048"/>
        <c:scaling>
          <c:orientation val="minMax"/>
        </c:scaling>
        <c:delete val="0"/>
        <c:axPos val="l"/>
        <c:numFmt formatCode="_(* #,##0_);_(* \(#,##0\);_(* &quot;-&quot;??_);_(@_)" sourceLinked="1"/>
        <c:majorTickMark val="none"/>
        <c:minorTickMark val="none"/>
        <c:tickLblPos val="nextTo"/>
        <c:spPr>
          <a:noFill/>
          <a:ln w="952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7903168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rgbClr val="FFFFCC"/>
    </a:solidFill>
    <a:ln w="9525" cap="flat" cmpd="sng" algn="ctr">
      <a:noFill/>
      <a:round/>
    </a:ln>
    <a:effectLst/>
  </c:spPr>
  <c:txPr>
    <a:bodyPr/>
    <a:lstStyle/>
    <a:p>
      <a:pPr>
        <a:defRPr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000000000000144" l="0.70000000000000062" r="0.70000000000000062" t="0.75000000000000144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602017995691529"/>
          <c:y val="8.8442183059491739E-2"/>
          <c:w val="0.66979414026451256"/>
          <c:h val="0.6441555597720132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'A1'!$R$150</c:f>
              <c:strCache>
                <c:ptCount val="1"/>
                <c:pt idx="0">
                  <c:v>Patients</c:v>
                </c:pt>
              </c:strCache>
            </c:strRef>
          </c:tx>
          <c:spPr>
            <a:solidFill>
              <a:schemeClr val="accent1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strRef>
              <c:f>'A1'!$S$133:$W$133</c:f>
              <c:strCache>
                <c:ptCount val="5"/>
                <c:pt idx="0">
                  <c:v>Y1</c:v>
                </c:pt>
                <c:pt idx="1">
                  <c:v>Y2</c:v>
                </c:pt>
                <c:pt idx="2">
                  <c:v>Y3</c:v>
                </c:pt>
                <c:pt idx="3">
                  <c:v>Y4</c:v>
                </c:pt>
                <c:pt idx="4">
                  <c:v>Y5</c:v>
                </c:pt>
              </c:strCache>
            </c:strRef>
          </c:cat>
          <c:val>
            <c:numRef>
              <c:f>'A1'!$S$150:$W$150</c:f>
              <c:numCache>
                <c:formatCode>#,##0_);\(#,##0\)</c:formatCode>
                <c:ptCount val="5"/>
                <c:pt idx="0">
                  <c:v>59.160381718422364</c:v>
                </c:pt>
                <c:pt idx="1">
                  <c:v>61.224800000000037</c:v>
                </c:pt>
                <c:pt idx="2">
                  <c:v>63.061544000000033</c:v>
                </c:pt>
                <c:pt idx="3">
                  <c:v>64.95339032000004</c:v>
                </c:pt>
                <c:pt idx="4">
                  <c:v>66.901992029600038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B6D0-45AF-ADBC-7994F46930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90317616"/>
        <c:axId val="790319184"/>
      </c:barChart>
      <c:lineChart>
        <c:grouping val="standard"/>
        <c:varyColors val="0"/>
        <c:ser>
          <c:idx val="1"/>
          <c:order val="1"/>
          <c:tx>
            <c:strRef>
              <c:f>'A1'!$R$151</c:f>
              <c:strCache>
                <c:ptCount val="1"/>
                <c:pt idx="0">
                  <c:v>Treatments (000)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'A1'!$S$133:$W$133</c:f>
              <c:strCache>
                <c:ptCount val="5"/>
                <c:pt idx="0">
                  <c:v>Y1</c:v>
                </c:pt>
                <c:pt idx="1">
                  <c:v>Y2</c:v>
                </c:pt>
                <c:pt idx="2">
                  <c:v>Y3</c:v>
                </c:pt>
                <c:pt idx="3">
                  <c:v>Y4</c:v>
                </c:pt>
                <c:pt idx="4">
                  <c:v>Y5</c:v>
                </c:pt>
              </c:strCache>
            </c:strRef>
          </c:cat>
          <c:val>
            <c:numRef>
              <c:f>'A1'!$S$151:$W$151</c:f>
              <c:numCache>
                <c:formatCode>_(* #,##0.0_);_(* \(#,##0.0\);_(* "-"??_);_(@_)</c:formatCode>
                <c:ptCount val="5"/>
                <c:pt idx="0">
                  <c:v>9.1632354854031028</c:v>
                </c:pt>
                <c:pt idx="1">
                  <c:v>9.4829891838241682</c:v>
                </c:pt>
                <c:pt idx="2">
                  <c:v>9.7674788593388904</c:v>
                </c:pt>
                <c:pt idx="3">
                  <c:v>10.060503225119058</c:v>
                </c:pt>
                <c:pt idx="4">
                  <c:v>10.36231832187263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6D0-45AF-ADBC-7994F46930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90329376"/>
        <c:axId val="790330160"/>
      </c:lineChart>
      <c:catAx>
        <c:axId val="7903176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790319184"/>
        <c:crosses val="autoZero"/>
        <c:auto val="1"/>
        <c:lblAlgn val="ctr"/>
        <c:lblOffset val="100"/>
        <c:noMultiLvlLbl val="0"/>
      </c:catAx>
      <c:valAx>
        <c:axId val="79031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accent1">
                        <a:lumMod val="7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US" b="1">
                    <a:solidFill>
                      <a:schemeClr val="accent1">
                        <a:lumMod val="75000"/>
                      </a:schemeClr>
                    </a:solidFill>
                  </a:rPr>
                  <a:t>Patients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accent1">
                      <a:lumMod val="7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en-US"/>
            </a:p>
          </c:txPr>
        </c:title>
        <c:numFmt formatCode="#,##0_);\(#,##0\)" sourceLinked="1"/>
        <c:majorTickMark val="none"/>
        <c:minorTickMark val="none"/>
        <c:tickLblPos val="nextTo"/>
        <c:spPr>
          <a:noFill/>
          <a:ln w="12700">
            <a:solidFill>
              <a:schemeClr val="accent1">
                <a:lumMod val="7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accent1">
                    <a:lumMod val="7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790317616"/>
        <c:crosses val="autoZero"/>
        <c:crossBetween val="between"/>
      </c:valAx>
      <c:valAx>
        <c:axId val="790330160"/>
        <c:scaling>
          <c:orientation val="minMax"/>
        </c:scaling>
        <c:delete val="0"/>
        <c:axPos val="r"/>
        <c:title>
          <c:tx>
            <c:rich>
              <a:bodyPr rot="5400000" spcFirstLastPara="1" vertOverflow="ellipsis" wrap="square" anchor="b" anchorCtr="0"/>
              <a:lstStyle/>
              <a:p>
                <a:pPr>
                  <a:defRPr sz="1000" b="1" i="0" u="none" strike="noStrike" kern="1200" baseline="0">
                    <a:solidFill>
                      <a:srgbClr val="FF0000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US" b="1">
                    <a:solidFill>
                      <a:srgbClr val="FF0000"/>
                    </a:solidFill>
                  </a:rPr>
                  <a:t>Treatments (000)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5400000" spcFirstLastPara="1" vertOverflow="ellipsis" wrap="square" anchor="b" anchorCtr="0"/>
            <a:lstStyle/>
            <a:p>
              <a:pPr>
                <a:defRPr sz="1000" b="1" i="0" u="none" strike="noStrike" kern="1200" baseline="0">
                  <a:solidFill>
                    <a:srgbClr val="FF0000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en-US"/>
            </a:p>
          </c:txPr>
        </c:title>
        <c:numFmt formatCode="_(* #,##0.0_);_(* \(#,##0.0\);_(* &quot;-&quot;??_);_(@_)" sourceLinked="1"/>
        <c:majorTickMark val="out"/>
        <c:minorTickMark val="none"/>
        <c:tickLblPos val="nextTo"/>
        <c:spPr>
          <a:noFill/>
          <a:ln w="12700">
            <a:solidFill>
              <a:srgbClr val="FF0000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FF000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790329376"/>
        <c:crosses val="max"/>
        <c:crossBetween val="between"/>
      </c:valAx>
      <c:catAx>
        <c:axId val="79032937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79033016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7.3101263820065432E-2"/>
          <c:y val="0.83566752633142505"/>
          <c:w val="0.82164821881744021"/>
          <c:h val="0.1192385398087117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CC"/>
    </a:solidFill>
    <a:ln w="9525" cap="flat" cmpd="sng" algn="ctr">
      <a:noFill/>
      <a:round/>
    </a:ln>
    <a:effectLst/>
  </c:spPr>
  <c:txPr>
    <a:bodyPr/>
    <a:lstStyle/>
    <a:p>
      <a:pPr>
        <a:defRPr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000000000000144" l="0.70000000000000062" r="0.70000000000000062" t="0.75000000000000144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5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en-US" sz="1050" b="1"/>
              <a:t>In Center Patients</a:t>
            </a:r>
          </a:p>
        </c:rich>
      </c:tx>
      <c:layout>
        <c:manualLayout>
          <c:xMode val="edge"/>
          <c:yMode val="edge"/>
          <c:x val="0.26484341528210631"/>
          <c:y val="3.0128802108818839E-2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6888469921467117"/>
          <c:y val="0.207887651750681"/>
          <c:w val="0.81991081405007515"/>
          <c:h val="0.52786878284973449"/>
        </c:manualLayout>
      </c:layout>
      <c:barChart>
        <c:barDir val="col"/>
        <c:grouping val="clustered"/>
        <c:varyColors val="0"/>
        <c:ser>
          <c:idx val="2"/>
          <c:order val="2"/>
          <c:tx>
            <c:strRef>
              <c:f>'A1'!$R$136</c:f>
              <c:strCache>
                <c:ptCount val="1"/>
                <c:pt idx="0">
                  <c:v>Capacity</c:v>
                </c:pt>
              </c:strCache>
            </c:strRef>
          </c:tx>
          <c:spPr>
            <a:pattFill prst="horzBrick">
              <a:fgClr>
                <a:schemeClr val="bg1"/>
              </a:fgClr>
              <a:bgClr>
                <a:schemeClr val="tx1"/>
              </a:bgClr>
            </a:patt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'A1'!$S$133:$W$133</c:f>
              <c:strCache>
                <c:ptCount val="5"/>
                <c:pt idx="0">
                  <c:v>Y1</c:v>
                </c:pt>
                <c:pt idx="1">
                  <c:v>Y2</c:v>
                </c:pt>
                <c:pt idx="2">
                  <c:v>Y3</c:v>
                </c:pt>
                <c:pt idx="3">
                  <c:v>Y4</c:v>
                </c:pt>
                <c:pt idx="4">
                  <c:v>Y5</c:v>
                </c:pt>
              </c:strCache>
            </c:strRef>
          </c:cat>
          <c:val>
            <c:numRef>
              <c:f>'A1'!$S$136:$W$136</c:f>
              <c:numCache>
                <c:formatCode>General</c:formatCode>
                <c:ptCount val="5"/>
                <c:pt idx="0" formatCode="_(* #,##0_);_(* \(#,##0\);_(* &quot;-&quot;??_);_(@_)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6AF5-4CFA-875D-C3A66A5E1C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90330944"/>
        <c:axId val="790325848"/>
      </c:barChart>
      <c:lineChart>
        <c:grouping val="standard"/>
        <c:varyColors val="0"/>
        <c:ser>
          <c:idx val="0"/>
          <c:order val="0"/>
          <c:tx>
            <c:strRef>
              <c:f>'A1'!$R$134</c:f>
              <c:strCache>
                <c:ptCount val="1"/>
                <c:pt idx="0">
                  <c:v>In Center</c:v>
                </c:pt>
              </c:strCache>
            </c:strRef>
          </c:tx>
          <c:spPr>
            <a:ln w="22225" cap="rnd">
              <a:solidFill>
                <a:schemeClr val="tx1"/>
              </a:solidFill>
              <a:prstDash val="lgDash"/>
              <a:round/>
            </a:ln>
            <a:effectLst/>
          </c:spPr>
          <c:marker>
            <c:symbol val="none"/>
          </c:marker>
          <c:cat>
            <c:strRef>
              <c:f>'A1'!$S$133:$W$133</c:f>
              <c:strCache>
                <c:ptCount val="5"/>
                <c:pt idx="0">
                  <c:v>Y1</c:v>
                </c:pt>
                <c:pt idx="1">
                  <c:v>Y2</c:v>
                </c:pt>
                <c:pt idx="2">
                  <c:v>Y3</c:v>
                </c:pt>
                <c:pt idx="3">
                  <c:v>Y4</c:v>
                </c:pt>
                <c:pt idx="4">
                  <c:v>Y5</c:v>
                </c:pt>
              </c:strCache>
            </c:strRef>
          </c:cat>
          <c:val>
            <c:numRef>
              <c:f>'A1'!$S$134:$W$134</c:f>
              <c:numCache>
                <c:formatCode>_(* #,##0_);_(* \(#,##0\);_(* "-"??_);_(@_)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AF5-4CFA-875D-C3A66A5E1CF7}"/>
            </c:ext>
          </c:extLst>
        </c:ser>
        <c:ser>
          <c:idx val="1"/>
          <c:order val="1"/>
          <c:tx>
            <c:strRef>
              <c:f>'A1'!$R$135</c:f>
              <c:strCache>
                <c:ptCount val="1"/>
                <c:pt idx="0">
                  <c:v>Forecast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'A1'!$S$133:$W$133</c:f>
              <c:strCache>
                <c:ptCount val="5"/>
                <c:pt idx="0">
                  <c:v>Y1</c:v>
                </c:pt>
                <c:pt idx="1">
                  <c:v>Y2</c:v>
                </c:pt>
                <c:pt idx="2">
                  <c:v>Y3</c:v>
                </c:pt>
                <c:pt idx="3">
                  <c:v>Y4</c:v>
                </c:pt>
                <c:pt idx="4">
                  <c:v>Y5</c:v>
                </c:pt>
              </c:strCache>
            </c:strRef>
          </c:cat>
          <c:val>
            <c:numRef>
              <c:f>'A1'!$S$135:$W$135</c:f>
              <c:numCache>
                <c:formatCode>_(* #,##0_);_(* \(#,##0\);_(* "-"??_);_(@_)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AF5-4CFA-875D-C3A66A5E1C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90330944"/>
        <c:axId val="790325848"/>
      </c:lineChart>
      <c:catAx>
        <c:axId val="7903309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790325848"/>
        <c:crosses val="autoZero"/>
        <c:auto val="1"/>
        <c:lblAlgn val="ctr"/>
        <c:lblOffset val="100"/>
        <c:noMultiLvlLbl val="0"/>
      </c:catAx>
      <c:valAx>
        <c:axId val="790325848"/>
        <c:scaling>
          <c:orientation val="minMax"/>
        </c:scaling>
        <c:delete val="0"/>
        <c:axPos val="l"/>
        <c:numFmt formatCode="_(* #,##0_);_(* \(#,##0\);_(* &quot;-&quot;??_);_(@_)" sourceLinked="1"/>
        <c:majorTickMark val="none"/>
        <c:minorTickMark val="none"/>
        <c:tickLblPos val="nextTo"/>
        <c:spPr>
          <a:noFill/>
          <a:ln w="952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7903309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rgbClr val="FFFFCC"/>
    </a:solidFill>
    <a:ln w="9525" cap="flat" cmpd="sng" algn="ctr">
      <a:noFill/>
      <a:round/>
    </a:ln>
    <a:effectLst/>
  </c:spPr>
  <c:txPr>
    <a:bodyPr/>
    <a:lstStyle/>
    <a:p>
      <a:pPr>
        <a:defRPr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000000000000144" l="0.70000000000000062" r="0.70000000000000062" t="0.75000000000000144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spPr>
            <a:ln w="9525">
              <a:solidFill>
                <a:schemeClr val="tx1"/>
              </a:solidFill>
            </a:ln>
          </c:spPr>
          <c:dPt>
            <c:idx val="0"/>
            <c:bubble3D val="0"/>
            <c:spPr>
              <a:solidFill>
                <a:schemeClr val="bg2">
                  <a:lumMod val="90000"/>
                </a:schemeClr>
              </a:solidFill>
              <a:ln w="9525">
                <a:solidFill>
                  <a:schemeClr val="tx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AF4D-497D-A4BE-C31BCD31D6B2}"/>
              </c:ext>
            </c:extLst>
          </c:dPt>
          <c:dPt>
            <c:idx val="1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9525">
                <a:solidFill>
                  <a:schemeClr val="tx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AF4D-497D-A4BE-C31BCD31D6B2}"/>
              </c:ext>
            </c:extLst>
          </c:dPt>
          <c:dPt>
            <c:idx val="2"/>
            <c:bubble3D val="0"/>
            <c:spPr>
              <a:solidFill>
                <a:srgbClr val="FF0000"/>
              </a:solidFill>
              <a:ln w="9525">
                <a:solidFill>
                  <a:schemeClr val="tx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AF4D-497D-A4BE-C31BCD31D6B2}"/>
              </c:ext>
            </c:extLst>
          </c:dPt>
          <c:dLbls>
            <c:dLbl>
              <c:idx val="0"/>
              <c:layout>
                <c:manualLayout>
                  <c:x val="0.27524416504160992"/>
                  <c:y val="1.3178019478565485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1-AF4D-497D-A4BE-C31BCD31D6B2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cat>
            <c:strRef>
              <c:f>'A1'!$R$157:$R$159</c:f>
              <c:strCache>
                <c:ptCount val="3"/>
                <c:pt idx="0">
                  <c:v>TI &amp; Equip.</c:v>
                </c:pt>
                <c:pt idx="1">
                  <c:v>WC</c:v>
                </c:pt>
                <c:pt idx="2">
                  <c:v>Startup Losses</c:v>
                </c:pt>
              </c:strCache>
            </c:strRef>
          </c:cat>
          <c:val>
            <c:numRef>
              <c:f>'A1'!$S$157:$S$159</c:f>
              <c:numCache>
                <c:formatCode>"$"#,##0_);\("$"#,##0\)</c:formatCode>
                <c:ptCount val="3"/>
                <c:pt idx="0">
                  <c:v>265</c:v>
                </c:pt>
                <c:pt idx="1">
                  <c:v>374.82006616561949</c:v>
                </c:pt>
                <c:pt idx="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6-AF4D-497D-A4BE-C31BCD31D6B2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rgbClr val="FFFFCC"/>
    </a:solidFill>
    <a:ln w="9525" cap="flat" cmpd="sng" algn="ctr">
      <a:noFill/>
      <a:round/>
    </a:ln>
    <a:effectLst/>
  </c:spPr>
  <c:txPr>
    <a:bodyPr/>
    <a:lstStyle/>
    <a:p>
      <a:pPr>
        <a:defRPr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000000000000144" l="0.70000000000000062" r="0.70000000000000062" t="0.75000000000000144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821401911916974"/>
          <c:y val="5.1058944734711911E-2"/>
          <c:w val="0.73707240723350176"/>
          <c:h val="0.80303407167562002"/>
        </c:manualLayout>
      </c:layout>
      <c:lineChart>
        <c:grouping val="standard"/>
        <c:varyColors val="0"/>
        <c:ser>
          <c:idx val="0"/>
          <c:order val="0"/>
          <c:tx>
            <c:strRef>
              <c:f>'A1'!$R$150</c:f>
              <c:strCache>
                <c:ptCount val="1"/>
                <c:pt idx="0">
                  <c:v>Patients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'A1'!$S$133:$W$133</c:f>
              <c:strCache>
                <c:ptCount val="5"/>
                <c:pt idx="0">
                  <c:v>Y1</c:v>
                </c:pt>
                <c:pt idx="1">
                  <c:v>Y2</c:v>
                </c:pt>
                <c:pt idx="2">
                  <c:v>Y3</c:v>
                </c:pt>
                <c:pt idx="3">
                  <c:v>Y4</c:v>
                </c:pt>
                <c:pt idx="4">
                  <c:v>Y5</c:v>
                </c:pt>
              </c:strCache>
            </c:strRef>
          </c:cat>
          <c:val>
            <c:numRef>
              <c:f>'A1'!$S$150:$W$150</c:f>
              <c:numCache>
                <c:formatCode>#,##0_);\(#,##0\)</c:formatCode>
                <c:ptCount val="5"/>
                <c:pt idx="0">
                  <c:v>59.160381718422364</c:v>
                </c:pt>
                <c:pt idx="1">
                  <c:v>61.224800000000037</c:v>
                </c:pt>
                <c:pt idx="2">
                  <c:v>63.061544000000033</c:v>
                </c:pt>
                <c:pt idx="3">
                  <c:v>64.95339032000004</c:v>
                </c:pt>
                <c:pt idx="4">
                  <c:v>66.901992029600038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753-4B78-9D2B-4178EFF8A1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90212560"/>
        <c:axId val="790210208"/>
      </c:lineChart>
      <c:catAx>
        <c:axId val="7902125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790210208"/>
        <c:crosses val="autoZero"/>
        <c:auto val="1"/>
        <c:lblAlgn val="ctr"/>
        <c:lblOffset val="100"/>
        <c:noMultiLvlLbl val="0"/>
      </c:catAx>
      <c:valAx>
        <c:axId val="790210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_);\(#,##0\)" sourceLinked="1"/>
        <c:majorTickMark val="none"/>
        <c:minorTickMark val="none"/>
        <c:tickLblPos val="nextTo"/>
        <c:spPr>
          <a:noFill/>
          <a:ln w="12700">
            <a:solidFill>
              <a:schemeClr val="accent1">
                <a:lumMod val="7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7902125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rgbClr val="FFFFCC"/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chemeClr val="tx1"/>
          </a:solidFill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000000000000144" l="0.70000000000000062" r="0.70000000000000062" t="0.75000000000000144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140604070264274"/>
          <c:y val="7.7474146376864145E-2"/>
          <c:w val="0.80493353426921455"/>
          <c:h val="0.6968050364672163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'A1'!$R$128</c:f>
              <c:strCache>
                <c:ptCount val="1"/>
                <c:pt idx="0">
                  <c:v>Revenues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'A1'!$S$127:$W$127</c:f>
              <c:strCache>
                <c:ptCount val="5"/>
                <c:pt idx="0">
                  <c:v>Y1</c:v>
                </c:pt>
                <c:pt idx="1">
                  <c:v>Y2</c:v>
                </c:pt>
                <c:pt idx="2">
                  <c:v>Y3</c:v>
                </c:pt>
                <c:pt idx="3">
                  <c:v>Y4</c:v>
                </c:pt>
                <c:pt idx="4">
                  <c:v>Y5</c:v>
                </c:pt>
              </c:strCache>
            </c:strRef>
          </c:cat>
          <c:val>
            <c:numRef>
              <c:f>'A1'!$S$128:$W$128</c:f>
              <c:numCache>
                <c:formatCode>"$"#,##0.0_);\("$"#,##0.0\)</c:formatCode>
                <c:ptCount val="5"/>
                <c:pt idx="0">
                  <c:v>3.533807806374456</c:v>
                </c:pt>
                <c:pt idx="1">
                  <c:v>3.6936922412977857</c:v>
                </c:pt>
                <c:pt idx="2">
                  <c:v>3.8425480386220867</c:v>
                </c:pt>
                <c:pt idx="3">
                  <c:v>3.9974027245785568</c:v>
                </c:pt>
                <c:pt idx="4">
                  <c:v>4.1584980543790717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6F47-49FF-B4C2-3217527B4B75}"/>
            </c:ext>
          </c:extLst>
        </c:ser>
        <c:ser>
          <c:idx val="2"/>
          <c:order val="2"/>
          <c:tx>
            <c:strRef>
              <c:f>'A1'!$R$130</c:f>
              <c:strCache>
                <c:ptCount val="1"/>
                <c:pt idx="0">
                  <c:v>Income </c:v>
                </c:pt>
              </c:strCache>
            </c:strRef>
          </c:tx>
          <c:spPr>
            <a:solidFill>
              <a:srgbClr val="FFC00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'A1'!$S$127:$W$127</c:f>
              <c:strCache>
                <c:ptCount val="5"/>
                <c:pt idx="0">
                  <c:v>Y1</c:v>
                </c:pt>
                <c:pt idx="1">
                  <c:v>Y2</c:v>
                </c:pt>
                <c:pt idx="2">
                  <c:v>Y3</c:v>
                </c:pt>
                <c:pt idx="3">
                  <c:v>Y4</c:v>
                </c:pt>
                <c:pt idx="4">
                  <c:v>Y5</c:v>
                </c:pt>
              </c:strCache>
            </c:strRef>
          </c:cat>
          <c:val>
            <c:numRef>
              <c:f>'A1'!$S$130:$W$130</c:f>
              <c:numCache>
                <c:formatCode>"$"#,##0.0_);\("$"#,##0.0\)</c:formatCode>
                <c:ptCount val="5"/>
                <c:pt idx="0">
                  <c:v>0.40107908596624314</c:v>
                </c:pt>
                <c:pt idx="1">
                  <c:v>0.25604838282917469</c:v>
                </c:pt>
                <c:pt idx="2">
                  <c:v>0.22173460077756169</c:v>
                </c:pt>
                <c:pt idx="3">
                  <c:v>0.17103207481956439</c:v>
                </c:pt>
                <c:pt idx="4">
                  <c:v>0.11361280418072306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6F47-49FF-B4C2-3217527B4B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790201976"/>
        <c:axId val="790201584"/>
      </c:barChart>
      <c:lineChart>
        <c:grouping val="standard"/>
        <c:varyColors val="0"/>
        <c:ser>
          <c:idx val="1"/>
          <c:order val="1"/>
          <c:tx>
            <c:strRef>
              <c:f>'A1'!$R$129</c:f>
              <c:strCache>
                <c:ptCount val="1"/>
                <c:pt idx="0">
                  <c:v>EBITDA</c:v>
                </c:pt>
              </c:strCache>
            </c:strRef>
          </c:tx>
          <c:spPr>
            <a:ln w="28575" cap="rnd">
              <a:solidFill>
                <a:schemeClr val="accent2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'A1'!$S$127:$W$127</c:f>
              <c:strCache>
                <c:ptCount val="5"/>
                <c:pt idx="0">
                  <c:v>Y1</c:v>
                </c:pt>
                <c:pt idx="1">
                  <c:v>Y2</c:v>
                </c:pt>
                <c:pt idx="2">
                  <c:v>Y3</c:v>
                </c:pt>
                <c:pt idx="3">
                  <c:v>Y4</c:v>
                </c:pt>
                <c:pt idx="4">
                  <c:v>Y5</c:v>
                </c:pt>
              </c:strCache>
            </c:strRef>
          </c:cat>
          <c:val>
            <c:numRef>
              <c:f>'A1'!$S$129:$W$129</c:f>
              <c:numCache>
                <c:formatCode>"$"#,##0.0_);\("$"#,##0.0\)</c:formatCode>
                <c:ptCount val="5"/>
                <c:pt idx="0">
                  <c:v>0.41379553739481456</c:v>
                </c:pt>
                <c:pt idx="1">
                  <c:v>0.3797648342577461</c:v>
                </c:pt>
                <c:pt idx="2">
                  <c:v>0.33522289220613311</c:v>
                </c:pt>
                <c:pt idx="3">
                  <c:v>0.28452036624813581</c:v>
                </c:pt>
                <c:pt idx="4">
                  <c:v>0.22710109560929448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F47-49FF-B4C2-3217527B4B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90201976"/>
        <c:axId val="790201584"/>
      </c:lineChart>
      <c:catAx>
        <c:axId val="7902019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790201584"/>
        <c:crosses val="autoZero"/>
        <c:auto val="1"/>
        <c:lblAlgn val="ctr"/>
        <c:lblOffset val="100"/>
        <c:noMultiLvlLbl val="0"/>
      </c:catAx>
      <c:valAx>
        <c:axId val="7902015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.0_);\(&quot;$&quot;#,##0.0\)" sourceLinked="1"/>
        <c:majorTickMark val="none"/>
        <c:minorTickMark val="none"/>
        <c:tickLblPos val="nextTo"/>
        <c:spPr>
          <a:noFill/>
          <a:ln w="12700"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7902019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0265277039756533"/>
          <c:y val="0.89877150772820069"/>
          <c:w val="0.8130993671803296"/>
          <c:h val="7.345071449402157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CC"/>
    </a:solidFill>
    <a:ln w="9525" cap="flat" cmpd="sng" algn="ctr">
      <a:noFill/>
      <a:round/>
    </a:ln>
    <a:effectLst/>
  </c:spPr>
  <c:txPr>
    <a:bodyPr/>
    <a:lstStyle/>
    <a:p>
      <a:pPr>
        <a:defRPr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000000000000144" l="0.70000000000000062" r="0.70000000000000062" t="0.75000000000000144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515591514363459"/>
          <c:y val="5.1058944734711911E-2"/>
          <c:w val="0.74013051120903461"/>
          <c:h val="0.80921241050119364"/>
        </c:manualLayout>
      </c:layout>
      <c:lineChart>
        <c:grouping val="standard"/>
        <c:varyColors val="0"/>
        <c:ser>
          <c:idx val="1"/>
          <c:order val="0"/>
          <c:tx>
            <c:strRef>
              <c:f>'A1'!$R$151</c:f>
              <c:strCache>
                <c:ptCount val="1"/>
                <c:pt idx="0">
                  <c:v>Treatments (000)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'A1'!$S$133:$W$133</c:f>
              <c:strCache>
                <c:ptCount val="5"/>
                <c:pt idx="0">
                  <c:v>Y1</c:v>
                </c:pt>
                <c:pt idx="1">
                  <c:v>Y2</c:v>
                </c:pt>
                <c:pt idx="2">
                  <c:v>Y3</c:v>
                </c:pt>
                <c:pt idx="3">
                  <c:v>Y4</c:v>
                </c:pt>
                <c:pt idx="4">
                  <c:v>Y5</c:v>
                </c:pt>
              </c:strCache>
            </c:strRef>
          </c:cat>
          <c:val>
            <c:numRef>
              <c:f>'A1'!$S$151:$W$151</c:f>
              <c:numCache>
                <c:formatCode>_(* #,##0.0_);_(* \(#,##0.0\);_(* "-"??_);_(@_)</c:formatCode>
                <c:ptCount val="5"/>
                <c:pt idx="0">
                  <c:v>9.1632354854031028</c:v>
                </c:pt>
                <c:pt idx="1">
                  <c:v>9.4829891838241682</c:v>
                </c:pt>
                <c:pt idx="2">
                  <c:v>9.7674788593388904</c:v>
                </c:pt>
                <c:pt idx="3">
                  <c:v>10.060503225119058</c:v>
                </c:pt>
                <c:pt idx="4">
                  <c:v>10.36231832187263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03A-4217-8A0F-F0A2347F28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90211384"/>
        <c:axId val="790205112"/>
      </c:lineChart>
      <c:catAx>
        <c:axId val="7902113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790205112"/>
        <c:crosses val="autoZero"/>
        <c:auto val="1"/>
        <c:lblAlgn val="ctr"/>
        <c:lblOffset val="100"/>
        <c:noMultiLvlLbl val="0"/>
      </c:catAx>
      <c:valAx>
        <c:axId val="7902051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.0_);_(* \(#,##0.0\);_(* &quot;-&quot;??_);_(@_)" sourceLinked="1"/>
        <c:majorTickMark val="none"/>
        <c:minorTickMark val="none"/>
        <c:tickLblPos val="nextTo"/>
        <c:spPr>
          <a:noFill/>
          <a:ln w="12700">
            <a:solidFill>
              <a:schemeClr val="accent1">
                <a:lumMod val="7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7902113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rgbClr val="FFFFCC"/>
    </a:solidFill>
    <a:ln w="9525" cap="flat" cmpd="sng" algn="ctr">
      <a:noFill/>
      <a:round/>
    </a:ln>
    <a:effectLst/>
  </c:spPr>
  <c:txPr>
    <a:bodyPr/>
    <a:lstStyle/>
    <a:p>
      <a:pPr>
        <a:defRPr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000000000000144" l="0.70000000000000062" r="0.70000000000000062" t="0.75000000000000144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spPr>
            <a:ln w="9525">
              <a:solidFill>
                <a:schemeClr val="tx1"/>
              </a:solidFill>
            </a:ln>
          </c:spPr>
          <c:dPt>
            <c:idx val="0"/>
            <c:bubble3D val="0"/>
            <c:spPr>
              <a:solidFill>
                <a:schemeClr val="bg2">
                  <a:lumMod val="90000"/>
                </a:schemeClr>
              </a:solidFill>
              <a:ln w="9525">
                <a:solidFill>
                  <a:schemeClr val="tx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AA58-4315-8683-50D3FD15AE05}"/>
              </c:ext>
            </c:extLst>
          </c:dPt>
          <c:dPt>
            <c:idx val="1"/>
            <c:bubble3D val="0"/>
            <c:spPr>
              <a:solidFill>
                <a:schemeClr val="accent1">
                  <a:lumMod val="20000"/>
                  <a:lumOff val="80000"/>
                </a:schemeClr>
              </a:solidFill>
              <a:ln w="9525">
                <a:solidFill>
                  <a:schemeClr val="tx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AA58-4315-8683-50D3FD15AE05}"/>
              </c:ext>
            </c:extLst>
          </c:dPt>
          <c:dPt>
            <c:idx val="2"/>
            <c:bubble3D val="0"/>
            <c:spPr>
              <a:solidFill>
                <a:srgbClr val="FF0000"/>
              </a:solidFill>
              <a:ln w="9525">
                <a:solidFill>
                  <a:schemeClr val="tx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AA58-4315-8683-50D3FD15AE05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cat>
            <c:strRef>
              <c:f>'A1'!$R$157:$R$159</c:f>
              <c:strCache>
                <c:ptCount val="3"/>
                <c:pt idx="0">
                  <c:v>TI &amp; Equip.</c:v>
                </c:pt>
                <c:pt idx="1">
                  <c:v>WC</c:v>
                </c:pt>
                <c:pt idx="2">
                  <c:v>Startup Losses</c:v>
                </c:pt>
              </c:strCache>
            </c:strRef>
          </c:cat>
          <c:val>
            <c:numRef>
              <c:f>'A1'!$S$157:$S$159</c:f>
              <c:numCache>
                <c:formatCode>"$"#,##0_);\("$"#,##0\)</c:formatCode>
                <c:ptCount val="3"/>
                <c:pt idx="0">
                  <c:v>265</c:v>
                </c:pt>
                <c:pt idx="1">
                  <c:v>374.82006616561949</c:v>
                </c:pt>
                <c:pt idx="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6-AA58-4315-8683-50D3FD15AE05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zero"/>
    <c:showDLblsOverMax val="0"/>
  </c:chart>
  <c:spPr>
    <a:noFill/>
    <a:ln w="9525" cap="flat" cmpd="sng" algn="ctr">
      <a:solidFill>
        <a:schemeClr val="tx1"/>
      </a:solidFill>
      <a:round/>
    </a:ln>
    <a:effectLst/>
  </c:spPr>
  <c:txPr>
    <a:bodyPr/>
    <a:lstStyle/>
    <a:p>
      <a:pPr>
        <a:defRPr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000000000000144" l="0.70000000000000062" r="0.70000000000000062" t="0.75000000000000144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en-US" sz="1200" b="1"/>
              <a:t>Cash Position</a:t>
            </a:r>
          </a:p>
        </c:rich>
      </c:tx>
      <c:layout>
        <c:manualLayout>
          <c:xMode val="edge"/>
          <c:yMode val="edge"/>
          <c:x val="0.40557210196759086"/>
          <c:y val="8.8304615814201008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5845837929070636"/>
          <c:y val="0.11943511151462778"/>
          <c:w val="0.8346001899875054"/>
          <c:h val="0.73383781097280165"/>
        </c:manualLayout>
      </c:layout>
      <c:barChart>
        <c:barDir val="col"/>
        <c:grouping val="clustered"/>
        <c:varyColors val="0"/>
        <c:ser>
          <c:idx val="1"/>
          <c:order val="1"/>
          <c:tx>
            <c:strRef>
              <c:f>'A1'!$F$95</c:f>
              <c:strCache>
                <c:ptCount val="1"/>
                <c:pt idx="0">
                  <c:v>Ending Cash Balance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'A1'!$D$96:$D$114</c:f>
              <c:strCache>
                <c:ptCount val="19"/>
                <c:pt idx="0">
                  <c:v>M1</c:v>
                </c:pt>
                <c:pt idx="1">
                  <c:v>M2</c:v>
                </c:pt>
                <c:pt idx="2">
                  <c:v>M3</c:v>
                </c:pt>
                <c:pt idx="3">
                  <c:v>M4</c:v>
                </c:pt>
                <c:pt idx="4">
                  <c:v>M5</c:v>
                </c:pt>
                <c:pt idx="5">
                  <c:v>M6</c:v>
                </c:pt>
                <c:pt idx="6">
                  <c:v>M7</c:v>
                </c:pt>
                <c:pt idx="7">
                  <c:v>M8</c:v>
                </c:pt>
                <c:pt idx="8">
                  <c:v>M9</c:v>
                </c:pt>
                <c:pt idx="9">
                  <c:v>M10</c:v>
                </c:pt>
                <c:pt idx="10">
                  <c:v>M11</c:v>
                </c:pt>
                <c:pt idx="11">
                  <c:v>M12</c:v>
                </c:pt>
                <c:pt idx="12">
                  <c:v>Y2Q1</c:v>
                </c:pt>
                <c:pt idx="13">
                  <c:v>Y2Q2</c:v>
                </c:pt>
                <c:pt idx="14">
                  <c:v>Y2Q3</c:v>
                </c:pt>
                <c:pt idx="15">
                  <c:v>Y2Q4</c:v>
                </c:pt>
                <c:pt idx="16">
                  <c:v>Y3</c:v>
                </c:pt>
                <c:pt idx="17">
                  <c:v>Y4</c:v>
                </c:pt>
                <c:pt idx="18">
                  <c:v>Y5</c:v>
                </c:pt>
              </c:strCache>
            </c:strRef>
          </c:cat>
          <c:val>
            <c:numRef>
              <c:f>'A1'!$F$96:$F$114</c:f>
              <c:numCache>
                <c:formatCode>"$"#,##0_);\("$"#,##0\)</c:formatCode>
                <c:ptCount val="19"/>
                <c:pt idx="0">
                  <c:v>635</c:v>
                </c:pt>
                <c:pt idx="1">
                  <c:v>640</c:v>
                </c:pt>
                <c:pt idx="2">
                  <c:v>567</c:v>
                </c:pt>
                <c:pt idx="3">
                  <c:v>573</c:v>
                </c:pt>
                <c:pt idx="4">
                  <c:v>578</c:v>
                </c:pt>
                <c:pt idx="5">
                  <c:v>506</c:v>
                </c:pt>
                <c:pt idx="6">
                  <c:v>513</c:v>
                </c:pt>
                <c:pt idx="7">
                  <c:v>519</c:v>
                </c:pt>
                <c:pt idx="8">
                  <c:v>448</c:v>
                </c:pt>
                <c:pt idx="9">
                  <c:v>455</c:v>
                </c:pt>
                <c:pt idx="10">
                  <c:v>462</c:v>
                </c:pt>
                <c:pt idx="11">
                  <c:v>391</c:v>
                </c:pt>
                <c:pt idx="12">
                  <c:v>211</c:v>
                </c:pt>
                <c:pt idx="13">
                  <c:v>288</c:v>
                </c:pt>
                <c:pt idx="14">
                  <c:v>366</c:v>
                </c:pt>
                <c:pt idx="15">
                  <c:v>446</c:v>
                </c:pt>
                <c:pt idx="16">
                  <c:v>438</c:v>
                </c:pt>
                <c:pt idx="17">
                  <c:v>464</c:v>
                </c:pt>
                <c:pt idx="18">
                  <c:v>491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500C-4929-B4A8-27292F1CE2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90209032"/>
        <c:axId val="790210992"/>
      </c:barChart>
      <c:lineChart>
        <c:grouping val="standard"/>
        <c:varyColors val="0"/>
        <c:ser>
          <c:idx val="0"/>
          <c:order val="0"/>
          <c:tx>
            <c:strRef>
              <c:f>'A1'!$E$95</c:f>
              <c:strCache>
                <c:ptCount val="1"/>
                <c:pt idx="0">
                  <c:v>Cash Generation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'A1'!$D$96:$D$114</c:f>
              <c:strCache>
                <c:ptCount val="19"/>
                <c:pt idx="0">
                  <c:v>M1</c:v>
                </c:pt>
                <c:pt idx="1">
                  <c:v>M2</c:v>
                </c:pt>
                <c:pt idx="2">
                  <c:v>M3</c:v>
                </c:pt>
                <c:pt idx="3">
                  <c:v>M4</c:v>
                </c:pt>
                <c:pt idx="4">
                  <c:v>M5</c:v>
                </c:pt>
                <c:pt idx="5">
                  <c:v>M6</c:v>
                </c:pt>
                <c:pt idx="6">
                  <c:v>M7</c:v>
                </c:pt>
                <c:pt idx="7">
                  <c:v>M8</c:v>
                </c:pt>
                <c:pt idx="8">
                  <c:v>M9</c:v>
                </c:pt>
                <c:pt idx="9">
                  <c:v>M10</c:v>
                </c:pt>
                <c:pt idx="10">
                  <c:v>M11</c:v>
                </c:pt>
                <c:pt idx="11">
                  <c:v>M12</c:v>
                </c:pt>
                <c:pt idx="12">
                  <c:v>Y2Q1</c:v>
                </c:pt>
                <c:pt idx="13">
                  <c:v>Y2Q2</c:v>
                </c:pt>
                <c:pt idx="14">
                  <c:v>Y2Q3</c:v>
                </c:pt>
                <c:pt idx="15">
                  <c:v>Y2Q4</c:v>
                </c:pt>
                <c:pt idx="16">
                  <c:v>Y3</c:v>
                </c:pt>
                <c:pt idx="17">
                  <c:v>Y4</c:v>
                </c:pt>
                <c:pt idx="18">
                  <c:v>Y5</c:v>
                </c:pt>
              </c:strCache>
            </c:strRef>
          </c:cat>
          <c:val>
            <c:numRef>
              <c:f>'A1'!$E$96:$E$114</c:f>
              <c:numCache>
                <c:formatCode>"$"#,##0_);\("$"#,##0\)</c:formatCode>
                <c:ptCount val="19"/>
                <c:pt idx="0">
                  <c:v>-4.9860529075050053</c:v>
                </c:pt>
                <c:pt idx="1">
                  <c:v>5.1347665242842382</c:v>
                </c:pt>
                <c:pt idx="2">
                  <c:v>-73.000299601058614</c:v>
                </c:pt>
                <c:pt idx="3">
                  <c:v>5.619627671829253</c:v>
                </c:pt>
                <c:pt idx="4">
                  <c:v>5.8632493760155491</c:v>
                </c:pt>
                <c:pt idx="5">
                  <c:v>-72.269431886034994</c:v>
                </c:pt>
                <c:pt idx="6">
                  <c:v>6.3528880575671565</c:v>
                </c:pt>
                <c:pt idx="7">
                  <c:v>6.5989102654489713</c:v>
                </c:pt>
                <c:pt idx="8">
                  <c:v>-71.531362634281621</c:v>
                </c:pt>
                <c:pt idx="9">
                  <c:v>7.0933735559919455</c:v>
                </c:pt>
                <c:pt idx="10">
                  <c:v>7.3418199207081969</c:v>
                </c:pt>
                <c:pt idx="11">
                  <c:v>-70.786020886129393</c:v>
                </c:pt>
                <c:pt idx="12">
                  <c:v>-179.82042900959499</c:v>
                </c:pt>
                <c:pt idx="13">
                  <c:v>76.704415917880794</c:v>
                </c:pt>
                <c:pt idx="14">
                  <c:v>78.228521898331081</c:v>
                </c:pt>
                <c:pt idx="15">
                  <c:v>79.751883450933306</c:v>
                </c:pt>
                <c:pt idx="16">
                  <c:v>-7.7002825780107855</c:v>
                </c:pt>
                <c:pt idx="17">
                  <c:v>25.694651489308399</c:v>
                </c:pt>
                <c:pt idx="18">
                  <c:v>27.31432505491955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500C-4929-B4A8-27292F1CE2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90209032"/>
        <c:axId val="790210992"/>
      </c:lineChart>
      <c:catAx>
        <c:axId val="7902090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790210992"/>
        <c:crosses val="autoZero"/>
        <c:auto val="1"/>
        <c:lblAlgn val="ctr"/>
        <c:lblOffset val="100"/>
        <c:noMultiLvlLbl val="0"/>
      </c:catAx>
      <c:valAx>
        <c:axId val="7902109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_);\(&quot;$&quot;#,##0\)" sourceLinked="1"/>
        <c:majorTickMark val="none"/>
        <c:minorTickMark val="none"/>
        <c:tickLblPos val="nextTo"/>
        <c:spPr>
          <a:noFill/>
          <a:ln w="12700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7902090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1326064689761772"/>
          <c:y val="0.88987787991257805"/>
          <c:w val="0.77347870620476589"/>
          <c:h val="9.381830101757170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 cap="flat" cmpd="sng" algn="ctr">
      <a:solidFill>
        <a:schemeClr val="tx1"/>
      </a:solidFill>
      <a:round/>
    </a:ln>
    <a:effectLst/>
  </c:spPr>
  <c:txPr>
    <a:bodyPr/>
    <a:lstStyle/>
    <a:p>
      <a:pPr>
        <a:defRPr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000000000000144" l="0.70000000000000062" r="0.70000000000000062" t="0.75000000000000144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spc="0" normalizeH="0" baseline="0">
                <a:solidFill>
                  <a:schemeClr val="dk1">
                    <a:lumMod val="50000"/>
                    <a:lumOff val="50000"/>
                  </a:schemeClr>
                </a:solidFill>
                <a:latin typeface="Times New Roman" panose="02020603050405020304" pitchFamily="18" charset="0"/>
                <a:ea typeface="+mj-ea"/>
                <a:cs typeface="Times New Roman" panose="02020603050405020304" pitchFamily="18" charset="0"/>
              </a:defRPr>
            </a:pPr>
            <a:r>
              <a:rPr lang="en-US" sz="1400"/>
              <a:t>Project NPV ($Mil.)</a:t>
            </a:r>
          </a:p>
        </c:rich>
      </c:tx>
      <c:layout>
        <c:manualLayout>
          <c:xMode val="edge"/>
          <c:yMode val="edge"/>
          <c:x val="0.41558698181766468"/>
          <c:y val="8.6952534547639695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spc="0" normalizeH="0" baseline="0">
              <a:solidFill>
                <a:schemeClr val="dk1">
                  <a:lumMod val="50000"/>
                  <a:lumOff val="50000"/>
                </a:schemeClr>
              </a:solidFill>
              <a:latin typeface="Times New Roman" panose="02020603050405020304" pitchFamily="18" charset="0"/>
              <a:ea typeface="+mj-ea"/>
              <a:cs typeface="Times New Roman" panose="02020603050405020304" pitchFamily="18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949053146613814"/>
          <c:y val="0.13219666355558782"/>
          <c:w val="0.83655830623483574"/>
          <c:h val="0.66342797518810526"/>
        </c:manualLayout>
      </c:layout>
      <c:barChart>
        <c:barDir val="col"/>
        <c:grouping val="stacked"/>
        <c:varyColors val="0"/>
        <c:ser>
          <c:idx val="0"/>
          <c:order val="0"/>
          <c:spPr>
            <a:noFill/>
            <a:ln>
              <a:noFill/>
            </a:ln>
            <a:effectLst/>
          </c:spPr>
          <c:invertIfNegative val="0"/>
          <c:cat>
            <c:strRef>
              <c:f>'A1'!$S$101:$W$101</c:f>
              <c:strCache>
                <c:ptCount val="5"/>
                <c:pt idx="0">
                  <c:v>SH Equity Value</c:v>
                </c:pt>
                <c:pt idx="1">
                  <c:v>Synergies</c:v>
                </c:pt>
                <c:pt idx="2">
                  <c:v>Total Value to SH</c:v>
                </c:pt>
                <c:pt idx="3">
                  <c:v>Partner Equity Value</c:v>
                </c:pt>
                <c:pt idx="4">
                  <c:v>Total Equity Value</c:v>
                </c:pt>
              </c:strCache>
            </c:strRef>
          </c:cat>
          <c:val>
            <c:numRef>
              <c:f>'A1'!$S$102:$W$102</c:f>
              <c:numCache>
                <c:formatCode>"$"#,##0.0_);\("$"#,##0.0\)</c:formatCode>
                <c:ptCount val="5"/>
                <c:pt idx="0">
                  <c:v>0</c:v>
                </c:pt>
                <c:pt idx="1">
                  <c:v>#N/A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33FA-4503-AD8F-84DDE8C4136C}"/>
            </c:ext>
          </c:extLst>
        </c:ser>
        <c:ser>
          <c:idx val="1"/>
          <c:order val="1"/>
          <c:spPr>
            <a:solidFill>
              <a:schemeClr val="bg1">
                <a:lumMod val="95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dPt>
            <c:idx val="2"/>
            <c:invertIfNegative val="0"/>
            <c:bubble3D val="0"/>
            <c:spPr>
              <a:solidFill>
                <a:schemeClr val="accent2"/>
              </a:solidFill>
              <a:ln>
                <a:solidFill>
                  <a:schemeClr val="tx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2-33FA-4503-AD8F-84DDE8C4136C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1">
                  <a:lumMod val="75000"/>
                </a:schemeClr>
              </a:solidFill>
              <a:ln>
                <a:solidFill>
                  <a:schemeClr val="tx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4-33FA-4503-AD8F-84DDE8C4136C}"/>
              </c:ext>
            </c:extLst>
          </c:dPt>
          <c:cat>
            <c:strRef>
              <c:f>'A1'!$S$101:$W$101</c:f>
              <c:strCache>
                <c:ptCount val="5"/>
                <c:pt idx="0">
                  <c:v>SH Equity Value</c:v>
                </c:pt>
                <c:pt idx="1">
                  <c:v>Synergies</c:v>
                </c:pt>
                <c:pt idx="2">
                  <c:v>Total Value to SH</c:v>
                </c:pt>
                <c:pt idx="3">
                  <c:v>Partner Equity Value</c:v>
                </c:pt>
                <c:pt idx="4">
                  <c:v>Total Equity Value</c:v>
                </c:pt>
              </c:strCache>
            </c:strRef>
          </c:cat>
          <c:val>
            <c:numRef>
              <c:f>'A1'!$S$103:$W$103</c:f>
              <c:numCache>
                <c:formatCode>"$"#,##0.0_);\("$"#,##0.0\)</c:formatCode>
                <c:ptCount val="5"/>
                <c:pt idx="0">
                  <c:v>0.68631464635768225</c:v>
                </c:pt>
                <c:pt idx="1">
                  <c:v>#N/A</c:v>
                </c:pt>
                <c:pt idx="2">
                  <c:v>0.68631464635768225</c:v>
                </c:pt>
                <c:pt idx="3">
                  <c:v>0</c:v>
                </c:pt>
                <c:pt idx="4">
                  <c:v>0.68631464635768225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5-33FA-4503-AD8F-84DDE8C4136C}"/>
            </c:ext>
          </c:extLst>
        </c:ser>
        <c:ser>
          <c:idx val="2"/>
          <c:order val="2"/>
          <c:spPr>
            <a:solidFill>
              <a:schemeClr val="bg1">
                <a:lumMod val="95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'A1'!$S$101:$W$101</c:f>
              <c:strCache>
                <c:ptCount val="5"/>
                <c:pt idx="0">
                  <c:v>SH Equity Value</c:v>
                </c:pt>
                <c:pt idx="1">
                  <c:v>Synergies</c:v>
                </c:pt>
                <c:pt idx="2">
                  <c:v>Total Value to SH</c:v>
                </c:pt>
                <c:pt idx="3">
                  <c:v>Partner Equity Value</c:v>
                </c:pt>
                <c:pt idx="4">
                  <c:v>Total Equity Value</c:v>
                </c:pt>
              </c:strCache>
            </c:strRef>
          </c:cat>
          <c:val>
            <c:numRef>
              <c:f>'A1'!$S$104:$W$104</c:f>
              <c:numCache>
                <c:formatCode>"$"#,##0.0_);\("$"#,##0.0\)</c:formatCode>
                <c:ptCount val="5"/>
                <c:pt idx="0">
                  <c:v>0</c:v>
                </c:pt>
                <c:pt idx="1">
                  <c:v>#N/A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6-33FA-4503-AD8F-84DDE8C413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790209816"/>
        <c:axId val="790207464"/>
      </c:barChart>
      <c:lineChart>
        <c:grouping val="standard"/>
        <c:varyColors val="0"/>
        <c:ser>
          <c:idx val="3"/>
          <c:order val="3"/>
          <c:spPr>
            <a:ln w="9525" cap="rnd">
              <a:solidFill>
                <a:schemeClr val="tx1"/>
              </a:solidFill>
              <a:prstDash val="lgDash"/>
              <a:round/>
            </a:ln>
            <a:effectLst/>
          </c:spPr>
          <c:marker>
            <c:symbol val="none"/>
          </c:marker>
          <c:cat>
            <c:strRef>
              <c:f>'A1'!$S$101:$W$101</c:f>
              <c:strCache>
                <c:ptCount val="5"/>
                <c:pt idx="0">
                  <c:v>SH Equity Value</c:v>
                </c:pt>
                <c:pt idx="1">
                  <c:v>Synergies</c:v>
                </c:pt>
                <c:pt idx="2">
                  <c:v>Total Value to SH</c:v>
                </c:pt>
                <c:pt idx="3">
                  <c:v>Partner Equity Value</c:v>
                </c:pt>
                <c:pt idx="4">
                  <c:v>Total Equity Value</c:v>
                </c:pt>
              </c:strCache>
            </c:strRef>
          </c:cat>
          <c:val>
            <c:numRef>
              <c:f>'A1'!$S$105:$W$105</c:f>
              <c:numCache>
                <c:formatCode>"$"#,##0.00_);\("$"#,##0.00\)</c:formatCode>
                <c:ptCount val="5"/>
                <c:pt idx="0">
                  <c:v>0.68631464635768225</c:v>
                </c:pt>
                <c:pt idx="1">
                  <c:v>0.68631464635768225</c:v>
                </c:pt>
                <c:pt idx="3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7-33FA-4503-AD8F-84DDE8C4136C}"/>
            </c:ext>
          </c:extLst>
        </c:ser>
        <c:ser>
          <c:idx val="4"/>
          <c:order val="4"/>
          <c:spPr>
            <a:ln w="9525" cap="rnd">
              <a:solidFill>
                <a:schemeClr val="tx1"/>
              </a:solidFill>
              <a:prstDash val="lgDash"/>
              <a:round/>
            </a:ln>
            <a:effectLst/>
          </c:spPr>
          <c:marker>
            <c:symbol val="none"/>
          </c:marker>
          <c:cat>
            <c:strRef>
              <c:f>'A1'!$S$101:$W$101</c:f>
              <c:strCache>
                <c:ptCount val="5"/>
                <c:pt idx="0">
                  <c:v>SH Equity Value</c:v>
                </c:pt>
                <c:pt idx="1">
                  <c:v>Synergies</c:v>
                </c:pt>
                <c:pt idx="2">
                  <c:v>Total Value to SH</c:v>
                </c:pt>
                <c:pt idx="3">
                  <c:v>Partner Equity Value</c:v>
                </c:pt>
                <c:pt idx="4">
                  <c:v>Total Equity Value</c:v>
                </c:pt>
              </c:strCache>
            </c:strRef>
          </c:cat>
          <c:val>
            <c:numRef>
              <c:f>'A1'!$S$106:$W$106</c:f>
              <c:numCache>
                <c:formatCode>"$"#,##0_);\("$"#,##0\)</c:formatCode>
                <c:ptCount val="5"/>
                <c:pt idx="3">
                  <c:v>0.68631464635768225</c:v>
                </c:pt>
                <c:pt idx="4" formatCode="&quot;$&quot;#,##0.00_);\(&quot;$&quot;#,##0.00\)">
                  <c:v>0.68631464635768225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8-33FA-4503-AD8F-84DDE8C4136C}"/>
            </c:ext>
          </c:extLst>
        </c:ser>
        <c:ser>
          <c:idx val="5"/>
          <c:order val="5"/>
          <c:spPr>
            <a:ln w="9525" cap="rnd">
              <a:solidFill>
                <a:schemeClr val="tx1"/>
              </a:solidFill>
              <a:prstDash val="lgDash"/>
              <a:round/>
            </a:ln>
            <a:effectLst/>
          </c:spPr>
          <c:marker>
            <c:symbol val="none"/>
          </c:marker>
          <c:cat>
            <c:strRef>
              <c:f>'A1'!$S$101:$W$101</c:f>
              <c:strCache>
                <c:ptCount val="5"/>
                <c:pt idx="0">
                  <c:v>SH Equity Value</c:v>
                </c:pt>
                <c:pt idx="1">
                  <c:v>Synergies</c:v>
                </c:pt>
                <c:pt idx="2">
                  <c:v>Total Value to SH</c:v>
                </c:pt>
                <c:pt idx="3">
                  <c:v>Partner Equity Value</c:v>
                </c:pt>
                <c:pt idx="4">
                  <c:v>Total Equity Value</c:v>
                </c:pt>
              </c:strCache>
            </c:strRef>
          </c:cat>
          <c:val>
            <c:numRef>
              <c:f>'A1'!$S$107:$W$107</c:f>
              <c:numCache>
                <c:formatCode>"$"#,##0.00_);\("$"#,##0.00\)</c:formatCode>
                <c:ptCount val="5"/>
                <c:pt idx="1">
                  <c:v>0.68631464635768225</c:v>
                </c:pt>
                <c:pt idx="2">
                  <c:v>0.68631464635768225</c:v>
                </c:pt>
                <c:pt idx="3">
                  <c:v>0.68631464635768225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9-33FA-4503-AD8F-84DDE8C413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90209816"/>
        <c:axId val="790207464"/>
      </c:lineChart>
      <c:catAx>
        <c:axId val="7902098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cap="none" spc="0" normalizeH="0" baseline="0">
                <a:solidFill>
                  <a:schemeClr val="dk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790207464"/>
        <c:crosses val="autoZero"/>
        <c:auto val="0"/>
        <c:lblAlgn val="ctr"/>
        <c:lblOffset val="100"/>
        <c:noMultiLvlLbl val="0"/>
      </c:catAx>
      <c:valAx>
        <c:axId val="790207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.0_);\(&quot;$&quot;#,##0.0\)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7902098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chemeClr val="tx1"/>
      </a:solidFill>
      <a:round/>
    </a:ln>
    <a:effectLst/>
  </c:spPr>
  <c:txPr>
    <a:bodyPr/>
    <a:lstStyle/>
    <a:p>
      <a:pPr>
        <a:defRPr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000000000000144" l="0.70000000000000062" r="0.70000000000000062" t="0.75000000000000144" header="0.30000000000000032" footer="0.30000000000000032"/>
    <c:pageSetup orientation="landscape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1">
                  <a:lumMod val="50000"/>
                </a:schemeClr>
              </a:solidFill>
              <a:ln>
                <a:solidFill>
                  <a:schemeClr val="accent1">
                    <a:lumMod val="50000"/>
                  </a:schemeClr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1C2B-4C60-A511-BB0AA1D4FC5C}"/>
              </c:ext>
            </c:extLst>
          </c:dPt>
          <c:cat>
            <c:strRef>
              <c:f>'M5'!$E$55:$E$61</c:f>
              <c:strCache>
                <c:ptCount val="7"/>
                <c:pt idx="0">
                  <c:v> Base Case </c:v>
                </c:pt>
                <c:pt idx="1">
                  <c:v> Com'l Mix Change by 3% </c:v>
                </c:pt>
                <c:pt idx="2">
                  <c:v> Com'l Mix Change by 5% </c:v>
                </c:pt>
                <c:pt idx="3">
                  <c:v> Com'l Mix Change by 10% </c:v>
                </c:pt>
                <c:pt idx="4">
                  <c:v> Com'l Mix Change by -3% </c:v>
                </c:pt>
                <c:pt idx="5">
                  <c:v> Com'l Mix Change by -5% </c:v>
                </c:pt>
                <c:pt idx="6">
                  <c:v> Com'l Mix Change by -10% </c:v>
                </c:pt>
              </c:strCache>
            </c:strRef>
          </c:cat>
          <c:val>
            <c:numRef>
              <c:f>'M5'!$G$55:$G$61</c:f>
              <c:numCache>
                <c:formatCode>"$"#,##0_);\("$"#,##0\)</c:formatCode>
                <c:ptCount val="7"/>
                <c:pt idx="0">
                  <c:v>-8753.8284449394341</c:v>
                </c:pt>
                <c:pt idx="1">
                  <c:v>-8127.0558097642861</c:v>
                </c:pt>
                <c:pt idx="2">
                  <c:v>-7709.2073863141895</c:v>
                </c:pt>
                <c:pt idx="3">
                  <c:v>-6664.5863276889413</c:v>
                </c:pt>
                <c:pt idx="4">
                  <c:v>-9380.6010801145821</c:v>
                </c:pt>
                <c:pt idx="5">
                  <c:v>-9798.4495035646833</c:v>
                </c:pt>
                <c:pt idx="6">
                  <c:v>-10878.648241590396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1C2B-4C60-A511-BB0AA1D4FC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790200800"/>
        <c:axId val="790206288"/>
      </c:barChart>
      <c:lineChart>
        <c:grouping val="standard"/>
        <c:varyColors val="0"/>
        <c:ser>
          <c:idx val="1"/>
          <c:order val="1"/>
          <c:spPr>
            <a:ln w="15875" cap="rnd">
              <a:solidFill>
                <a:schemeClr val="accent1">
                  <a:lumMod val="50000"/>
                </a:schemeClr>
              </a:solidFill>
              <a:prstDash val="lgDash"/>
              <a:round/>
            </a:ln>
            <a:effectLst/>
          </c:spPr>
          <c:marker>
            <c:symbol val="none"/>
          </c:marker>
          <c:cat>
            <c:strRef>
              <c:f>'M5'!$E$55:$E$61</c:f>
              <c:strCache>
                <c:ptCount val="7"/>
                <c:pt idx="0">
                  <c:v> Base Case </c:v>
                </c:pt>
                <c:pt idx="1">
                  <c:v> Com'l Mix Change by 3% </c:v>
                </c:pt>
                <c:pt idx="2">
                  <c:v> Com'l Mix Change by 5% </c:v>
                </c:pt>
                <c:pt idx="3">
                  <c:v> Com'l Mix Change by 10% </c:v>
                </c:pt>
                <c:pt idx="4">
                  <c:v> Com'l Mix Change by -3% </c:v>
                </c:pt>
                <c:pt idx="5">
                  <c:v> Com'l Mix Change by -5% </c:v>
                </c:pt>
                <c:pt idx="6">
                  <c:v> Com'l Mix Change by -10% </c:v>
                </c:pt>
              </c:strCache>
            </c:strRef>
          </c:cat>
          <c:val>
            <c:numRef>
              <c:f>'M5'!$H$55:$H$61</c:f>
              <c:numCache>
                <c:formatCode>"$"#,##0_);\("$"#,##0\)</c:formatCode>
                <c:ptCount val="7"/>
                <c:pt idx="0">
                  <c:v>-8753.8284449394341</c:v>
                </c:pt>
                <c:pt idx="1">
                  <c:v>-8753.8284449394341</c:v>
                </c:pt>
                <c:pt idx="2">
                  <c:v>-8753.8284449394341</c:v>
                </c:pt>
                <c:pt idx="3">
                  <c:v>-8753.8284449394341</c:v>
                </c:pt>
                <c:pt idx="4">
                  <c:v>-8753.8284449394341</c:v>
                </c:pt>
                <c:pt idx="5">
                  <c:v>-8753.8284449394341</c:v>
                </c:pt>
                <c:pt idx="6">
                  <c:v>-8753.8284449394341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1C2B-4C60-A511-BB0AA1D4FC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90200800"/>
        <c:axId val="790206288"/>
      </c:lineChart>
      <c:catAx>
        <c:axId val="7902008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254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790206288"/>
        <c:crossesAt val="1"/>
        <c:auto val="0"/>
        <c:lblAlgn val="ctr"/>
        <c:lblOffset val="100"/>
        <c:noMultiLvlLbl val="0"/>
      </c:catAx>
      <c:valAx>
        <c:axId val="7902062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round/>
            </a:ln>
            <a:effectLst/>
          </c:spPr>
        </c:majorGridlines>
        <c:numFmt formatCode="&quot;$&quot;#,##0_);\(&quot;$&quot;#,##0\)" sourceLinked="1"/>
        <c:majorTickMark val="none"/>
        <c:minorTickMark val="none"/>
        <c:tickLblPos val="low"/>
        <c:spPr>
          <a:noFill/>
          <a:ln w="25400">
            <a:solidFill>
              <a:schemeClr val="tx1"/>
            </a:solidFill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790200800"/>
        <c:crosses val="autoZero"/>
        <c:crossBetween val="between"/>
      </c:valAx>
      <c:spPr>
        <a:solidFill>
          <a:srgbClr val="FFFFCC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rgbClr val="FFFFCC"/>
    </a:solidFill>
    <a:ln w="9525" cap="flat" cmpd="sng" algn="ctr">
      <a:noFill/>
      <a:round/>
    </a:ln>
    <a:effectLst/>
  </c:spPr>
  <c:txPr>
    <a:bodyPr/>
    <a:lstStyle/>
    <a:p>
      <a:pPr>
        <a:defRPr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000000000000144" l="0.70000000000000062" r="0.70000000000000062" t="0.75000000000000144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en-US" sz="1100" b="1"/>
              <a:t>Change in NPV</a:t>
            </a:r>
          </a:p>
        </c:rich>
      </c:tx>
      <c:layout>
        <c:manualLayout>
          <c:xMode val="edge"/>
          <c:yMode val="edge"/>
          <c:x val="0.3632535163873748"/>
          <c:y val="4.0899808672627295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1">
                <a:lumMod val="20000"/>
                <a:lumOff val="80000"/>
                <a:alpha val="85000"/>
              </a:schemeClr>
            </a:solidFill>
            <a:ln w="9525" cap="flat" cmpd="sng" algn="ctr">
              <a:solidFill>
                <a:schemeClr val="tx1"/>
              </a:solidFill>
              <a:round/>
            </a:ln>
            <a:effectLst/>
          </c:spPr>
          <c:invertIfNegative val="0"/>
          <c:cat>
            <c:strRef>
              <c:f>'M5'!$E$56:$E$61</c:f>
              <c:strCache>
                <c:ptCount val="6"/>
                <c:pt idx="0">
                  <c:v> Com'l Mix Change by 3% </c:v>
                </c:pt>
                <c:pt idx="1">
                  <c:v> Com'l Mix Change by 5% </c:v>
                </c:pt>
                <c:pt idx="2">
                  <c:v> Com'l Mix Change by 10% </c:v>
                </c:pt>
                <c:pt idx="3">
                  <c:v> Com'l Mix Change by -3% </c:v>
                </c:pt>
                <c:pt idx="4">
                  <c:v> Com'l Mix Change by -5% </c:v>
                </c:pt>
                <c:pt idx="5">
                  <c:v> Com'l Mix Change by -10% </c:v>
                </c:pt>
              </c:strCache>
            </c:strRef>
          </c:cat>
          <c:val>
            <c:numRef>
              <c:f>'M5'!$F$56:$F$61</c:f>
              <c:numCache>
                <c:formatCode>"$"#,##0_);\("$"#,##0\)</c:formatCode>
                <c:ptCount val="6"/>
                <c:pt idx="0">
                  <c:v>626.77263517514803</c:v>
                </c:pt>
                <c:pt idx="1">
                  <c:v>1044.6210586252446</c:v>
                </c:pt>
                <c:pt idx="2">
                  <c:v>2089.2421172504928</c:v>
                </c:pt>
                <c:pt idx="3">
                  <c:v>-626.77263517514803</c:v>
                </c:pt>
                <c:pt idx="4">
                  <c:v>-1044.6210586252491</c:v>
                </c:pt>
                <c:pt idx="5">
                  <c:v>-2124.8197966509615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0C51-40C7-AFE2-62550AC1E2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5"/>
        <c:axId val="790204328"/>
        <c:axId val="790211776"/>
      </c:barChart>
      <c:catAx>
        <c:axId val="7902043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790211776"/>
        <c:crossesAt val="1"/>
        <c:auto val="0"/>
        <c:lblAlgn val="ctr"/>
        <c:lblOffset val="100"/>
        <c:noMultiLvlLbl val="0"/>
      </c:catAx>
      <c:valAx>
        <c:axId val="790211776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&quot;$&quot;#,##0_);\(&quot;$&quot;#,##0\)" sourceLinked="1"/>
        <c:majorTickMark val="none"/>
        <c:minorTickMark val="none"/>
        <c:tickLblPos val="low"/>
        <c:spPr>
          <a:noFill/>
          <a:ln w="25400">
            <a:solidFill>
              <a:schemeClr val="tx1"/>
            </a:solidFill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7902043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 b="0"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000000000000144" l="0.70000000000000062" r="0.70000000000000062" t="0.75000000000000144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1">
                  <a:lumMod val="50000"/>
                </a:schemeClr>
              </a:solidFill>
              <a:ln>
                <a:solidFill>
                  <a:schemeClr val="tx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35AA-484A-A65F-7F224BF34199}"/>
              </c:ext>
            </c:extLst>
          </c:dPt>
          <c:cat>
            <c:strRef>
              <c:f>'M5'!$E$55:$E$61</c:f>
              <c:strCache>
                <c:ptCount val="7"/>
                <c:pt idx="0">
                  <c:v> Base Case </c:v>
                </c:pt>
                <c:pt idx="1">
                  <c:v> Com'l Mix Change by 3% </c:v>
                </c:pt>
                <c:pt idx="2">
                  <c:v> Com'l Mix Change by 5% </c:v>
                </c:pt>
                <c:pt idx="3">
                  <c:v> Com'l Mix Change by 10% </c:v>
                </c:pt>
                <c:pt idx="4">
                  <c:v> Com'l Mix Change by -3% </c:v>
                </c:pt>
                <c:pt idx="5">
                  <c:v> Com'l Mix Change by -5% </c:v>
                </c:pt>
                <c:pt idx="6">
                  <c:v> Com'l Mix Change by -10% </c:v>
                </c:pt>
              </c:strCache>
            </c:strRef>
          </c:cat>
          <c:val>
            <c:numRef>
              <c:f>'M5'!$K$55:$K$61</c:f>
              <c:numCache>
                <c:formatCode>"$"#,##0_);\("$"#,##0\)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35AA-484A-A65F-7F224BF341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790208248"/>
        <c:axId val="790203544"/>
      </c:barChart>
      <c:lineChart>
        <c:grouping val="standard"/>
        <c:varyColors val="0"/>
        <c:ser>
          <c:idx val="1"/>
          <c:order val="1"/>
          <c:spPr>
            <a:ln w="9525" cap="rnd">
              <a:solidFill>
                <a:schemeClr val="tx1"/>
              </a:solidFill>
              <a:prstDash val="lgDash"/>
              <a:round/>
            </a:ln>
            <a:effectLst/>
          </c:spPr>
          <c:marker>
            <c:symbol val="none"/>
          </c:marker>
          <c:cat>
            <c:strRef>
              <c:f>'M5'!$E$55:$E$61</c:f>
              <c:strCache>
                <c:ptCount val="7"/>
                <c:pt idx="0">
                  <c:v> Base Case </c:v>
                </c:pt>
                <c:pt idx="1">
                  <c:v> Com'l Mix Change by 3% </c:v>
                </c:pt>
                <c:pt idx="2">
                  <c:v> Com'l Mix Change by 5% </c:v>
                </c:pt>
                <c:pt idx="3">
                  <c:v> Com'l Mix Change by 10% </c:v>
                </c:pt>
                <c:pt idx="4">
                  <c:v> Com'l Mix Change by -3% </c:v>
                </c:pt>
                <c:pt idx="5">
                  <c:v> Com'l Mix Change by -5% </c:v>
                </c:pt>
                <c:pt idx="6">
                  <c:v> Com'l Mix Change by -10% </c:v>
                </c:pt>
              </c:strCache>
            </c:strRef>
          </c:cat>
          <c:val>
            <c:numRef>
              <c:f>'M5'!$L$55:$L$61</c:f>
              <c:numCache>
                <c:formatCode>"$"#,##0_);\("$"#,##0\)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35AA-484A-A65F-7F224BF341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90208248"/>
        <c:axId val="790203544"/>
      </c:lineChart>
      <c:catAx>
        <c:axId val="7902082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254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790203544"/>
        <c:crossesAt val="1"/>
        <c:auto val="0"/>
        <c:lblAlgn val="ctr"/>
        <c:lblOffset val="100"/>
        <c:noMultiLvlLbl val="0"/>
      </c:catAx>
      <c:valAx>
        <c:axId val="790203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round/>
            </a:ln>
            <a:effectLst/>
          </c:spPr>
        </c:majorGridlines>
        <c:numFmt formatCode="&quot;$&quot;#,##0_);\(&quot;$&quot;#,##0\)" sourceLinked="1"/>
        <c:majorTickMark val="none"/>
        <c:minorTickMark val="none"/>
        <c:tickLblPos val="low"/>
        <c:spPr>
          <a:noFill/>
          <a:ln w="25400">
            <a:solidFill>
              <a:schemeClr val="tx1"/>
            </a:solidFill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790208248"/>
        <c:crosses val="autoZero"/>
        <c:crossBetween val="between"/>
      </c:valAx>
      <c:spPr>
        <a:solidFill>
          <a:srgbClr val="FFFFCC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rgbClr val="FFFFCC"/>
    </a:solidFill>
    <a:ln w="9525" cap="flat" cmpd="sng" algn="ctr">
      <a:noFill/>
      <a:round/>
    </a:ln>
    <a:effectLst/>
  </c:spPr>
  <c:txPr>
    <a:bodyPr/>
    <a:lstStyle/>
    <a:p>
      <a:pPr>
        <a:defRPr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000000000000144" l="0.70000000000000062" r="0.70000000000000062" t="0.75000000000000144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en-US" sz="1100" b="1"/>
              <a:t>Change in NPV</a:t>
            </a:r>
          </a:p>
        </c:rich>
      </c:tx>
      <c:layout>
        <c:manualLayout>
          <c:xMode val="edge"/>
          <c:yMode val="edge"/>
          <c:x val="0.3632535163873748"/>
          <c:y val="4.0899808672627295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1">
                <a:lumMod val="20000"/>
                <a:lumOff val="80000"/>
              </a:schemeClr>
            </a:solidFill>
            <a:ln w="9525" cap="flat" cmpd="sng" algn="ctr">
              <a:solidFill>
                <a:schemeClr val="tx1"/>
              </a:solidFill>
              <a:round/>
            </a:ln>
            <a:effectLst/>
          </c:spPr>
          <c:invertIfNegative val="0"/>
          <c:cat>
            <c:strRef>
              <c:f>'M5'!$E$56:$E$61</c:f>
              <c:strCache>
                <c:ptCount val="6"/>
                <c:pt idx="0">
                  <c:v> Com'l Mix Change by 3% </c:v>
                </c:pt>
                <c:pt idx="1">
                  <c:v> Com'l Mix Change by 5% </c:v>
                </c:pt>
                <c:pt idx="2">
                  <c:v> Com'l Mix Change by 10% </c:v>
                </c:pt>
                <c:pt idx="3">
                  <c:v> Com'l Mix Change by -3% </c:v>
                </c:pt>
                <c:pt idx="4">
                  <c:v> Com'l Mix Change by -5% </c:v>
                </c:pt>
                <c:pt idx="5">
                  <c:v> Com'l Mix Change by -10% </c:v>
                </c:pt>
              </c:strCache>
            </c:strRef>
          </c:cat>
          <c:val>
            <c:numRef>
              <c:f>'M5'!$J$56:$J$61</c:f>
              <c:numCache>
                <c:formatCode>"$"#,##0_);\("$"#,##0\)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78AD-40E5-BB11-C9FC60A4EC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5"/>
        <c:axId val="790200408"/>
        <c:axId val="790203936"/>
      </c:barChart>
      <c:catAx>
        <c:axId val="79020040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790203936"/>
        <c:crossesAt val="1"/>
        <c:auto val="0"/>
        <c:lblAlgn val="ctr"/>
        <c:lblOffset val="100"/>
        <c:noMultiLvlLbl val="0"/>
      </c:catAx>
      <c:valAx>
        <c:axId val="790203936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&quot;$&quot;#,##0_);\(&quot;$&quot;#,##0\)" sourceLinked="1"/>
        <c:majorTickMark val="none"/>
        <c:minorTickMark val="none"/>
        <c:tickLblPos val="low"/>
        <c:spPr>
          <a:noFill/>
          <a:ln w="25400">
            <a:solidFill>
              <a:schemeClr val="tx1"/>
            </a:solidFill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7902004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 b="0"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000000000000144" l="0.70000000000000062" r="0.70000000000000062" t="0.75000000000000144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821401911916974"/>
          <c:y val="5.1058944734711911E-2"/>
          <c:w val="0.73707240723350176"/>
          <c:h val="0.80303407167562002"/>
        </c:manualLayout>
      </c:layout>
      <c:lineChart>
        <c:grouping val="standard"/>
        <c:varyColors val="0"/>
        <c:ser>
          <c:idx val="0"/>
          <c:order val="0"/>
          <c:tx>
            <c:strRef>
              <c:f>'A1'!$R$150</c:f>
              <c:strCache>
                <c:ptCount val="1"/>
                <c:pt idx="0">
                  <c:v>Patients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'A1'!$S$133:$W$133</c:f>
              <c:strCache>
                <c:ptCount val="5"/>
                <c:pt idx="0">
                  <c:v>Y1</c:v>
                </c:pt>
                <c:pt idx="1">
                  <c:v>Y2</c:v>
                </c:pt>
                <c:pt idx="2">
                  <c:v>Y3</c:v>
                </c:pt>
                <c:pt idx="3">
                  <c:v>Y4</c:v>
                </c:pt>
                <c:pt idx="4">
                  <c:v>Y5</c:v>
                </c:pt>
              </c:strCache>
            </c:strRef>
          </c:cat>
          <c:val>
            <c:numRef>
              <c:f>'A1'!$S$150:$W$150</c:f>
              <c:numCache>
                <c:formatCode>#,##0_);\(#,##0\)</c:formatCode>
                <c:ptCount val="5"/>
                <c:pt idx="0">
                  <c:v>59.160381718422364</c:v>
                </c:pt>
                <c:pt idx="1">
                  <c:v>61.224800000000037</c:v>
                </c:pt>
                <c:pt idx="2">
                  <c:v>63.061544000000033</c:v>
                </c:pt>
                <c:pt idx="3">
                  <c:v>64.95339032000004</c:v>
                </c:pt>
                <c:pt idx="4">
                  <c:v>66.901992029600038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19E-47FF-A6FD-CFF7E13BEF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90220008"/>
        <c:axId val="790218832"/>
      </c:lineChart>
      <c:catAx>
        <c:axId val="7902200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790218832"/>
        <c:crosses val="autoZero"/>
        <c:auto val="1"/>
        <c:lblAlgn val="ctr"/>
        <c:lblOffset val="100"/>
        <c:noMultiLvlLbl val="0"/>
      </c:catAx>
      <c:valAx>
        <c:axId val="7902188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_);\(#,##0\)" sourceLinked="1"/>
        <c:majorTickMark val="none"/>
        <c:minorTickMark val="none"/>
        <c:tickLblPos val="nextTo"/>
        <c:spPr>
          <a:noFill/>
          <a:ln w="12700">
            <a:solidFill>
              <a:schemeClr val="accent1">
                <a:lumMod val="7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790220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rgbClr val="FFFFCC"/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chemeClr val="tx1"/>
          </a:solidFill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000000000000144" l="0.70000000000000062" r="0.70000000000000062" t="0.75000000000000144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140604070264274"/>
          <c:y val="6.9197314709125782E-2"/>
          <c:w val="0.80493353426921455"/>
          <c:h val="0.70508154539650614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'A1'!$R$128</c:f>
              <c:strCache>
                <c:ptCount val="1"/>
                <c:pt idx="0">
                  <c:v>Revenues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'A1'!$S$127:$W$127</c:f>
              <c:strCache>
                <c:ptCount val="5"/>
                <c:pt idx="0">
                  <c:v>Y1</c:v>
                </c:pt>
                <c:pt idx="1">
                  <c:v>Y2</c:v>
                </c:pt>
                <c:pt idx="2">
                  <c:v>Y3</c:v>
                </c:pt>
                <c:pt idx="3">
                  <c:v>Y4</c:v>
                </c:pt>
                <c:pt idx="4">
                  <c:v>Y5</c:v>
                </c:pt>
              </c:strCache>
            </c:strRef>
          </c:cat>
          <c:val>
            <c:numRef>
              <c:f>'A1'!$S$128:$W$128</c:f>
              <c:numCache>
                <c:formatCode>"$"#,##0.0_);\("$"#,##0.0\)</c:formatCode>
                <c:ptCount val="5"/>
                <c:pt idx="0">
                  <c:v>3.533807806374456</c:v>
                </c:pt>
                <c:pt idx="1">
                  <c:v>3.6936922412977857</c:v>
                </c:pt>
                <c:pt idx="2">
                  <c:v>3.8425480386220867</c:v>
                </c:pt>
                <c:pt idx="3">
                  <c:v>3.9974027245785568</c:v>
                </c:pt>
                <c:pt idx="4">
                  <c:v>4.1584980543790717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5978-4F75-918C-A70219FEB9D9}"/>
            </c:ext>
          </c:extLst>
        </c:ser>
        <c:ser>
          <c:idx val="2"/>
          <c:order val="2"/>
          <c:tx>
            <c:strRef>
              <c:f>'A1'!$R$130</c:f>
              <c:strCache>
                <c:ptCount val="1"/>
                <c:pt idx="0">
                  <c:v>Income </c:v>
                </c:pt>
              </c:strCache>
            </c:strRef>
          </c:tx>
          <c:spPr>
            <a:solidFill>
              <a:srgbClr val="FFC00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'A1'!$S$127:$W$127</c:f>
              <c:strCache>
                <c:ptCount val="5"/>
                <c:pt idx="0">
                  <c:v>Y1</c:v>
                </c:pt>
                <c:pt idx="1">
                  <c:v>Y2</c:v>
                </c:pt>
                <c:pt idx="2">
                  <c:v>Y3</c:v>
                </c:pt>
                <c:pt idx="3">
                  <c:v>Y4</c:v>
                </c:pt>
                <c:pt idx="4">
                  <c:v>Y5</c:v>
                </c:pt>
              </c:strCache>
            </c:strRef>
          </c:cat>
          <c:val>
            <c:numRef>
              <c:f>'A1'!$S$130:$W$130</c:f>
              <c:numCache>
                <c:formatCode>"$"#,##0.0_);\("$"#,##0.0\)</c:formatCode>
                <c:ptCount val="5"/>
                <c:pt idx="0">
                  <c:v>0.40107908596624314</c:v>
                </c:pt>
                <c:pt idx="1">
                  <c:v>0.25604838282917469</c:v>
                </c:pt>
                <c:pt idx="2">
                  <c:v>0.22173460077756169</c:v>
                </c:pt>
                <c:pt idx="3">
                  <c:v>0.17103207481956439</c:v>
                </c:pt>
                <c:pt idx="4">
                  <c:v>0.11361280418072306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5978-4F75-918C-A70219FEB9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790221576"/>
        <c:axId val="790215696"/>
      </c:barChart>
      <c:lineChart>
        <c:grouping val="standard"/>
        <c:varyColors val="0"/>
        <c:ser>
          <c:idx val="1"/>
          <c:order val="1"/>
          <c:tx>
            <c:strRef>
              <c:f>'A1'!$R$129</c:f>
              <c:strCache>
                <c:ptCount val="1"/>
                <c:pt idx="0">
                  <c:v>EBITDA</c:v>
                </c:pt>
              </c:strCache>
            </c:strRef>
          </c:tx>
          <c:spPr>
            <a:ln w="28575" cap="rnd">
              <a:solidFill>
                <a:schemeClr val="accent2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'A1'!$S$127:$W$127</c:f>
              <c:strCache>
                <c:ptCount val="5"/>
                <c:pt idx="0">
                  <c:v>Y1</c:v>
                </c:pt>
                <c:pt idx="1">
                  <c:v>Y2</c:v>
                </c:pt>
                <c:pt idx="2">
                  <c:v>Y3</c:v>
                </c:pt>
                <c:pt idx="3">
                  <c:v>Y4</c:v>
                </c:pt>
                <c:pt idx="4">
                  <c:v>Y5</c:v>
                </c:pt>
              </c:strCache>
            </c:strRef>
          </c:cat>
          <c:val>
            <c:numRef>
              <c:f>'A1'!$S$129:$W$129</c:f>
              <c:numCache>
                <c:formatCode>"$"#,##0.0_);\("$"#,##0.0\)</c:formatCode>
                <c:ptCount val="5"/>
                <c:pt idx="0">
                  <c:v>0.41379553739481456</c:v>
                </c:pt>
                <c:pt idx="1">
                  <c:v>0.3797648342577461</c:v>
                </c:pt>
                <c:pt idx="2">
                  <c:v>0.33522289220613311</c:v>
                </c:pt>
                <c:pt idx="3">
                  <c:v>0.28452036624813581</c:v>
                </c:pt>
                <c:pt idx="4">
                  <c:v>0.22710109560929448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5978-4F75-918C-A70219FEB9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90221576"/>
        <c:axId val="790215696"/>
      </c:lineChart>
      <c:catAx>
        <c:axId val="7902215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790215696"/>
        <c:crosses val="autoZero"/>
        <c:auto val="1"/>
        <c:lblAlgn val="ctr"/>
        <c:lblOffset val="100"/>
        <c:noMultiLvlLbl val="0"/>
      </c:catAx>
      <c:valAx>
        <c:axId val="790215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.0_);\(&quot;$&quot;#,##0.0\)" sourceLinked="1"/>
        <c:majorTickMark val="none"/>
        <c:minorTickMark val="none"/>
        <c:tickLblPos val="nextTo"/>
        <c:spPr>
          <a:noFill/>
          <a:ln w="12700"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7902215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0265277039756533"/>
          <c:y val="0.89877150772820069"/>
          <c:w val="0.8130993671803296"/>
          <c:h val="7.345071449402157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CC"/>
    </a:solidFill>
    <a:ln w="9525" cap="flat" cmpd="sng" algn="ctr">
      <a:noFill/>
      <a:round/>
    </a:ln>
    <a:effectLst/>
  </c:spPr>
  <c:txPr>
    <a:bodyPr/>
    <a:lstStyle/>
    <a:p>
      <a:pPr>
        <a:defRPr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000000000000144" l="0.70000000000000062" r="0.70000000000000062" t="0.75000000000000144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515591514363459"/>
          <c:y val="5.1058944734711911E-2"/>
          <c:w val="0.74013051120903461"/>
          <c:h val="0.80921241050119364"/>
        </c:manualLayout>
      </c:layout>
      <c:lineChart>
        <c:grouping val="standard"/>
        <c:varyColors val="0"/>
        <c:ser>
          <c:idx val="1"/>
          <c:order val="0"/>
          <c:tx>
            <c:strRef>
              <c:f>'A1'!$R$151</c:f>
              <c:strCache>
                <c:ptCount val="1"/>
                <c:pt idx="0">
                  <c:v>Treatments (000)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'A1'!$S$133:$W$133</c:f>
              <c:strCache>
                <c:ptCount val="5"/>
                <c:pt idx="0">
                  <c:v>Y1</c:v>
                </c:pt>
                <c:pt idx="1">
                  <c:v>Y2</c:v>
                </c:pt>
                <c:pt idx="2">
                  <c:v>Y3</c:v>
                </c:pt>
                <c:pt idx="3">
                  <c:v>Y4</c:v>
                </c:pt>
                <c:pt idx="4">
                  <c:v>Y5</c:v>
                </c:pt>
              </c:strCache>
            </c:strRef>
          </c:cat>
          <c:val>
            <c:numRef>
              <c:f>'A1'!$S$151:$W$151</c:f>
              <c:numCache>
                <c:formatCode>_(* #,##0.0_);_(* \(#,##0.0\);_(* "-"??_);_(@_)</c:formatCode>
                <c:ptCount val="5"/>
                <c:pt idx="0">
                  <c:v>9.1632354854031028</c:v>
                </c:pt>
                <c:pt idx="1">
                  <c:v>9.4829891838241682</c:v>
                </c:pt>
                <c:pt idx="2">
                  <c:v>9.7674788593388904</c:v>
                </c:pt>
                <c:pt idx="3">
                  <c:v>10.060503225119058</c:v>
                </c:pt>
                <c:pt idx="4">
                  <c:v>10.36231832187263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2D6-4B85-ACCF-37A498626F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90213736"/>
        <c:axId val="790217656"/>
      </c:lineChart>
      <c:catAx>
        <c:axId val="7902137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790217656"/>
        <c:crosses val="autoZero"/>
        <c:auto val="1"/>
        <c:lblAlgn val="ctr"/>
        <c:lblOffset val="100"/>
        <c:noMultiLvlLbl val="0"/>
      </c:catAx>
      <c:valAx>
        <c:axId val="790217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.0_);_(* \(#,##0.0\);_(* &quot;-&quot;??_);_(@_)" sourceLinked="1"/>
        <c:majorTickMark val="none"/>
        <c:minorTickMark val="none"/>
        <c:tickLblPos val="nextTo"/>
        <c:spPr>
          <a:noFill/>
          <a:ln w="12700">
            <a:solidFill>
              <a:schemeClr val="accent1">
                <a:lumMod val="7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7902137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rgbClr val="FFFFCC"/>
    </a:solidFill>
    <a:ln w="9525" cap="flat" cmpd="sng" algn="ctr">
      <a:noFill/>
      <a:round/>
    </a:ln>
    <a:effectLst/>
  </c:spPr>
  <c:txPr>
    <a:bodyPr/>
    <a:lstStyle/>
    <a:p>
      <a:pPr>
        <a:defRPr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000000000000144" l="0.70000000000000062" r="0.70000000000000062" t="0.75000000000000144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spPr>
            <a:ln w="9525">
              <a:solidFill>
                <a:schemeClr val="tx1"/>
              </a:solidFill>
            </a:ln>
          </c:spPr>
          <c:dPt>
            <c:idx val="0"/>
            <c:bubble3D val="0"/>
            <c:spPr>
              <a:solidFill>
                <a:schemeClr val="bg2">
                  <a:lumMod val="90000"/>
                </a:schemeClr>
              </a:solidFill>
              <a:ln w="9525">
                <a:solidFill>
                  <a:schemeClr val="tx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6BB5-4E33-AC0B-57797F6C67D1}"/>
              </c:ext>
            </c:extLst>
          </c:dPt>
          <c:dPt>
            <c:idx val="1"/>
            <c:bubble3D val="0"/>
            <c:spPr>
              <a:solidFill>
                <a:schemeClr val="accent1">
                  <a:lumMod val="20000"/>
                  <a:lumOff val="80000"/>
                </a:schemeClr>
              </a:solidFill>
              <a:ln w="9525">
                <a:solidFill>
                  <a:schemeClr val="tx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6BB5-4E33-AC0B-57797F6C67D1}"/>
              </c:ext>
            </c:extLst>
          </c:dPt>
          <c:dPt>
            <c:idx val="2"/>
            <c:bubble3D val="0"/>
            <c:spPr>
              <a:solidFill>
                <a:srgbClr val="FF0000"/>
              </a:solidFill>
              <a:ln w="9525">
                <a:solidFill>
                  <a:schemeClr val="tx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6BB5-4E33-AC0B-57797F6C67D1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cat>
            <c:strRef>
              <c:f>'A1'!$R$157:$R$159</c:f>
              <c:strCache>
                <c:ptCount val="3"/>
                <c:pt idx="0">
                  <c:v>TI &amp; Equip.</c:v>
                </c:pt>
                <c:pt idx="1">
                  <c:v>WC</c:v>
                </c:pt>
                <c:pt idx="2">
                  <c:v>Startup Losses</c:v>
                </c:pt>
              </c:strCache>
            </c:strRef>
          </c:cat>
          <c:val>
            <c:numRef>
              <c:f>'A1'!$S$157:$S$159</c:f>
              <c:numCache>
                <c:formatCode>"$"#,##0_);\("$"#,##0\)</c:formatCode>
                <c:ptCount val="3"/>
                <c:pt idx="0">
                  <c:v>265</c:v>
                </c:pt>
                <c:pt idx="1">
                  <c:v>374.82006616561949</c:v>
                </c:pt>
                <c:pt idx="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6-6BB5-4E33-AC0B-57797F6C67D1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zero"/>
    <c:showDLblsOverMax val="0"/>
  </c:chart>
  <c:spPr>
    <a:noFill/>
    <a:ln w="9525" cap="flat" cmpd="sng" algn="ctr">
      <a:solidFill>
        <a:schemeClr val="tx1"/>
      </a:solidFill>
      <a:round/>
    </a:ln>
    <a:effectLst/>
  </c:spPr>
  <c:txPr>
    <a:bodyPr/>
    <a:lstStyle/>
    <a:p>
      <a:pPr>
        <a:defRPr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000000000000144" l="0.70000000000000062" r="0.70000000000000062" t="0.75000000000000144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en-US" sz="1200" b="1"/>
              <a:t>Cash Position</a:t>
            </a:r>
          </a:p>
        </c:rich>
      </c:tx>
      <c:layout>
        <c:manualLayout>
          <c:xMode val="edge"/>
          <c:yMode val="edge"/>
          <c:x val="0.40557210196759086"/>
          <c:y val="8.8304615814201008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5845837929070636"/>
          <c:y val="0.11943511151462778"/>
          <c:w val="0.8346001899875054"/>
          <c:h val="0.73383781097280165"/>
        </c:manualLayout>
      </c:layout>
      <c:barChart>
        <c:barDir val="col"/>
        <c:grouping val="clustered"/>
        <c:varyColors val="0"/>
        <c:ser>
          <c:idx val="1"/>
          <c:order val="1"/>
          <c:tx>
            <c:strRef>
              <c:f>'A1'!$F$95</c:f>
              <c:strCache>
                <c:ptCount val="1"/>
                <c:pt idx="0">
                  <c:v>Ending Cash Balance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'A1'!$D$96:$D$114</c:f>
              <c:strCache>
                <c:ptCount val="19"/>
                <c:pt idx="0">
                  <c:v>M1</c:v>
                </c:pt>
                <c:pt idx="1">
                  <c:v>M2</c:v>
                </c:pt>
                <c:pt idx="2">
                  <c:v>M3</c:v>
                </c:pt>
                <c:pt idx="3">
                  <c:v>M4</c:v>
                </c:pt>
                <c:pt idx="4">
                  <c:v>M5</c:v>
                </c:pt>
                <c:pt idx="5">
                  <c:v>M6</c:v>
                </c:pt>
                <c:pt idx="6">
                  <c:v>M7</c:v>
                </c:pt>
                <c:pt idx="7">
                  <c:v>M8</c:v>
                </c:pt>
                <c:pt idx="8">
                  <c:v>M9</c:v>
                </c:pt>
                <c:pt idx="9">
                  <c:v>M10</c:v>
                </c:pt>
                <c:pt idx="10">
                  <c:v>M11</c:v>
                </c:pt>
                <c:pt idx="11">
                  <c:v>M12</c:v>
                </c:pt>
                <c:pt idx="12">
                  <c:v>Y2Q1</c:v>
                </c:pt>
                <c:pt idx="13">
                  <c:v>Y2Q2</c:v>
                </c:pt>
                <c:pt idx="14">
                  <c:v>Y2Q3</c:v>
                </c:pt>
                <c:pt idx="15">
                  <c:v>Y2Q4</c:v>
                </c:pt>
                <c:pt idx="16">
                  <c:v>Y3</c:v>
                </c:pt>
                <c:pt idx="17">
                  <c:v>Y4</c:v>
                </c:pt>
                <c:pt idx="18">
                  <c:v>Y5</c:v>
                </c:pt>
              </c:strCache>
            </c:strRef>
          </c:cat>
          <c:val>
            <c:numRef>
              <c:f>'A1'!$F$96:$F$114</c:f>
              <c:numCache>
                <c:formatCode>"$"#,##0_);\("$"#,##0\)</c:formatCode>
                <c:ptCount val="19"/>
                <c:pt idx="0">
                  <c:v>635</c:v>
                </c:pt>
                <c:pt idx="1">
                  <c:v>640</c:v>
                </c:pt>
                <c:pt idx="2">
                  <c:v>567</c:v>
                </c:pt>
                <c:pt idx="3">
                  <c:v>573</c:v>
                </c:pt>
                <c:pt idx="4">
                  <c:v>578</c:v>
                </c:pt>
                <c:pt idx="5">
                  <c:v>506</c:v>
                </c:pt>
                <c:pt idx="6">
                  <c:v>513</c:v>
                </c:pt>
                <c:pt idx="7">
                  <c:v>519</c:v>
                </c:pt>
                <c:pt idx="8">
                  <c:v>448</c:v>
                </c:pt>
                <c:pt idx="9">
                  <c:v>455</c:v>
                </c:pt>
                <c:pt idx="10">
                  <c:v>462</c:v>
                </c:pt>
                <c:pt idx="11">
                  <c:v>391</c:v>
                </c:pt>
                <c:pt idx="12">
                  <c:v>211</c:v>
                </c:pt>
                <c:pt idx="13">
                  <c:v>288</c:v>
                </c:pt>
                <c:pt idx="14">
                  <c:v>366</c:v>
                </c:pt>
                <c:pt idx="15">
                  <c:v>446</c:v>
                </c:pt>
                <c:pt idx="16">
                  <c:v>438</c:v>
                </c:pt>
                <c:pt idx="17">
                  <c:v>464</c:v>
                </c:pt>
                <c:pt idx="18">
                  <c:v>491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A855-42AB-8DA1-2A66FBE6DF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90219224"/>
        <c:axId val="790220792"/>
      </c:barChart>
      <c:lineChart>
        <c:grouping val="standard"/>
        <c:varyColors val="0"/>
        <c:ser>
          <c:idx val="0"/>
          <c:order val="0"/>
          <c:tx>
            <c:strRef>
              <c:f>'A1'!$E$95</c:f>
              <c:strCache>
                <c:ptCount val="1"/>
                <c:pt idx="0">
                  <c:v>Cash Generation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'A1'!$D$96:$D$114</c:f>
              <c:strCache>
                <c:ptCount val="19"/>
                <c:pt idx="0">
                  <c:v>M1</c:v>
                </c:pt>
                <c:pt idx="1">
                  <c:v>M2</c:v>
                </c:pt>
                <c:pt idx="2">
                  <c:v>M3</c:v>
                </c:pt>
                <c:pt idx="3">
                  <c:v>M4</c:v>
                </c:pt>
                <c:pt idx="4">
                  <c:v>M5</c:v>
                </c:pt>
                <c:pt idx="5">
                  <c:v>M6</c:v>
                </c:pt>
                <c:pt idx="6">
                  <c:v>M7</c:v>
                </c:pt>
                <c:pt idx="7">
                  <c:v>M8</c:v>
                </c:pt>
                <c:pt idx="8">
                  <c:v>M9</c:v>
                </c:pt>
                <c:pt idx="9">
                  <c:v>M10</c:v>
                </c:pt>
                <c:pt idx="10">
                  <c:v>M11</c:v>
                </c:pt>
                <c:pt idx="11">
                  <c:v>M12</c:v>
                </c:pt>
                <c:pt idx="12">
                  <c:v>Y2Q1</c:v>
                </c:pt>
                <c:pt idx="13">
                  <c:v>Y2Q2</c:v>
                </c:pt>
                <c:pt idx="14">
                  <c:v>Y2Q3</c:v>
                </c:pt>
                <c:pt idx="15">
                  <c:v>Y2Q4</c:v>
                </c:pt>
                <c:pt idx="16">
                  <c:v>Y3</c:v>
                </c:pt>
                <c:pt idx="17">
                  <c:v>Y4</c:v>
                </c:pt>
                <c:pt idx="18">
                  <c:v>Y5</c:v>
                </c:pt>
              </c:strCache>
            </c:strRef>
          </c:cat>
          <c:val>
            <c:numRef>
              <c:f>'A1'!$E$96:$E$114</c:f>
              <c:numCache>
                <c:formatCode>"$"#,##0_);\("$"#,##0\)</c:formatCode>
                <c:ptCount val="19"/>
                <c:pt idx="0">
                  <c:v>-4.9860529075050053</c:v>
                </c:pt>
                <c:pt idx="1">
                  <c:v>5.1347665242842382</c:v>
                </c:pt>
                <c:pt idx="2">
                  <c:v>-73.000299601058614</c:v>
                </c:pt>
                <c:pt idx="3">
                  <c:v>5.619627671829253</c:v>
                </c:pt>
                <c:pt idx="4">
                  <c:v>5.8632493760155491</c:v>
                </c:pt>
                <c:pt idx="5">
                  <c:v>-72.269431886034994</c:v>
                </c:pt>
                <c:pt idx="6">
                  <c:v>6.3528880575671565</c:v>
                </c:pt>
                <c:pt idx="7">
                  <c:v>6.5989102654489713</c:v>
                </c:pt>
                <c:pt idx="8">
                  <c:v>-71.531362634281621</c:v>
                </c:pt>
                <c:pt idx="9">
                  <c:v>7.0933735559919455</c:v>
                </c:pt>
                <c:pt idx="10">
                  <c:v>7.3418199207081969</c:v>
                </c:pt>
                <c:pt idx="11">
                  <c:v>-70.786020886129393</c:v>
                </c:pt>
                <c:pt idx="12">
                  <c:v>-179.82042900959499</c:v>
                </c:pt>
                <c:pt idx="13">
                  <c:v>76.704415917880794</c:v>
                </c:pt>
                <c:pt idx="14">
                  <c:v>78.228521898331081</c:v>
                </c:pt>
                <c:pt idx="15">
                  <c:v>79.751883450933306</c:v>
                </c:pt>
                <c:pt idx="16">
                  <c:v>-7.7002825780107855</c:v>
                </c:pt>
                <c:pt idx="17">
                  <c:v>25.694651489308399</c:v>
                </c:pt>
                <c:pt idx="18">
                  <c:v>27.31432505491955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855-42AB-8DA1-2A66FBE6DF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90219224"/>
        <c:axId val="790220792"/>
      </c:lineChart>
      <c:catAx>
        <c:axId val="7902192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790220792"/>
        <c:crosses val="autoZero"/>
        <c:auto val="1"/>
        <c:lblAlgn val="ctr"/>
        <c:lblOffset val="100"/>
        <c:noMultiLvlLbl val="0"/>
      </c:catAx>
      <c:valAx>
        <c:axId val="790220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_);\(&quot;$&quot;#,##0\)" sourceLinked="1"/>
        <c:majorTickMark val="none"/>
        <c:minorTickMark val="none"/>
        <c:tickLblPos val="nextTo"/>
        <c:spPr>
          <a:noFill/>
          <a:ln w="12700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7902192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1326064689761772"/>
          <c:y val="0.88987787991257805"/>
          <c:w val="0.77347870620476589"/>
          <c:h val="9.381830101757170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 cap="flat" cmpd="sng" algn="ctr">
      <a:solidFill>
        <a:schemeClr val="tx1"/>
      </a:solidFill>
      <a:round/>
    </a:ln>
    <a:effectLst/>
  </c:spPr>
  <c:txPr>
    <a:bodyPr/>
    <a:lstStyle/>
    <a:p>
      <a:pPr>
        <a:defRPr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000000000000144" l="0.70000000000000062" r="0.70000000000000062" t="0.75000000000000144" header="0.30000000000000032" footer="0.3000000000000003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03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303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1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1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Radio" checked="Checked" firstButton="1" fmlaLink="$H$2" lockText="1"/>
</file>

<file path=xl/ctrlProps/ctrlProp2.xml><?xml version="1.0" encoding="utf-8"?>
<formControlPr xmlns="http://schemas.microsoft.com/office/spreadsheetml/2009/9/main" objectType="Radio" lockText="1"/>
</file>

<file path=xl/ctrlProps/ctrlProp3.xml><?xml version="1.0" encoding="utf-8"?>
<formControlPr xmlns="http://schemas.microsoft.com/office/spreadsheetml/2009/9/main" objectType="Radio" lockText="1"/>
</file>

<file path=xl/ctrlProps/ctrlProp4.xml><?xml version="1.0" encoding="utf-8"?>
<formControlPr xmlns="http://schemas.microsoft.com/office/spreadsheetml/2009/9/main" objectType="CheckBox" fmlaLink="$AG$8" lockText="1"/>
</file>

<file path=xl/ctrlProps/ctrlProp5.xml><?xml version="1.0" encoding="utf-8"?>
<formControlPr xmlns="http://schemas.microsoft.com/office/spreadsheetml/2009/9/main" objectType="CheckBox" fmlaLink="$AH$8" lockText="1"/>
</file>

<file path=xl/ctrlProps/ctrlProp6.xml><?xml version="1.0" encoding="utf-8"?>
<formControlPr xmlns="http://schemas.microsoft.com/office/spreadsheetml/2009/9/main" objectType="CheckBox" checked="Checked" fmlaLink="$AJ$8" lockText="1"/>
</file>

<file path=xl/ctrlProps/ctrlProp7.xml><?xml version="1.0" encoding="utf-8"?>
<formControlPr xmlns="http://schemas.microsoft.com/office/spreadsheetml/2009/9/main" objectType="CheckBox" checked="Checked" fmlaLink="$AI$8" lockText="1"/>
</file>

<file path=xl/ctrlProps/ctrlProp8.xml><?xml version="1.0" encoding="utf-8"?>
<formControlPr xmlns="http://schemas.microsoft.com/office/spreadsheetml/2009/9/main" objectType="CheckBox" fmlaLink="$AI$66" lockText="1"/>
</file>

<file path=xl/ctrlProps/ctrlProp9.xml><?xml version="1.0" encoding="utf-8"?>
<formControlPr xmlns="http://schemas.microsoft.com/office/spreadsheetml/2009/9/main" objectType="CheckBox" fmlaLink="$AJ$66" lockText="1"/>
</file>

<file path=xl/ctrlProps/ctrlProp10.xml><?xml version="1.0" encoding="utf-8"?>
<formControlPr xmlns="http://schemas.microsoft.com/office/spreadsheetml/2009/9/main" objectType="CheckBox" fmlaLink="$AG$66" lockText="1"/>
</file>

<file path=xl/ctrlProps/ctrlProp11.xml><?xml version="1.0" encoding="utf-8"?>
<formControlPr xmlns="http://schemas.microsoft.com/office/spreadsheetml/2009/9/main" objectType="CheckBox" fmlaLink="$AK$66" lockText="1"/>
</file>

<file path=xl/ctrlProps/ctrlProp12.xml><?xml version="1.0" encoding="utf-8"?>
<formControlPr xmlns="http://schemas.microsoft.com/office/spreadsheetml/2009/9/main" objectType="CheckBox" fmlaLink="$AH$66" lockText="1"/>
</file>

<file path=xl/ctrlProps/ctrlProp13.xml><?xml version="1.0" encoding="utf-8"?>
<formControlPr xmlns="http://schemas.microsoft.com/office/spreadsheetml/2009/9/main" objectType="Drop" dropLines="3" dropStyle="combo" dx="25" fmlaLink="$N$2" fmlaRange="$F$85:$F$87" sel="1" val="0"/>
</file>

<file path=xl/ctrlProps/ctrlProp14.xml><?xml version="1.0" encoding="utf-8"?>
<formControlPr xmlns="http://schemas.microsoft.com/office/spreadsheetml/2009/9/main" objectType="Drop" dropLines="3" dropStyle="combo" dx="25" fmlaLink="$N$3" fmlaRange="$H$85:$H$87" sel="1" val="0"/>
</file>

<file path=xl/ctrlProps/ctrlProp15.xml><?xml version="1.0" encoding="utf-8"?>
<formControlPr xmlns="http://schemas.microsoft.com/office/spreadsheetml/2009/9/main" objectType="Drop" dropLines="3" dropStyle="combo" dx="25" fmlaLink="$N$4" fmlaRange="$M$85:$M$87" sel="1" val="0"/>
</file>

<file path=xl/ctrlProps/ctrlProp16.xml><?xml version="1.0" encoding="utf-8"?>
<formControlPr xmlns="http://schemas.microsoft.com/office/spreadsheetml/2009/9/main" objectType="Drop" dropLines="5" dropStyle="combo" dx="25" fmlaLink="$R$2" fmlaRange="$T$85:$T$89" sel="2" val="0"/>
</file>

<file path=xl/ctrlProps/ctrlProp17.xml><?xml version="1.0" encoding="utf-8"?>
<formControlPr xmlns="http://schemas.microsoft.com/office/spreadsheetml/2009/9/main" objectType="CheckBox" fmlaLink="$Q$2" lockText="1"/>
</file>

<file path=xl/ctrlProps/ctrlProp18.xml><?xml version="1.0" encoding="utf-8"?>
<formControlPr xmlns="http://schemas.microsoft.com/office/spreadsheetml/2009/9/main" objectType="Drop" dropLines="2" dropStyle="combo" dx="25" fmlaLink="$X$67" fmlaRange="$W$85:$W$86" sel="1" val="0"/>
</file>

<file path=xl/ctrlProps/ctrlProp19.xml><?xml version="1.0" encoding="utf-8"?>
<formControlPr xmlns="http://schemas.microsoft.com/office/spreadsheetml/2009/9/main" objectType="Radio" checked="Checked" firstButton="1" fmlaLink="$Q$3" lockText="1"/>
</file>

<file path=xl/ctrlProps/ctrlProp20.xml><?xml version="1.0" encoding="utf-8"?>
<formControlPr xmlns="http://schemas.microsoft.com/office/spreadsheetml/2009/9/main" objectType="Radio" lockText="1"/>
</file>

<file path=xl/ctrlProps/ctrlProp21.xml><?xml version="1.0" encoding="utf-8"?>
<formControlPr xmlns="http://schemas.microsoft.com/office/spreadsheetml/2009/9/main" objectType="Radio" firstButton="1" fmlaLink="$M$4" lockText="1"/>
</file>

<file path=xl/ctrlProps/ctrlProp22.xml><?xml version="1.0" encoding="utf-8"?>
<formControlPr xmlns="http://schemas.microsoft.com/office/spreadsheetml/2009/9/main" objectType="Radio" checked="Checked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7.xml"/><Relationship Id="rId3" Type="http://schemas.openxmlformats.org/officeDocument/2006/relationships/chart" Target="../charts/chart3.xml"/><Relationship Id="rId7" Type="http://schemas.openxmlformats.org/officeDocument/2006/relationships/image" Target="../media/image2.emf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.xml"/><Relationship Id="rId2" Type="http://schemas.openxmlformats.org/officeDocument/2006/relationships/chart" Target="../charts/chart9.xml"/><Relationship Id="rId1" Type="http://schemas.openxmlformats.org/officeDocument/2006/relationships/chart" Target="../charts/chart8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6.xml"/><Relationship Id="rId2" Type="http://schemas.openxmlformats.org/officeDocument/2006/relationships/chart" Target="../charts/chart15.xml"/><Relationship Id="rId1" Type="http://schemas.openxmlformats.org/officeDocument/2006/relationships/chart" Target="../charts/chart14.xml"/><Relationship Id="rId4" Type="http://schemas.openxmlformats.org/officeDocument/2006/relationships/chart" Target="../charts/chart17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0.xml"/><Relationship Id="rId2" Type="http://schemas.openxmlformats.org/officeDocument/2006/relationships/chart" Target="../charts/chart19.xml"/><Relationship Id="rId1" Type="http://schemas.openxmlformats.org/officeDocument/2006/relationships/chart" Target="../charts/chart18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drawing2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4940300</xdr:colOff>
      <xdr:row>0</xdr:row>
      <xdr:rowOff>173866</xdr:rowOff>
    </xdr:from>
    <xdr:to>
      <xdr:col>5</xdr:col>
      <xdr:colOff>139331</xdr:colOff>
      <xdr:row>4</xdr:row>
      <xdr:rowOff>114142</xdr:rowOff>
    </xdr:to>
    <xdr:pic>
      <xdr:nvPicPr>
        <xdr:cNvPr id="2" name="Picture 1">
          <a:extLst>
            <a:ext uri="{FF2B5EF4-FFF2-40B4-BE49-F238E27FC236}">
              <a16:creationId xmlns=""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5988050" y="173866"/>
          <a:ext cx="1529981" cy="65147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180975</xdr:colOff>
          <xdr:row>1</xdr:row>
          <xdr:rowOff>123825</xdr:rowOff>
        </xdr:from>
        <xdr:to>
          <xdr:col>7</xdr:col>
          <xdr:colOff>371475</xdr:colOff>
          <xdr:row>1</xdr:row>
          <xdr:rowOff>314325</xdr:rowOff>
        </xdr:to>
        <xdr:sp macro="" textlink="">
          <xdr:nvSpPr>
            <xdr:cNvPr id="1026" name="Option 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="" xmlns:a16="http://schemas.microsoft.com/office/drawing/2014/main" id="{00000000-0008-0000-06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180975</xdr:colOff>
          <xdr:row>2</xdr:row>
          <xdr:rowOff>85725</xdr:rowOff>
        </xdr:from>
        <xdr:to>
          <xdr:col>7</xdr:col>
          <xdr:colOff>371475</xdr:colOff>
          <xdr:row>2</xdr:row>
          <xdr:rowOff>266700</xdr:rowOff>
        </xdr:to>
        <xdr:sp macro="" textlink="">
          <xdr:nvSpPr>
            <xdr:cNvPr id="1027" name="Option 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="" xmlns:a16="http://schemas.microsoft.com/office/drawing/2014/main" id="{00000000-0008-0000-06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180975</xdr:colOff>
          <xdr:row>3</xdr:row>
          <xdr:rowOff>76200</xdr:rowOff>
        </xdr:from>
        <xdr:to>
          <xdr:col>7</xdr:col>
          <xdr:colOff>371475</xdr:colOff>
          <xdr:row>3</xdr:row>
          <xdr:rowOff>266700</xdr:rowOff>
        </xdr:to>
        <xdr:sp macro="" textlink="">
          <xdr:nvSpPr>
            <xdr:cNvPr id="1028" name="Option 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="" xmlns:a16="http://schemas.microsoft.com/office/drawing/2014/main" id="{00000000-0008-0000-06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74084</xdr:colOff>
      <xdr:row>33</xdr:row>
      <xdr:rowOff>9072</xdr:rowOff>
    </xdr:from>
    <xdr:to>
      <xdr:col>20</xdr:col>
      <xdr:colOff>818446</xdr:colOff>
      <xdr:row>43</xdr:row>
      <xdr:rowOff>105834</xdr:rowOff>
    </xdr:to>
    <xdr:graphicFrame macro="">
      <xdr:nvGraphicFramePr>
        <xdr:cNvPr id="2" name="Chart 1">
          <a:extLst>
            <a:ext uri="{FF2B5EF4-FFF2-40B4-BE49-F238E27FC236}">
              <a16:creationId xmlns="" xmlns:a16="http://schemas.microsoft.com/office/drawing/2014/main" id="{00000000-0008-0000-0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37041</xdr:colOff>
      <xdr:row>44</xdr:row>
      <xdr:rowOff>16630</xdr:rowOff>
    </xdr:from>
    <xdr:to>
      <xdr:col>26</xdr:col>
      <xdr:colOff>84667</xdr:colOff>
      <xdr:row>54</xdr:row>
      <xdr:rowOff>116417</xdr:rowOff>
    </xdr:to>
    <xdr:graphicFrame macro="">
      <xdr:nvGraphicFramePr>
        <xdr:cNvPr id="4" name="Chart 3">
          <a:extLst>
            <a:ext uri="{FF2B5EF4-FFF2-40B4-BE49-F238E27FC236}">
              <a16:creationId xmlns="" xmlns:a16="http://schemas.microsoft.com/office/drawing/2014/main" id="{00000000-0008-0000-07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21</xdr:col>
      <xdr:colOff>60960</xdr:colOff>
      <xdr:row>33</xdr:row>
      <xdr:rowOff>63500</xdr:rowOff>
    </xdr:from>
    <xdr:to>
      <xdr:col>26</xdr:col>
      <xdr:colOff>127000</xdr:colOff>
      <xdr:row>43</xdr:row>
      <xdr:rowOff>116416</xdr:rowOff>
    </xdr:to>
    <xdr:graphicFrame macro="">
      <xdr:nvGraphicFramePr>
        <xdr:cNvPr id="3" name="Chart 2">
          <a:extLst>
            <a:ext uri="{FF2B5EF4-FFF2-40B4-BE49-F238E27FC236}">
              <a16:creationId xmlns="" xmlns:a16="http://schemas.microsoft.com/office/drawing/2014/main" id="{00000000-0008-0000-07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23</xdr:col>
      <xdr:colOff>409222</xdr:colOff>
      <xdr:row>24</xdr:row>
      <xdr:rowOff>56445</xdr:rowOff>
    </xdr:from>
    <xdr:to>
      <xdr:col>26</xdr:col>
      <xdr:colOff>141111</xdr:colOff>
      <xdr:row>32</xdr:row>
      <xdr:rowOff>158750</xdr:rowOff>
    </xdr:to>
    <xdr:graphicFrame macro="">
      <xdr:nvGraphicFramePr>
        <xdr:cNvPr id="5" name="Chart 4">
          <a:extLst>
            <a:ext uri="{FF2B5EF4-FFF2-40B4-BE49-F238E27FC236}">
              <a16:creationId xmlns="" xmlns:a16="http://schemas.microsoft.com/office/drawing/2014/main" id="{00000000-0008-0000-07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17</xdr:col>
      <xdr:colOff>63500</xdr:colOff>
      <xdr:row>23</xdr:row>
      <xdr:rowOff>56444</xdr:rowOff>
    </xdr:from>
    <xdr:to>
      <xdr:col>20</xdr:col>
      <xdr:colOff>834572</xdr:colOff>
      <xdr:row>32</xdr:row>
      <xdr:rowOff>150812</xdr:rowOff>
    </xdr:to>
    <xdr:graphicFrame macro="">
      <xdr:nvGraphicFramePr>
        <xdr:cNvPr id="22" name="Chart 21">
          <a:extLst>
            <a:ext uri="{FF2B5EF4-FFF2-40B4-BE49-F238E27FC236}">
              <a16:creationId xmlns="" xmlns:a16="http://schemas.microsoft.com/office/drawing/2014/main" id="{00000000-0008-0000-07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21</xdr:col>
      <xdr:colOff>63500</xdr:colOff>
      <xdr:row>24</xdr:row>
      <xdr:rowOff>57727</xdr:rowOff>
    </xdr:from>
    <xdr:to>
      <xdr:col>23</xdr:col>
      <xdr:colOff>459252</xdr:colOff>
      <xdr:row>32</xdr:row>
      <xdr:rowOff>160032</xdr:rowOff>
    </xdr:to>
    <xdr:graphicFrame macro="">
      <xdr:nvGraphicFramePr>
        <xdr:cNvPr id="24" name="Chart 23">
          <a:extLst>
            <a:ext uri="{FF2B5EF4-FFF2-40B4-BE49-F238E27FC236}">
              <a16:creationId xmlns="" xmlns:a16="http://schemas.microsoft.com/office/drawing/2014/main" id="{00000000-0008-0000-0700-00001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22</xdr:col>
      <xdr:colOff>309563</xdr:colOff>
      <xdr:row>31</xdr:row>
      <xdr:rowOff>95249</xdr:rowOff>
    </xdr:from>
    <xdr:to>
      <xdr:col>25</xdr:col>
      <xdr:colOff>192277</xdr:colOff>
      <xdr:row>32</xdr:row>
      <xdr:rowOff>100031</xdr:rowOff>
    </xdr:to>
    <xdr:pic>
      <xdr:nvPicPr>
        <xdr:cNvPr id="27" name="Picture 26">
          <a:extLst>
            <a:ext uri="{FF2B5EF4-FFF2-40B4-BE49-F238E27FC236}">
              <a16:creationId xmlns="" xmlns:a16="http://schemas.microsoft.com/office/drawing/2014/main" id="{00000000-0008-0000-0700-00001B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" cstate="print"/>
        <a:srcRect l="22466" t="20203" r="8238" b="14302"/>
        <a:stretch/>
      </xdr:blipFill>
      <xdr:spPr>
        <a:xfrm>
          <a:off x="15025688" y="5199062"/>
          <a:ext cx="1927185" cy="179408"/>
        </a:xfrm>
        <a:prstGeom prst="rect">
          <a:avLst/>
        </a:prstGeom>
      </xdr:spPr>
    </xdr:pic>
    <xdr:clientData/>
  </xdr:twoCellAnchor>
  <xdr:twoCellAnchor>
    <xdr:from>
      <xdr:col>23</xdr:col>
      <xdr:colOff>44450</xdr:colOff>
      <xdr:row>56</xdr:row>
      <xdr:rowOff>0</xdr:rowOff>
    </xdr:from>
    <xdr:to>
      <xdr:col>26</xdr:col>
      <xdr:colOff>150813</xdr:colOff>
      <xdr:row>65</xdr:row>
      <xdr:rowOff>141515</xdr:rowOff>
    </xdr:to>
    <xdr:graphicFrame macro="">
      <xdr:nvGraphicFramePr>
        <xdr:cNvPr id="25" name="Chart 24">
          <a:extLst>
            <a:ext uri="{FF2B5EF4-FFF2-40B4-BE49-F238E27FC236}">
              <a16:creationId xmlns="" xmlns:a16="http://schemas.microsoft.com/office/drawing/2014/main" id="{00000000-0008-0000-0700-00001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21</xdr:col>
      <xdr:colOff>411480</xdr:colOff>
      <xdr:row>1</xdr:row>
      <xdr:rowOff>30480</xdr:rowOff>
    </xdr:from>
    <xdr:to>
      <xdr:col>23</xdr:col>
      <xdr:colOff>30480</xdr:colOff>
      <xdr:row>1</xdr:row>
      <xdr:rowOff>274320</xdr:rowOff>
    </xdr:to>
    <xdr:sp macro="[0]!IRRmacro" textlink="">
      <xdr:nvSpPr>
        <xdr:cNvPr id="6" name="Rounded Rectangle 5">
          <a:extLst>
            <a:ext uri="{FF2B5EF4-FFF2-40B4-BE49-F238E27FC236}">
              <a16:creationId xmlns="" xmlns:a16="http://schemas.microsoft.com/office/drawing/2014/main" id="{00000000-0008-0000-0700-000006000000}"/>
            </a:ext>
          </a:extLst>
        </xdr:cNvPr>
        <xdr:cNvSpPr/>
      </xdr:nvSpPr>
      <xdr:spPr>
        <a:xfrm>
          <a:off x="14310360" y="121920"/>
          <a:ext cx="1051560" cy="243840"/>
        </a:xfrm>
        <a:prstGeom prst="roundRect">
          <a:avLst/>
        </a:prstGeom>
        <a:ln>
          <a:solidFill>
            <a:schemeClr val="tx1"/>
          </a:solidFill>
        </a:ln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chemeClr val="accent1">
                  <a:lumMod val="50000"/>
                </a:schemeClr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Solve for IRR</a:t>
          </a:r>
        </a:p>
      </xdr:txBody>
    </xdr:sp>
    <xdr:clientData/>
  </xdr:twoCellAnchor>
  <xdr:twoCellAnchor>
    <xdr:from>
      <xdr:col>21</xdr:col>
      <xdr:colOff>411480</xdr:colOff>
      <xdr:row>2</xdr:row>
      <xdr:rowOff>76200</xdr:rowOff>
    </xdr:from>
    <xdr:to>
      <xdr:col>24</xdr:col>
      <xdr:colOff>259080</xdr:colOff>
      <xdr:row>3</xdr:row>
      <xdr:rowOff>60960</xdr:rowOff>
    </xdr:to>
    <xdr:sp macro="[0]!Macro_PayorMix" textlink="">
      <xdr:nvSpPr>
        <xdr:cNvPr id="7" name="Rounded Rectangle 6">
          <a:extLst>
            <a:ext uri="{FF2B5EF4-FFF2-40B4-BE49-F238E27FC236}">
              <a16:creationId xmlns="" xmlns:a16="http://schemas.microsoft.com/office/drawing/2014/main" id="{00000000-0008-0000-0700-000007000000}"/>
            </a:ext>
          </a:extLst>
        </xdr:cNvPr>
        <xdr:cNvSpPr/>
      </xdr:nvSpPr>
      <xdr:spPr>
        <a:xfrm>
          <a:off x="14310360" y="457200"/>
          <a:ext cx="1996440" cy="274320"/>
        </a:xfrm>
        <a:prstGeom prst="roundRect">
          <a:avLst/>
        </a:prstGeom>
        <a:ln>
          <a:solidFill>
            <a:schemeClr val="tx1"/>
          </a:solidFill>
        </a:ln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>
              <a:solidFill>
                <a:schemeClr val="accent1">
                  <a:lumMod val="50000"/>
                </a:schemeClr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Simulate</a:t>
          </a:r>
          <a:r>
            <a:rPr lang="en-US" sz="1100" baseline="0">
              <a:solidFill>
                <a:schemeClr val="accent1">
                  <a:lumMod val="50000"/>
                </a:schemeClr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Payor Mix Scenarios</a:t>
          </a:r>
          <a:r>
            <a:rPr lang="en-US">
              <a:solidFill>
                <a:schemeClr val="accent1">
                  <a:lumMod val="50000"/>
                </a:schemeClr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 </a:t>
          </a:r>
          <a:endParaRPr lang="en-US" sz="1100">
            <a:solidFill>
              <a:schemeClr val="accent1">
                <a:lumMod val="50000"/>
              </a:schemeClr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352425</xdr:colOff>
          <xdr:row>9</xdr:row>
          <xdr:rowOff>0</xdr:rowOff>
        </xdr:from>
        <xdr:to>
          <xdr:col>4</xdr:col>
          <xdr:colOff>676275</xdr:colOff>
          <xdr:row>10</xdr:row>
          <xdr:rowOff>0</xdr:rowOff>
        </xdr:to>
        <xdr:sp macro="" textlink="">
          <xdr:nvSpPr>
            <xdr:cNvPr id="14342" name="Check Box 6" hidden="1">
              <a:extLst>
                <a:ext uri="{63B3BB69-23CF-44E3-9099-C40C66FF867C}">
                  <a14:compatExt spid="_x0000_s14342"/>
                </a:ext>
                <a:ext uri="{FF2B5EF4-FFF2-40B4-BE49-F238E27FC236}">
                  <a16:creationId xmlns="" xmlns:a16="http://schemas.microsoft.com/office/drawing/2014/main" id="{00000000-0008-0000-0700-000006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390525</xdr:colOff>
          <xdr:row>9</xdr:row>
          <xdr:rowOff>0</xdr:rowOff>
        </xdr:from>
        <xdr:to>
          <xdr:col>5</xdr:col>
          <xdr:colOff>771525</xdr:colOff>
          <xdr:row>10</xdr:row>
          <xdr:rowOff>0</xdr:rowOff>
        </xdr:to>
        <xdr:sp macro="" textlink="">
          <xdr:nvSpPr>
            <xdr:cNvPr id="14343" name="Check Box 7" hidden="1">
              <a:extLst>
                <a:ext uri="{63B3BB69-23CF-44E3-9099-C40C66FF867C}">
                  <a14:compatExt spid="_x0000_s14343"/>
                </a:ext>
                <a:ext uri="{FF2B5EF4-FFF2-40B4-BE49-F238E27FC236}">
                  <a16:creationId xmlns="" xmlns:a16="http://schemas.microsoft.com/office/drawing/2014/main" id="{00000000-0008-0000-0700-000007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9</xdr:row>
          <xdr:rowOff>0</xdr:rowOff>
        </xdr:from>
        <xdr:to>
          <xdr:col>7</xdr:col>
          <xdr:colOff>638175</xdr:colOff>
          <xdr:row>10</xdr:row>
          <xdr:rowOff>9525</xdr:rowOff>
        </xdr:to>
        <xdr:sp macro="" textlink="">
          <xdr:nvSpPr>
            <xdr:cNvPr id="14344" name="Check Box 8" hidden="1">
              <a:extLst>
                <a:ext uri="{63B3BB69-23CF-44E3-9099-C40C66FF867C}">
                  <a14:compatExt spid="_x0000_s14344"/>
                </a:ext>
                <a:ext uri="{FF2B5EF4-FFF2-40B4-BE49-F238E27FC236}">
                  <a16:creationId xmlns="" xmlns:a16="http://schemas.microsoft.com/office/drawing/2014/main" id="{00000000-0008-0000-0700-000008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371475</xdr:colOff>
          <xdr:row>9</xdr:row>
          <xdr:rowOff>0</xdr:rowOff>
        </xdr:from>
        <xdr:to>
          <xdr:col>6</xdr:col>
          <xdr:colOff>676275</xdr:colOff>
          <xdr:row>10</xdr:row>
          <xdr:rowOff>9525</xdr:rowOff>
        </xdr:to>
        <xdr:sp macro="" textlink="">
          <xdr:nvSpPr>
            <xdr:cNvPr id="14345" name="Check Box 9" hidden="1">
              <a:extLst>
                <a:ext uri="{63B3BB69-23CF-44E3-9099-C40C66FF867C}">
                  <a14:compatExt spid="_x0000_s14345"/>
                </a:ext>
                <a:ext uri="{FF2B5EF4-FFF2-40B4-BE49-F238E27FC236}">
                  <a16:creationId xmlns="" xmlns:a16="http://schemas.microsoft.com/office/drawing/2014/main" id="{00000000-0008-0000-0700-000009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600075</xdr:colOff>
          <xdr:row>69</xdr:row>
          <xdr:rowOff>0</xdr:rowOff>
        </xdr:from>
        <xdr:to>
          <xdr:col>6</xdr:col>
          <xdr:colOff>866775</xdr:colOff>
          <xdr:row>70</xdr:row>
          <xdr:rowOff>38100</xdr:rowOff>
        </xdr:to>
        <xdr:sp macro="" textlink="">
          <xdr:nvSpPr>
            <xdr:cNvPr id="14346" name="Check Box 10" hidden="1">
              <a:extLst>
                <a:ext uri="{63B3BB69-23CF-44E3-9099-C40C66FF867C}">
                  <a14:compatExt spid="_x0000_s14346"/>
                </a:ext>
                <a:ext uri="{FF2B5EF4-FFF2-40B4-BE49-F238E27FC236}">
                  <a16:creationId xmlns="" xmlns:a16="http://schemas.microsoft.com/office/drawing/2014/main" id="{00000000-0008-0000-0700-00000A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600075</xdr:colOff>
          <xdr:row>69</xdr:row>
          <xdr:rowOff>0</xdr:rowOff>
        </xdr:from>
        <xdr:to>
          <xdr:col>8</xdr:col>
          <xdr:colOff>0</xdr:colOff>
          <xdr:row>70</xdr:row>
          <xdr:rowOff>28575</xdr:rowOff>
        </xdr:to>
        <xdr:sp macro="" textlink="">
          <xdr:nvSpPr>
            <xdr:cNvPr id="14347" name="Check Box 11" hidden="1">
              <a:extLst>
                <a:ext uri="{63B3BB69-23CF-44E3-9099-C40C66FF867C}">
                  <a14:compatExt spid="_x0000_s14347"/>
                </a:ext>
                <a:ext uri="{FF2B5EF4-FFF2-40B4-BE49-F238E27FC236}">
                  <a16:creationId xmlns="" xmlns:a16="http://schemas.microsoft.com/office/drawing/2014/main" id="{00000000-0008-0000-0700-00000B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752475</xdr:colOff>
          <xdr:row>69</xdr:row>
          <xdr:rowOff>0</xdr:rowOff>
        </xdr:from>
        <xdr:to>
          <xdr:col>5</xdr:col>
          <xdr:colOff>0</xdr:colOff>
          <xdr:row>70</xdr:row>
          <xdr:rowOff>66675</xdr:rowOff>
        </xdr:to>
        <xdr:sp macro="" textlink="">
          <xdr:nvSpPr>
            <xdr:cNvPr id="14348" name="Check Box 12" hidden="1">
              <a:extLst>
                <a:ext uri="{63B3BB69-23CF-44E3-9099-C40C66FF867C}">
                  <a14:compatExt spid="_x0000_s14348"/>
                </a:ext>
                <a:ext uri="{FF2B5EF4-FFF2-40B4-BE49-F238E27FC236}">
                  <a16:creationId xmlns="" xmlns:a16="http://schemas.microsoft.com/office/drawing/2014/main" id="{00000000-0008-0000-0700-00000C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561975</xdr:colOff>
          <xdr:row>69</xdr:row>
          <xdr:rowOff>0</xdr:rowOff>
        </xdr:from>
        <xdr:to>
          <xdr:col>9</xdr:col>
          <xdr:colOff>0</xdr:colOff>
          <xdr:row>70</xdr:row>
          <xdr:rowOff>28575</xdr:rowOff>
        </xdr:to>
        <xdr:sp macro="" textlink="">
          <xdr:nvSpPr>
            <xdr:cNvPr id="14349" name="Check Box 13" hidden="1">
              <a:extLst>
                <a:ext uri="{63B3BB69-23CF-44E3-9099-C40C66FF867C}">
                  <a14:compatExt spid="_x0000_s14349"/>
                </a:ext>
                <a:ext uri="{FF2B5EF4-FFF2-40B4-BE49-F238E27FC236}">
                  <a16:creationId xmlns="" xmlns:a16="http://schemas.microsoft.com/office/drawing/2014/main" id="{00000000-0008-0000-0700-00000D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723900</xdr:colOff>
          <xdr:row>69</xdr:row>
          <xdr:rowOff>0</xdr:rowOff>
        </xdr:from>
        <xdr:to>
          <xdr:col>6</xdr:col>
          <xdr:colOff>0</xdr:colOff>
          <xdr:row>70</xdr:row>
          <xdr:rowOff>28575</xdr:rowOff>
        </xdr:to>
        <xdr:sp macro="" textlink="">
          <xdr:nvSpPr>
            <xdr:cNvPr id="14350" name="Check Box 14" hidden="1">
              <a:extLst>
                <a:ext uri="{63B3BB69-23CF-44E3-9099-C40C66FF867C}">
                  <a14:compatExt spid="_x0000_s14350"/>
                </a:ext>
                <a:ext uri="{FF2B5EF4-FFF2-40B4-BE49-F238E27FC236}">
                  <a16:creationId xmlns="" xmlns:a16="http://schemas.microsoft.com/office/drawing/2014/main" id="{00000000-0008-0000-0700-00000E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</xdr:row>
          <xdr:rowOff>47625</xdr:rowOff>
        </xdr:from>
        <xdr:to>
          <xdr:col>14</xdr:col>
          <xdr:colOff>219075</xdr:colOff>
          <xdr:row>2</xdr:row>
          <xdr:rowOff>0</xdr:rowOff>
        </xdr:to>
        <xdr:sp macro="" textlink="">
          <xdr:nvSpPr>
            <xdr:cNvPr id="14358" name="Drop Down 22" hidden="1">
              <a:extLst>
                <a:ext uri="{63B3BB69-23CF-44E3-9099-C40C66FF867C}">
                  <a14:compatExt spid="_x0000_s14358"/>
                </a:ext>
                <a:ext uri="{FF2B5EF4-FFF2-40B4-BE49-F238E27FC236}">
                  <a16:creationId xmlns="" xmlns:a16="http://schemas.microsoft.com/office/drawing/2014/main" id="{00000000-0008-0000-0700-000016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2</xdr:row>
          <xdr:rowOff>47625</xdr:rowOff>
        </xdr:from>
        <xdr:to>
          <xdr:col>14</xdr:col>
          <xdr:colOff>247650</xdr:colOff>
          <xdr:row>3</xdr:row>
          <xdr:rowOff>0</xdr:rowOff>
        </xdr:to>
        <xdr:sp macro="" textlink="">
          <xdr:nvSpPr>
            <xdr:cNvPr id="14359" name="Drop Down 23" hidden="1">
              <a:extLst>
                <a:ext uri="{63B3BB69-23CF-44E3-9099-C40C66FF867C}">
                  <a14:compatExt spid="_x0000_s14359"/>
                </a:ext>
                <a:ext uri="{FF2B5EF4-FFF2-40B4-BE49-F238E27FC236}">
                  <a16:creationId xmlns="" xmlns:a16="http://schemas.microsoft.com/office/drawing/2014/main" id="{00000000-0008-0000-0700-000017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3</xdr:row>
          <xdr:rowOff>47625</xdr:rowOff>
        </xdr:from>
        <xdr:to>
          <xdr:col>14</xdr:col>
          <xdr:colOff>228600</xdr:colOff>
          <xdr:row>4</xdr:row>
          <xdr:rowOff>0</xdr:rowOff>
        </xdr:to>
        <xdr:sp macro="" textlink="">
          <xdr:nvSpPr>
            <xdr:cNvPr id="14360" name="Drop Down 24" hidden="1">
              <a:extLst>
                <a:ext uri="{63B3BB69-23CF-44E3-9099-C40C66FF867C}">
                  <a14:compatExt spid="_x0000_s14360"/>
                </a:ext>
                <a:ext uri="{FF2B5EF4-FFF2-40B4-BE49-F238E27FC236}">
                  <a16:creationId xmlns="" xmlns:a16="http://schemas.microsoft.com/office/drawing/2014/main" id="{00000000-0008-0000-0700-000018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219075</xdr:colOff>
          <xdr:row>1</xdr:row>
          <xdr:rowOff>47625</xdr:rowOff>
        </xdr:from>
        <xdr:to>
          <xdr:col>18</xdr:col>
          <xdr:colOff>762000</xdr:colOff>
          <xdr:row>2</xdr:row>
          <xdr:rowOff>0</xdr:rowOff>
        </xdr:to>
        <xdr:sp macro="" textlink="">
          <xdr:nvSpPr>
            <xdr:cNvPr id="14362" name="Drop Down 26" hidden="1">
              <a:extLst>
                <a:ext uri="{63B3BB69-23CF-44E3-9099-C40C66FF867C}">
                  <a14:compatExt spid="_x0000_s14362"/>
                </a:ext>
                <a:ext uri="{FF2B5EF4-FFF2-40B4-BE49-F238E27FC236}">
                  <a16:creationId xmlns="" xmlns:a16="http://schemas.microsoft.com/office/drawing/2014/main" id="{00000000-0008-0000-0700-00001A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104775</xdr:rowOff>
        </xdr:from>
        <xdr:to>
          <xdr:col>15</xdr:col>
          <xdr:colOff>219075</xdr:colOff>
          <xdr:row>2</xdr:row>
          <xdr:rowOff>0</xdr:rowOff>
        </xdr:to>
        <xdr:sp macro="" textlink="">
          <xdr:nvSpPr>
            <xdr:cNvPr id="14363" name="Check Box 27" hidden="1">
              <a:extLst>
                <a:ext uri="{63B3BB69-23CF-44E3-9099-C40C66FF867C}">
                  <a14:compatExt spid="_x0000_s14363"/>
                </a:ext>
                <a:ext uri="{FF2B5EF4-FFF2-40B4-BE49-F238E27FC236}">
                  <a16:creationId xmlns="" xmlns:a16="http://schemas.microsoft.com/office/drawing/2014/main" id="{00000000-0008-0000-0700-00001B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38100</xdr:colOff>
          <xdr:row>65</xdr:row>
          <xdr:rowOff>200025</xdr:rowOff>
        </xdr:from>
        <xdr:to>
          <xdr:col>23</xdr:col>
          <xdr:colOff>0</xdr:colOff>
          <xdr:row>67</xdr:row>
          <xdr:rowOff>0</xdr:rowOff>
        </xdr:to>
        <xdr:sp macro="" textlink="">
          <xdr:nvSpPr>
            <xdr:cNvPr id="14377" name="Drop Down 41" hidden="1">
              <a:extLst>
                <a:ext uri="{63B3BB69-23CF-44E3-9099-C40C66FF867C}">
                  <a14:compatExt spid="_x0000_s14377"/>
                </a:ext>
                <a:ext uri="{FF2B5EF4-FFF2-40B4-BE49-F238E27FC236}">
                  <a16:creationId xmlns="" xmlns:a16="http://schemas.microsoft.com/office/drawing/2014/main" id="{00000000-0008-0000-0700-000029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676275</xdr:colOff>
          <xdr:row>2</xdr:row>
          <xdr:rowOff>104775</xdr:rowOff>
        </xdr:from>
        <xdr:to>
          <xdr:col>16</xdr:col>
          <xdr:colOff>771525</xdr:colOff>
          <xdr:row>3</xdr:row>
          <xdr:rowOff>0</xdr:rowOff>
        </xdr:to>
        <xdr:sp macro="" textlink="">
          <xdr:nvSpPr>
            <xdr:cNvPr id="14379" name="Option Button 43" hidden="1">
              <a:extLst>
                <a:ext uri="{63B3BB69-23CF-44E3-9099-C40C66FF867C}">
                  <a14:compatExt spid="_x0000_s14379"/>
                </a:ext>
                <a:ext uri="{FF2B5EF4-FFF2-40B4-BE49-F238E27FC236}">
                  <a16:creationId xmlns="" xmlns:a16="http://schemas.microsoft.com/office/drawing/2014/main" id="{00000000-0008-0000-0700-00002B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Use Live TM1 Data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47625</xdr:colOff>
          <xdr:row>2</xdr:row>
          <xdr:rowOff>85725</xdr:rowOff>
        </xdr:from>
        <xdr:to>
          <xdr:col>18</xdr:col>
          <xdr:colOff>457200</xdr:colOff>
          <xdr:row>3</xdr:row>
          <xdr:rowOff>0</xdr:rowOff>
        </xdr:to>
        <xdr:sp macro="" textlink="">
          <xdr:nvSpPr>
            <xdr:cNvPr id="14380" name="Option Button 44" hidden="1">
              <a:extLst>
                <a:ext uri="{63B3BB69-23CF-44E3-9099-C40C66FF867C}">
                  <a14:compatExt spid="_x0000_s14380"/>
                </a:ext>
                <a:ext uri="{FF2B5EF4-FFF2-40B4-BE49-F238E27FC236}">
                  <a16:creationId xmlns="" xmlns:a16="http://schemas.microsoft.com/office/drawing/2014/main" id="{00000000-0008-0000-0700-00002C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Use TM1 Data Copied</a:t>
              </a:r>
            </a:p>
          </xdr:txBody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47625</xdr:colOff>
          <xdr:row>1</xdr:row>
          <xdr:rowOff>180975</xdr:rowOff>
        </xdr:from>
        <xdr:to>
          <xdr:col>15</xdr:col>
          <xdr:colOff>85725</xdr:colOff>
          <xdr:row>2</xdr:row>
          <xdr:rowOff>180975</xdr:rowOff>
        </xdr:to>
        <xdr:sp macro="" textlink="">
          <xdr:nvSpPr>
            <xdr:cNvPr id="78849" name="Option Button 1" hidden="1">
              <a:extLst>
                <a:ext uri="{63B3BB69-23CF-44E3-9099-C40C66FF867C}">
                  <a14:compatExt spid="_x0000_s78849"/>
                </a:ext>
                <a:ext uri="{FF2B5EF4-FFF2-40B4-BE49-F238E27FC236}">
                  <a16:creationId xmlns="" xmlns:a16="http://schemas.microsoft.com/office/drawing/2014/main" id="{00000000-0008-0000-0B00-000001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Add Acquisition Cash to Sources of Cash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66675</xdr:colOff>
          <xdr:row>2</xdr:row>
          <xdr:rowOff>152400</xdr:rowOff>
        </xdr:from>
        <xdr:to>
          <xdr:col>15</xdr:col>
          <xdr:colOff>371475</xdr:colOff>
          <xdr:row>3</xdr:row>
          <xdr:rowOff>161925</xdr:rowOff>
        </xdr:to>
        <xdr:sp macro="" textlink="">
          <xdr:nvSpPr>
            <xdr:cNvPr id="78850" name="Option Button 2" hidden="1">
              <a:extLst>
                <a:ext uri="{63B3BB69-23CF-44E3-9099-C40C66FF867C}">
                  <a14:compatExt spid="_x0000_s78850"/>
                </a:ext>
                <a:ext uri="{FF2B5EF4-FFF2-40B4-BE49-F238E27FC236}">
                  <a16:creationId xmlns="" xmlns:a16="http://schemas.microsoft.com/office/drawing/2014/main" id="{00000000-0008-0000-0B00-000002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Add Acquisition Balance Sheet to Starting Balance Sheet</a:t>
              </a:r>
            </a:p>
          </xdr:txBody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pic>
      <xdr:nvPicPr>
        <xdr:cNvPr id="53" name="Ink 52">
          <a:extLst>
            <a:ext uri="{FF2B5EF4-FFF2-40B4-BE49-F238E27FC236}">
              <a16:creationId xmlns="" xmlns:a16="http://schemas.microsoft.com/office/drawing/2014/main" id="{00000000-0008-0000-0D00-000035000000}"/>
            </a:ext>
          </a:extLst>
        </xdr:cNvPr>
        <xdr:cNvPicPr/>
      </xdr:nvPicPr>
      <xdr:blipFill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pic>
      <xdr:nvPicPr>
        <xdr:cNvPr id="60" name="Ink 59">
          <a:extLst>
            <a:ext uri="{FF2B5EF4-FFF2-40B4-BE49-F238E27FC236}">
              <a16:creationId xmlns="" xmlns:a16="http://schemas.microsoft.com/office/drawing/2014/main" id="{00000000-0008-0000-0D00-00003C000000}"/>
            </a:ext>
          </a:extLst>
        </xdr:cNvPr>
        <xdr:cNvPicPr/>
      </xdr:nvPicPr>
      <xdr:blipFill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pic>
      <xdr:nvPicPr>
        <xdr:cNvPr id="71" name="Ink 70">
          <a:extLst>
            <a:ext uri="{FF2B5EF4-FFF2-40B4-BE49-F238E27FC236}">
              <a16:creationId xmlns="" xmlns:a16="http://schemas.microsoft.com/office/drawing/2014/main" id="{00000000-0008-0000-0D00-000047000000}"/>
            </a:ext>
          </a:extLst>
        </xdr:cNvPr>
        <xdr:cNvPicPr/>
      </xdr:nvPicPr>
      <xdr:blipFill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pic>
      <xdr:nvPicPr>
        <xdr:cNvPr id="53" name="Ink 52">
          <a:extLst>
            <a:ext uri="{FF2B5EF4-FFF2-40B4-BE49-F238E27FC236}">
              <a16:creationId xmlns="" xmlns:a16="http://schemas.microsoft.com/office/drawing/2014/main" id="{00000000-0008-0000-2300-000035000000}"/>
            </a:ext>
          </a:extLst>
        </xdr:cNvPr>
        <xdr:cNvPicPr/>
      </xdr:nvPicPr>
      <xdr:blipFill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pic>
      <xdr:nvPicPr>
        <xdr:cNvPr id="60" name="Ink 59">
          <a:extLst>
            <a:ext uri="{FF2B5EF4-FFF2-40B4-BE49-F238E27FC236}">
              <a16:creationId xmlns="" xmlns:a16="http://schemas.microsoft.com/office/drawing/2014/main" id="{00000000-0008-0000-2300-00003C000000}"/>
            </a:ext>
          </a:extLst>
        </xdr:cNvPr>
        <xdr:cNvPicPr/>
      </xdr:nvPicPr>
      <xdr:blipFill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pic>
      <xdr:nvPicPr>
        <xdr:cNvPr id="71" name="Ink 70">
          <a:extLst>
            <a:ext uri="{FF2B5EF4-FFF2-40B4-BE49-F238E27FC236}">
              <a16:creationId xmlns="" xmlns:a16="http://schemas.microsoft.com/office/drawing/2014/main" id="{00000000-0008-0000-2300-000047000000}"/>
            </a:ext>
          </a:extLst>
        </xdr:cNvPr>
        <xdr:cNvPicPr/>
      </xdr:nvPicPr>
      <xdr:blipFill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pic>
      <xdr:nvPicPr>
        <xdr:cNvPr id="53" name="Ink 52">
          <a:extLst>
            <a:ext uri="{FF2B5EF4-FFF2-40B4-BE49-F238E27FC236}">
              <a16:creationId xmlns="" xmlns:a16="http://schemas.microsoft.com/office/drawing/2014/main" id="{00000000-0008-0000-2600-000035000000}"/>
            </a:ext>
          </a:extLst>
        </xdr:cNvPr>
        <xdr:cNvPicPr/>
      </xdr:nvPicPr>
      <xdr:blipFill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pic>
      <xdr:nvPicPr>
        <xdr:cNvPr id="60" name="Ink 59">
          <a:extLst>
            <a:ext uri="{FF2B5EF4-FFF2-40B4-BE49-F238E27FC236}">
              <a16:creationId xmlns="" xmlns:a16="http://schemas.microsoft.com/office/drawing/2014/main" id="{00000000-0008-0000-2600-00003C000000}"/>
            </a:ext>
          </a:extLst>
        </xdr:cNvPr>
        <xdr:cNvPicPr/>
      </xdr:nvPicPr>
      <xdr:blipFill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pic>
      <xdr:nvPicPr>
        <xdr:cNvPr id="71" name="Ink 70">
          <a:extLst>
            <a:ext uri="{FF2B5EF4-FFF2-40B4-BE49-F238E27FC236}">
              <a16:creationId xmlns="" xmlns:a16="http://schemas.microsoft.com/office/drawing/2014/main" id="{00000000-0008-0000-2600-000047000000}"/>
            </a:ext>
          </a:extLst>
        </xdr:cNvPr>
        <xdr:cNvPicPr/>
      </xdr:nvPicPr>
      <xdr:blipFill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pic>
      <xdr:nvPicPr>
        <xdr:cNvPr id="53" name="Ink 52">
          <a:extLst>
            <a:ext uri="{FF2B5EF4-FFF2-40B4-BE49-F238E27FC236}">
              <a16:creationId xmlns="" xmlns:a16="http://schemas.microsoft.com/office/drawing/2014/main" id="{00000000-0008-0000-2700-000035000000}"/>
            </a:ext>
          </a:extLst>
        </xdr:cNvPr>
        <xdr:cNvPicPr/>
      </xdr:nvPicPr>
      <xdr:blipFill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pic>
      <xdr:nvPicPr>
        <xdr:cNvPr id="60" name="Ink 59">
          <a:extLst>
            <a:ext uri="{FF2B5EF4-FFF2-40B4-BE49-F238E27FC236}">
              <a16:creationId xmlns="" xmlns:a16="http://schemas.microsoft.com/office/drawing/2014/main" id="{00000000-0008-0000-2700-00003C000000}"/>
            </a:ext>
          </a:extLst>
        </xdr:cNvPr>
        <xdr:cNvPicPr/>
      </xdr:nvPicPr>
      <xdr:blipFill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pic>
      <xdr:nvPicPr>
        <xdr:cNvPr id="71" name="Ink 70">
          <a:extLst>
            <a:ext uri="{FF2B5EF4-FFF2-40B4-BE49-F238E27FC236}">
              <a16:creationId xmlns="" xmlns:a16="http://schemas.microsoft.com/office/drawing/2014/main" id="{00000000-0008-0000-2700-000047000000}"/>
            </a:ext>
          </a:extLst>
        </xdr:cNvPr>
        <xdr:cNvPicPr/>
      </xdr:nvPicPr>
      <xdr:blipFill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pic>
      <xdr:nvPicPr>
        <xdr:cNvPr id="53" name="Ink 52">
          <a:extLst>
            <a:ext uri="{FF2B5EF4-FFF2-40B4-BE49-F238E27FC236}">
              <a16:creationId xmlns="" xmlns:a16="http://schemas.microsoft.com/office/drawing/2014/main" id="{00000000-0008-0000-2A00-000035000000}"/>
            </a:ext>
          </a:extLst>
        </xdr:cNvPr>
        <xdr:cNvPicPr/>
      </xdr:nvPicPr>
      <xdr:blipFill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pic>
      <xdr:nvPicPr>
        <xdr:cNvPr id="60" name="Ink 59">
          <a:extLst>
            <a:ext uri="{FF2B5EF4-FFF2-40B4-BE49-F238E27FC236}">
              <a16:creationId xmlns="" xmlns:a16="http://schemas.microsoft.com/office/drawing/2014/main" id="{00000000-0008-0000-2A00-00003C000000}"/>
            </a:ext>
          </a:extLst>
        </xdr:cNvPr>
        <xdr:cNvPicPr/>
      </xdr:nvPicPr>
      <xdr:blipFill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pic>
      <xdr:nvPicPr>
        <xdr:cNvPr id="71" name="Ink 70">
          <a:extLst>
            <a:ext uri="{FF2B5EF4-FFF2-40B4-BE49-F238E27FC236}">
              <a16:creationId xmlns="" xmlns:a16="http://schemas.microsoft.com/office/drawing/2014/main" id="{00000000-0008-0000-2A00-000047000000}"/>
            </a:ext>
          </a:extLst>
        </xdr:cNvPr>
        <xdr:cNvPicPr/>
      </xdr:nvPicPr>
      <xdr:blipFill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pic>
      <xdr:nvPicPr>
        <xdr:cNvPr id="53" name="Ink 52">
          <a:extLst>
            <a:ext uri="{FF2B5EF4-FFF2-40B4-BE49-F238E27FC236}">
              <a16:creationId xmlns="" xmlns:a16="http://schemas.microsoft.com/office/drawing/2014/main" id="{00000000-0008-0000-2B00-000035000000}"/>
            </a:ext>
          </a:extLst>
        </xdr:cNvPr>
        <xdr:cNvPicPr/>
      </xdr:nvPicPr>
      <xdr:blipFill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pic>
      <xdr:nvPicPr>
        <xdr:cNvPr id="60" name="Ink 59">
          <a:extLst>
            <a:ext uri="{FF2B5EF4-FFF2-40B4-BE49-F238E27FC236}">
              <a16:creationId xmlns="" xmlns:a16="http://schemas.microsoft.com/office/drawing/2014/main" id="{00000000-0008-0000-2B00-00003C000000}"/>
            </a:ext>
          </a:extLst>
        </xdr:cNvPr>
        <xdr:cNvPicPr/>
      </xdr:nvPicPr>
      <xdr:blipFill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pic>
      <xdr:nvPicPr>
        <xdr:cNvPr id="71" name="Ink 70">
          <a:extLst>
            <a:ext uri="{FF2B5EF4-FFF2-40B4-BE49-F238E27FC236}">
              <a16:creationId xmlns="" xmlns:a16="http://schemas.microsoft.com/office/drawing/2014/main" id="{00000000-0008-0000-2B00-000047000000}"/>
            </a:ext>
          </a:extLst>
        </xdr:cNvPr>
        <xdr:cNvPicPr/>
      </xdr:nvPicPr>
      <xdr:blipFill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4940300</xdr:colOff>
      <xdr:row>0</xdr:row>
      <xdr:rowOff>173866</xdr:rowOff>
    </xdr:from>
    <xdr:to>
      <xdr:col>5</xdr:col>
      <xdr:colOff>139331</xdr:colOff>
      <xdr:row>4</xdr:row>
      <xdr:rowOff>30322</xdr:rowOff>
    </xdr:to>
    <xdr:pic>
      <xdr:nvPicPr>
        <xdr:cNvPr id="2" name="Picture 1">
          <a:extLst>
            <a:ext uri="{FF2B5EF4-FFF2-40B4-BE49-F238E27FC236}">
              <a16:creationId xmlns="" xmlns:a16="http://schemas.microsoft.com/office/drawing/2014/main" id="{00000000-0008-0000-2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5988050" y="173866"/>
          <a:ext cx="1529981" cy="651476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82550</xdr:colOff>
      <xdr:row>37</xdr:row>
      <xdr:rowOff>101600</xdr:rowOff>
    </xdr:from>
    <xdr:to>
      <xdr:col>4</xdr:col>
      <xdr:colOff>1035050</xdr:colOff>
      <xdr:row>52</xdr:row>
      <xdr:rowOff>152400</xdr:rowOff>
    </xdr:to>
    <xdr:graphicFrame macro="">
      <xdr:nvGraphicFramePr>
        <xdr:cNvPr id="5" name="Chart 4">
          <a:extLst>
            <a:ext uri="{FF2B5EF4-FFF2-40B4-BE49-F238E27FC236}">
              <a16:creationId xmlns="" xmlns:a16="http://schemas.microsoft.com/office/drawing/2014/main" id="{00000000-0008-0000-2E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19050</xdr:colOff>
      <xdr:row>37</xdr:row>
      <xdr:rowOff>101600</xdr:rowOff>
    </xdr:from>
    <xdr:to>
      <xdr:col>12</xdr:col>
      <xdr:colOff>895350</xdr:colOff>
      <xdr:row>52</xdr:row>
      <xdr:rowOff>114300</xdr:rowOff>
    </xdr:to>
    <xdr:graphicFrame macro="">
      <xdr:nvGraphicFramePr>
        <xdr:cNvPr id="7" name="Chart 6">
          <a:extLst>
            <a:ext uri="{FF2B5EF4-FFF2-40B4-BE49-F238E27FC236}">
              <a16:creationId xmlns="" xmlns:a16="http://schemas.microsoft.com/office/drawing/2014/main" id="{00000000-0008-0000-2E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95250</xdr:colOff>
      <xdr:row>37</xdr:row>
      <xdr:rowOff>139700</xdr:rowOff>
    </xdr:from>
    <xdr:to>
      <xdr:col>8</xdr:col>
      <xdr:colOff>1047750</xdr:colOff>
      <xdr:row>52</xdr:row>
      <xdr:rowOff>133350</xdr:rowOff>
    </xdr:to>
    <xdr:graphicFrame macro="">
      <xdr:nvGraphicFramePr>
        <xdr:cNvPr id="8" name="Chart 7">
          <a:extLst>
            <a:ext uri="{FF2B5EF4-FFF2-40B4-BE49-F238E27FC236}">
              <a16:creationId xmlns="" xmlns:a16="http://schemas.microsoft.com/office/drawing/2014/main" id="{00000000-0008-0000-2E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15240</xdr:colOff>
      <xdr:row>9</xdr:row>
      <xdr:rowOff>60960</xdr:rowOff>
    </xdr:from>
    <xdr:to>
      <xdr:col>20</xdr:col>
      <xdr:colOff>411480</xdr:colOff>
      <xdr:row>11</xdr:row>
      <xdr:rowOff>53340</xdr:rowOff>
    </xdr:to>
    <xdr:sp macro="" textlink="">
      <xdr:nvSpPr>
        <xdr:cNvPr id="14" name="Oval 13">
          <a:extLst>
            <a:ext uri="{FF2B5EF4-FFF2-40B4-BE49-F238E27FC236}">
              <a16:creationId xmlns="" xmlns:a16="http://schemas.microsoft.com/office/drawing/2014/main" id="{00000000-0008-0000-2F00-00000E000000}"/>
            </a:ext>
          </a:extLst>
        </xdr:cNvPr>
        <xdr:cNvSpPr/>
      </xdr:nvSpPr>
      <xdr:spPr>
        <a:xfrm>
          <a:off x="12336780" y="1684020"/>
          <a:ext cx="396240" cy="365760"/>
        </a:xfrm>
        <a:prstGeom prst="ellipse">
          <a:avLst/>
        </a:prstGeom>
        <a:noFill/>
        <a:ln>
          <a:solidFill>
            <a:schemeClr val="tx1"/>
          </a:solidFill>
          <a:prstDash val="lg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1</xdr:col>
      <xdr:colOff>123825</xdr:colOff>
      <xdr:row>7</xdr:row>
      <xdr:rowOff>57150</xdr:rowOff>
    </xdr:from>
    <xdr:to>
      <xdr:col>3</xdr:col>
      <xdr:colOff>819150</xdr:colOff>
      <xdr:row>15</xdr:row>
      <xdr:rowOff>154623</xdr:rowOff>
    </xdr:to>
    <xdr:pic>
      <xdr:nvPicPr>
        <xdr:cNvPr id="2" name="Picture 1">
          <a:extLst>
            <a:ext uri="{FF2B5EF4-FFF2-40B4-BE49-F238E27FC236}">
              <a16:creationId xmlns="" xmlns:a16="http://schemas.microsoft.com/office/drawing/2014/main" id="{00000000-0008-0000-2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28600" y="1333500"/>
          <a:ext cx="1181100" cy="1497648"/>
        </a:xfrm>
        <a:prstGeom prst="rect">
          <a:avLst/>
        </a:prstGeom>
      </xdr:spPr>
    </xdr:pic>
    <xdr:clientData/>
  </xdr:twoCellAnchor>
  <xdr:twoCellAnchor>
    <xdr:from>
      <xdr:col>2</xdr:col>
      <xdr:colOff>11430</xdr:colOff>
      <xdr:row>10</xdr:row>
      <xdr:rowOff>102870</xdr:rowOff>
    </xdr:from>
    <xdr:to>
      <xdr:col>3</xdr:col>
      <xdr:colOff>169545</xdr:colOff>
      <xdr:row>12</xdr:row>
      <xdr:rowOff>95250</xdr:rowOff>
    </xdr:to>
    <xdr:sp macro="" textlink="">
      <xdr:nvSpPr>
        <xdr:cNvPr id="6" name="Oval 5">
          <a:extLst>
            <a:ext uri="{FF2B5EF4-FFF2-40B4-BE49-F238E27FC236}">
              <a16:creationId xmlns="" xmlns:a16="http://schemas.microsoft.com/office/drawing/2014/main" id="{00000000-0008-0000-2F00-000006000000}"/>
            </a:ext>
          </a:extLst>
        </xdr:cNvPr>
        <xdr:cNvSpPr/>
      </xdr:nvSpPr>
      <xdr:spPr>
        <a:xfrm>
          <a:off x="363855" y="1893570"/>
          <a:ext cx="396240" cy="363855"/>
        </a:xfrm>
        <a:prstGeom prst="ellipse">
          <a:avLst/>
        </a:prstGeom>
        <a:noFill/>
        <a:ln>
          <a:solidFill>
            <a:schemeClr val="tx1"/>
          </a:solidFill>
          <a:prstDash val="lg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50800</xdr:colOff>
      <xdr:row>6</xdr:row>
      <xdr:rowOff>69850</xdr:rowOff>
    </xdr:from>
    <xdr:to>
      <xdr:col>16</xdr:col>
      <xdr:colOff>698500</xdr:colOff>
      <xdr:row>14</xdr:row>
      <xdr:rowOff>133350</xdr:rowOff>
    </xdr:to>
    <xdr:graphicFrame macro="">
      <xdr:nvGraphicFramePr>
        <xdr:cNvPr id="2" name="Chart 1">
          <a:extLst>
            <a:ext uri="{FF2B5EF4-FFF2-40B4-BE49-F238E27FC236}">
              <a16:creationId xmlns="" xmlns:a16="http://schemas.microsoft.com/office/drawing/2014/main" id="{00000000-0008-0000-3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57150</xdr:colOff>
      <xdr:row>35</xdr:row>
      <xdr:rowOff>1</xdr:rowOff>
    </xdr:from>
    <xdr:to>
      <xdr:col>16</xdr:col>
      <xdr:colOff>687388</xdr:colOff>
      <xdr:row>45</xdr:row>
      <xdr:rowOff>120651</xdr:rowOff>
    </xdr:to>
    <xdr:graphicFrame macro="">
      <xdr:nvGraphicFramePr>
        <xdr:cNvPr id="4" name="Chart 3">
          <a:extLst>
            <a:ext uri="{FF2B5EF4-FFF2-40B4-BE49-F238E27FC236}">
              <a16:creationId xmlns="" xmlns:a16="http://schemas.microsoft.com/office/drawing/2014/main" id="{00000000-0008-0000-3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101600</xdr:colOff>
      <xdr:row>6</xdr:row>
      <xdr:rowOff>177800</xdr:rowOff>
    </xdr:from>
    <xdr:to>
      <xdr:col>14</xdr:col>
      <xdr:colOff>800100</xdr:colOff>
      <xdr:row>23</xdr:row>
      <xdr:rowOff>139700</xdr:rowOff>
    </xdr:to>
    <xdr:graphicFrame macro="">
      <xdr:nvGraphicFramePr>
        <xdr:cNvPr id="3" name="Chart 2">
          <a:extLst>
            <a:ext uri="{FF2B5EF4-FFF2-40B4-BE49-F238E27FC236}">
              <a16:creationId xmlns="" xmlns:a16="http://schemas.microsoft.com/office/drawing/2014/main" id="{00000000-0008-0000-3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47624</xdr:colOff>
      <xdr:row>18</xdr:row>
      <xdr:rowOff>28574</xdr:rowOff>
    </xdr:from>
    <xdr:to>
      <xdr:col>6</xdr:col>
      <xdr:colOff>888999</xdr:colOff>
      <xdr:row>33</xdr:row>
      <xdr:rowOff>120649</xdr:rowOff>
    </xdr:to>
    <xdr:graphicFrame macro="">
      <xdr:nvGraphicFramePr>
        <xdr:cNvPr id="2" name="Chart 1">
          <a:extLst>
            <a:ext uri="{FF2B5EF4-FFF2-40B4-BE49-F238E27FC236}">
              <a16:creationId xmlns="" xmlns:a16="http://schemas.microsoft.com/office/drawing/2014/main" id="{00000000-0008-0000-3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47624</xdr:colOff>
      <xdr:row>17</xdr:row>
      <xdr:rowOff>57150</xdr:rowOff>
    </xdr:from>
    <xdr:to>
      <xdr:col>12</xdr:col>
      <xdr:colOff>888999</xdr:colOff>
      <xdr:row>33</xdr:row>
      <xdr:rowOff>120649</xdr:rowOff>
    </xdr:to>
    <xdr:graphicFrame macro="">
      <xdr:nvGraphicFramePr>
        <xdr:cNvPr id="3" name="Chart 2">
          <a:extLst>
            <a:ext uri="{FF2B5EF4-FFF2-40B4-BE49-F238E27FC236}">
              <a16:creationId xmlns="" xmlns:a16="http://schemas.microsoft.com/office/drawing/2014/main" id="{00000000-0008-0000-3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47624</xdr:colOff>
      <xdr:row>35</xdr:row>
      <xdr:rowOff>28574</xdr:rowOff>
    </xdr:from>
    <xdr:to>
      <xdr:col>6</xdr:col>
      <xdr:colOff>888999</xdr:colOff>
      <xdr:row>50</xdr:row>
      <xdr:rowOff>120649</xdr:rowOff>
    </xdr:to>
    <xdr:graphicFrame macro="">
      <xdr:nvGraphicFramePr>
        <xdr:cNvPr id="4" name="Chart 3">
          <a:extLst>
            <a:ext uri="{FF2B5EF4-FFF2-40B4-BE49-F238E27FC236}">
              <a16:creationId xmlns="" xmlns:a16="http://schemas.microsoft.com/office/drawing/2014/main" id="{00000000-0008-0000-3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47624</xdr:colOff>
      <xdr:row>34</xdr:row>
      <xdr:rowOff>57150</xdr:rowOff>
    </xdr:from>
    <xdr:to>
      <xdr:col>12</xdr:col>
      <xdr:colOff>888999</xdr:colOff>
      <xdr:row>50</xdr:row>
      <xdr:rowOff>120649</xdr:rowOff>
    </xdr:to>
    <xdr:graphicFrame macro="">
      <xdr:nvGraphicFramePr>
        <xdr:cNvPr id="5" name="Chart 4">
          <a:extLst>
            <a:ext uri="{FF2B5EF4-FFF2-40B4-BE49-F238E27FC236}">
              <a16:creationId xmlns="" xmlns:a16="http://schemas.microsoft.com/office/drawing/2014/main" id="{00000000-0008-0000-3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4940300</xdr:colOff>
      <xdr:row>0</xdr:row>
      <xdr:rowOff>173866</xdr:rowOff>
    </xdr:from>
    <xdr:to>
      <xdr:col>5</xdr:col>
      <xdr:colOff>139331</xdr:colOff>
      <xdr:row>4</xdr:row>
      <xdr:rowOff>30322</xdr:rowOff>
    </xdr:to>
    <xdr:pic>
      <xdr:nvPicPr>
        <xdr:cNvPr id="2" name="Picture 1">
          <a:extLst>
            <a:ext uri="{FF2B5EF4-FFF2-40B4-BE49-F238E27FC236}">
              <a16:creationId xmlns="" xmlns:a16="http://schemas.microsoft.com/office/drawing/2014/main" id="{00000000-0008-0000-3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5988050" y="173866"/>
          <a:ext cx="1529981" cy="651476"/>
        </a:xfrm>
        <a:prstGeom prst="rect">
          <a:avLst/>
        </a:prstGeom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82550</xdr:colOff>
      <xdr:row>37</xdr:row>
      <xdr:rowOff>101600</xdr:rowOff>
    </xdr:from>
    <xdr:to>
      <xdr:col>4</xdr:col>
      <xdr:colOff>1035050</xdr:colOff>
      <xdr:row>52</xdr:row>
      <xdr:rowOff>152400</xdr:rowOff>
    </xdr:to>
    <xdr:graphicFrame macro="">
      <xdr:nvGraphicFramePr>
        <xdr:cNvPr id="5" name="Chart 4">
          <a:extLst>
            <a:ext uri="{FF2B5EF4-FFF2-40B4-BE49-F238E27FC236}">
              <a16:creationId xmlns="" xmlns:a16="http://schemas.microsoft.com/office/drawing/2014/main" id="{00000000-0008-0000-35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19050</xdr:colOff>
      <xdr:row>37</xdr:row>
      <xdr:rowOff>101600</xdr:rowOff>
    </xdr:from>
    <xdr:to>
      <xdr:col>12</xdr:col>
      <xdr:colOff>895350</xdr:colOff>
      <xdr:row>52</xdr:row>
      <xdr:rowOff>114300</xdr:rowOff>
    </xdr:to>
    <xdr:graphicFrame macro="">
      <xdr:nvGraphicFramePr>
        <xdr:cNvPr id="6" name="Chart 5">
          <a:extLst>
            <a:ext uri="{FF2B5EF4-FFF2-40B4-BE49-F238E27FC236}">
              <a16:creationId xmlns="" xmlns:a16="http://schemas.microsoft.com/office/drawing/2014/main" id="{00000000-0008-0000-35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95250</xdr:colOff>
      <xdr:row>37</xdr:row>
      <xdr:rowOff>139700</xdr:rowOff>
    </xdr:from>
    <xdr:to>
      <xdr:col>8</xdr:col>
      <xdr:colOff>1047750</xdr:colOff>
      <xdr:row>52</xdr:row>
      <xdr:rowOff>133350</xdr:rowOff>
    </xdr:to>
    <xdr:graphicFrame macro="">
      <xdr:nvGraphicFramePr>
        <xdr:cNvPr id="7" name="Chart 6">
          <a:extLst>
            <a:ext uri="{FF2B5EF4-FFF2-40B4-BE49-F238E27FC236}">
              <a16:creationId xmlns="" xmlns:a16="http://schemas.microsoft.com/office/drawing/2014/main" id="{00000000-0008-0000-35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323849</xdr:colOff>
      <xdr:row>9</xdr:row>
      <xdr:rowOff>157559</xdr:rowOff>
    </xdr:from>
    <xdr:to>
      <xdr:col>21</xdr:col>
      <xdr:colOff>239390</xdr:colOff>
      <xdr:row>11</xdr:row>
      <xdr:rowOff>95250</xdr:rowOff>
    </xdr:to>
    <xdr:sp macro="" textlink="">
      <xdr:nvSpPr>
        <xdr:cNvPr id="4" name="Rounded Rectangle 3">
          <a:extLst>
            <a:ext uri="{FF2B5EF4-FFF2-40B4-BE49-F238E27FC236}">
              <a16:creationId xmlns="" xmlns:a16="http://schemas.microsoft.com/office/drawing/2014/main" id="{00000000-0008-0000-3600-000004000000}"/>
            </a:ext>
          </a:extLst>
        </xdr:cNvPr>
        <xdr:cNvSpPr/>
      </xdr:nvSpPr>
      <xdr:spPr>
        <a:xfrm>
          <a:off x="12645389" y="1780619"/>
          <a:ext cx="548001" cy="311071"/>
        </a:xfrm>
        <a:prstGeom prst="roundRect">
          <a:avLst/>
        </a:prstGeom>
        <a:noFill/>
        <a:ln w="158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6</xdr:row>
          <xdr:rowOff>38100</xdr:rowOff>
        </xdr:from>
        <xdr:to>
          <xdr:col>8</xdr:col>
          <xdr:colOff>1005840</xdr:colOff>
          <xdr:row>19</xdr:row>
          <xdr:rowOff>60960</xdr:rowOff>
        </xdr:to>
        <xdr:pic>
          <xdr:nvPicPr>
            <xdr:cNvPr id="70868" name="Picture 22">
              <a:extLst>
                <a:ext uri="{FF2B5EF4-FFF2-40B4-BE49-F238E27FC236}">
                  <a16:creationId xmlns="" xmlns:a16="http://schemas.microsoft.com/office/drawing/2014/main" id="{00000000-0008-0000-3600-0000D41401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'M2'!$B$7:$J$20" spid="_x0000_s344197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44780" y="1097280"/>
              <a:ext cx="5303520" cy="2392680"/>
            </a:xfrm>
            <a:prstGeom prst="rect">
              <a:avLst/>
            </a:prstGeom>
            <a:solidFill>
              <a:srgbClr val="FFFFFF" mc:Ignorable="a14" a14:legacySpreadsheetColorIndex="9"/>
            </a:solidFill>
          </xdr:spPr>
        </xdr:pic>
        <xdr:clientData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50800</xdr:colOff>
      <xdr:row>6</xdr:row>
      <xdr:rowOff>69850</xdr:rowOff>
    </xdr:from>
    <xdr:to>
      <xdr:col>16</xdr:col>
      <xdr:colOff>698500</xdr:colOff>
      <xdr:row>14</xdr:row>
      <xdr:rowOff>133350</xdr:rowOff>
    </xdr:to>
    <xdr:graphicFrame macro="">
      <xdr:nvGraphicFramePr>
        <xdr:cNvPr id="2" name="Chart 1">
          <a:extLst>
            <a:ext uri="{FF2B5EF4-FFF2-40B4-BE49-F238E27FC236}">
              <a16:creationId xmlns="" xmlns:a16="http://schemas.microsoft.com/office/drawing/2014/main" id="{00000000-0008-0000-3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57150</xdr:colOff>
      <xdr:row>37</xdr:row>
      <xdr:rowOff>1</xdr:rowOff>
    </xdr:from>
    <xdr:to>
      <xdr:col>16</xdr:col>
      <xdr:colOff>687388</xdr:colOff>
      <xdr:row>47</xdr:row>
      <xdr:rowOff>120651</xdr:rowOff>
    </xdr:to>
    <xdr:graphicFrame macro="">
      <xdr:nvGraphicFramePr>
        <xdr:cNvPr id="3" name="Chart 2">
          <a:extLst>
            <a:ext uri="{FF2B5EF4-FFF2-40B4-BE49-F238E27FC236}">
              <a16:creationId xmlns="" xmlns:a16="http://schemas.microsoft.com/office/drawing/2014/main" id="{00000000-0008-0000-3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161925</xdr:colOff>
      <xdr:row>17</xdr:row>
      <xdr:rowOff>47626</xdr:rowOff>
    </xdr:from>
    <xdr:to>
      <xdr:col>20</xdr:col>
      <xdr:colOff>428625</xdr:colOff>
      <xdr:row>27</xdr:row>
      <xdr:rowOff>124352</xdr:rowOff>
    </xdr:to>
    <xdr:pic>
      <xdr:nvPicPr>
        <xdr:cNvPr id="3" name="Picture 2">
          <a:extLst>
            <a:ext uri="{FF2B5EF4-FFF2-40B4-BE49-F238E27FC236}">
              <a16:creationId xmlns="" xmlns:a16="http://schemas.microsoft.com/office/drawing/2014/main" id="{00000000-0008-0000-3A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66875" y="3048001"/>
          <a:ext cx="7981950" cy="1981726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c_oa2\netgear\finance\AUDIT\bridge\quarterly%20trends%20for%20d%20&amp;%20t1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Startup" Target="SDs/K/Kwa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Users\upasak\AppData\Local\Microsoft\Windows\Temporary%20Internet%20Files\Content.Outlook\O6MXOXOL\model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Groups\Finance\Operations%20Strategy\Models\SHGrowthModelFinal%20with%20TM1_WB%20Daly%20City%20Estimated%20Value%20v3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microsoft.com/office/2006/relationships/xlExternalLinkPath/xlPathMissing" Target="2004%2005%20SCS%20UK%20management%20accounts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Users\jc3\Dropbox\C:\C\HNH%20-%20Holy%20Name%20Hospital\HNH-02%20Holy%20Name%20Medical%20Center%20Dialysis%20Program%20(PHC-BV)\HNH-02%20HNMC's%20Dialysis%20Program%20Financial%20Model%20DRAFT%2008-25-2011.xlsx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/Valuation/RNA%20Advisors/Satellite%20Health/Daly%20City/BEV%20VD%2001.15.18/6%20-%20Analysis/Summary%20of%20Comparison.xlsx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pagrawal\Desktop\Aduro%20409A%202014.09.30%20VD%20Exhibits%20DRAFT%202014.11.16.xlsx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Valuation\RNA%20Advisors\Templates\Model\Cabrillo%20Template%20Company%20ABC%20Valuation%20Draft%20Model%2011%2011%202011.xlsx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Valuation.4.Santa%20Cruz%20VD%2012.31.2018%20Draft%20Exhibits%202019.05.14_Replacemen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 (2)"/>
      <sheetName val="Sheet2"/>
      <sheetName val="Sheet3"/>
      <sheetName val="Sheet4"/>
      <sheetName val="Sheet1"/>
      <sheetName val="Tickmarks"/>
      <sheetName val="Sheet5"/>
      <sheetName val="FAB별"/>
      <sheetName val="Credit Calc"/>
      <sheetName val="Capital IQ Sheet-GPC"/>
    </sheetNames>
    <sheetDataSet>
      <sheetData sheetId="0" refreshError="1">
        <row r="3">
          <cell r="H3" t="str">
            <v>Q1 97</v>
          </cell>
          <cell r="I3" t="str">
            <v>Q2 97</v>
          </cell>
          <cell r="J3" t="str">
            <v>Q3 97</v>
          </cell>
          <cell r="K3" t="str">
            <v>Q4 97</v>
          </cell>
          <cell r="M3" t="str">
            <v>Q1 98</v>
          </cell>
          <cell r="N3" t="str">
            <v>Q2 98</v>
          </cell>
          <cell r="O3" t="str">
            <v>Q3 98</v>
          </cell>
          <cell r="P3" t="str">
            <v>Q4 98</v>
          </cell>
        </row>
        <row r="15">
          <cell r="H15">
            <v>-2123303.52</v>
          </cell>
          <cell r="I15">
            <v>-1253290.3699999999</v>
          </cell>
          <cell r="J15">
            <v>-162269.43</v>
          </cell>
          <cell r="K15">
            <v>146899.29000000033</v>
          </cell>
          <cell r="M15">
            <v>-246014.77000000002</v>
          </cell>
          <cell r="N15">
            <v>-1799602.0100000002</v>
          </cell>
          <cell r="O15">
            <v>-1013013.5800000001</v>
          </cell>
        </row>
        <row r="20">
          <cell r="H20">
            <v>0.19236638472376649</v>
          </cell>
          <cell r="I20">
            <v>0.17160343737293951</v>
          </cell>
          <cell r="J20">
            <v>0.22329840583258154</v>
          </cell>
          <cell r="K20">
            <v>0.2622241607330375</v>
          </cell>
          <cell r="M20">
            <v>0.22868601654276952</v>
          </cell>
          <cell r="N20">
            <v>0.13886160439354986</v>
          </cell>
          <cell r="O20">
            <v>0.16937325540860795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OC"/>
      <sheetName val="Demand Data"/>
      <sheetName val="Supply Data"/>
      <sheetName val="Price Fcsts"/>
      <sheetName val="World"/>
      <sheetName val="N Amer"/>
      <sheetName val="Africa"/>
      <sheetName val="C Amer"/>
      <sheetName val="E Asia"/>
      <sheetName val="E Eur"/>
      <sheetName val="FSU"/>
      <sheetName val="Mideast"/>
      <sheetName val="Ocean"/>
      <sheetName val="S Amer"/>
      <sheetName val="S Asia"/>
      <sheetName val="Soc As"/>
      <sheetName val="W Eur"/>
      <sheetName val="Kwa"/>
    </sheetNames>
    <sheetDataSet>
      <sheetData sheetId="0"/>
      <sheetData sheetId="1"/>
      <sheetData sheetId="2"/>
      <sheetData sheetId="3"/>
      <sheetData sheetId="4" refreshError="1"/>
      <sheetData sheetId="5" refreshError="1"/>
      <sheetData sheetId="6" refreshError="1">
        <row r="1">
          <cell r="V1">
            <v>37409</v>
          </cell>
        </row>
        <row r="8">
          <cell r="B8">
            <v>90</v>
          </cell>
          <cell r="C8">
            <v>91</v>
          </cell>
          <cell r="D8">
            <v>92</v>
          </cell>
          <cell r="E8">
            <v>93</v>
          </cell>
          <cell r="F8">
            <v>94</v>
          </cell>
          <cell r="G8">
            <v>95</v>
          </cell>
          <cell r="H8">
            <v>96</v>
          </cell>
          <cell r="I8">
            <v>97</v>
          </cell>
          <cell r="J8">
            <v>98</v>
          </cell>
          <cell r="K8">
            <v>99</v>
          </cell>
          <cell r="L8" t="str">
            <v>00</v>
          </cell>
          <cell r="M8" t="str">
            <v>01</v>
          </cell>
          <cell r="N8" t="str">
            <v>02</v>
          </cell>
          <cell r="O8" t="str">
            <v>03</v>
          </cell>
          <cell r="P8" t="str">
            <v>04</v>
          </cell>
          <cell r="Q8" t="str">
            <v>05</v>
          </cell>
          <cell r="R8" t="str">
            <v>06</v>
          </cell>
          <cell r="S8" t="str">
            <v>07</v>
          </cell>
          <cell r="T8" t="str">
            <v>08</v>
          </cell>
          <cell r="U8" t="str">
            <v>09</v>
          </cell>
          <cell r="V8" t="str">
            <v>10</v>
          </cell>
        </row>
        <row r="13">
          <cell r="B13" t="str">
            <v>na</v>
          </cell>
          <cell r="C13" t="str">
            <v>na</v>
          </cell>
          <cell r="D13" t="str">
            <v>na</v>
          </cell>
          <cell r="E13" t="str">
            <v>na</v>
          </cell>
          <cell r="F13" t="str">
            <v>na</v>
          </cell>
          <cell r="G13" t="str">
            <v>na</v>
          </cell>
          <cell r="H13" t="str">
            <v>na</v>
          </cell>
          <cell r="I13" t="str">
            <v>na</v>
          </cell>
          <cell r="J13" t="str">
            <v>na</v>
          </cell>
          <cell r="K13" t="str">
            <v>na</v>
          </cell>
          <cell r="L13" t="str">
            <v>na</v>
          </cell>
          <cell r="M13" t="str">
            <v>na</v>
          </cell>
          <cell r="N13" t="str">
            <v>na</v>
          </cell>
          <cell r="O13" t="str">
            <v>na</v>
          </cell>
          <cell r="P13" t="str">
            <v>na</v>
          </cell>
          <cell r="Q13" t="str">
            <v>na</v>
          </cell>
          <cell r="R13" t="str">
            <v>na</v>
          </cell>
          <cell r="S13" t="str">
            <v>na</v>
          </cell>
          <cell r="T13" t="str">
            <v>na</v>
          </cell>
          <cell r="U13" t="str">
            <v>na</v>
          </cell>
          <cell r="V13" t="str">
            <v>na</v>
          </cell>
        </row>
        <row r="14">
          <cell r="B14">
            <v>0</v>
          </cell>
          <cell r="C14">
            <v>0</v>
          </cell>
          <cell r="D14">
            <v>0</v>
          </cell>
          <cell r="E14">
            <v>0</v>
          </cell>
          <cell r="F14">
            <v>0</v>
          </cell>
          <cell r="G14">
            <v>0</v>
          </cell>
          <cell r="H14">
            <v>0</v>
          </cell>
          <cell r="I14">
            <v>0</v>
          </cell>
          <cell r="J14">
            <v>0</v>
          </cell>
          <cell r="K14">
            <v>0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  <cell r="V14">
            <v>0</v>
          </cell>
        </row>
        <row r="19">
          <cell r="B19">
            <v>503.6</v>
          </cell>
          <cell r="C19">
            <v>489.4</v>
          </cell>
          <cell r="D19">
            <v>510.8</v>
          </cell>
          <cell r="E19">
            <v>518.29999999999995</v>
          </cell>
          <cell r="F19">
            <v>568.4</v>
          </cell>
          <cell r="G19">
            <v>508.3</v>
          </cell>
          <cell r="H19">
            <v>516.29999999999995</v>
          </cell>
          <cell r="I19">
            <v>537.6</v>
          </cell>
          <cell r="J19">
            <v>582.6</v>
          </cell>
          <cell r="K19">
            <v>522.5</v>
          </cell>
          <cell r="L19">
            <v>533.9</v>
          </cell>
          <cell r="M19">
            <v>556.4</v>
          </cell>
          <cell r="N19">
            <v>555.4</v>
          </cell>
          <cell r="O19">
            <v>560</v>
          </cell>
          <cell r="P19">
            <v>568.4</v>
          </cell>
          <cell r="Q19">
            <v>576.92599999999993</v>
          </cell>
          <cell r="R19">
            <v>585.57988999999986</v>
          </cell>
          <cell r="S19">
            <v>594.36358834999976</v>
          </cell>
          <cell r="T19">
            <v>603.27904217524974</v>
          </cell>
          <cell r="U19">
            <v>612.32822780787842</v>
          </cell>
          <cell r="V19">
            <v>621.51315122499659</v>
          </cell>
        </row>
        <row r="21">
          <cell r="B21">
            <v>9.3691469287980365</v>
          </cell>
          <cell r="C21">
            <v>9.4162280691437559</v>
          </cell>
          <cell r="D21">
            <v>9.4635457981344278</v>
          </cell>
          <cell r="E21">
            <v>9.511101304657716</v>
          </cell>
          <cell r="F21">
            <v>9.5588957835755934</v>
          </cell>
          <cell r="G21">
            <v>9.6069304357543661</v>
          </cell>
          <cell r="H21">
            <v>9.6552064680948408</v>
          </cell>
          <cell r="I21">
            <v>9.7037250935626549</v>
          </cell>
          <cell r="J21">
            <v>9.7524875312187493</v>
          </cell>
          <cell r="K21">
            <v>9.8014950062499988</v>
          </cell>
          <cell r="L21">
            <v>9.8507487499999993</v>
          </cell>
          <cell r="M21">
            <v>9.9002499999999998</v>
          </cell>
          <cell r="N21">
            <v>9.9499999999999993</v>
          </cell>
          <cell r="O21">
            <v>10</v>
          </cell>
          <cell r="P21">
            <v>10.049999999999999</v>
          </cell>
          <cell r="Q21">
            <v>10.100249999999997</v>
          </cell>
          <cell r="R21">
            <v>10.150751249999995</v>
          </cell>
          <cell r="S21">
            <v>10.201505006249995</v>
          </cell>
          <cell r="T21">
            <v>10.252512531281244</v>
          </cell>
          <cell r="U21">
            <v>10.303775093937649</v>
          </cell>
          <cell r="V21">
            <v>10.355293969407336</v>
          </cell>
        </row>
        <row r="28">
          <cell r="B28">
            <v>-528.35822133666204</v>
          </cell>
          <cell r="C28">
            <v>-513.78071491121807</v>
          </cell>
          <cell r="D28">
            <v>-535.87145217207853</v>
          </cell>
          <cell r="E28">
            <v>-543.64543434379743</v>
          </cell>
          <cell r="F28">
            <v>-595.29766265708281</v>
          </cell>
          <cell r="G28">
            <v>-533.44413834882698</v>
          </cell>
          <cell r="H28">
            <v>-541.73386266213765</v>
          </cell>
          <cell r="I28">
            <v>-563.72283684636955</v>
          </cell>
          <cell r="J28">
            <v>-610.12306215715535</v>
          </cell>
          <cell r="K28">
            <v>-548.27053985643749</v>
          </cell>
          <cell r="L28">
            <v>-560.06327121250001</v>
          </cell>
          <cell r="M28">
            <v>-583.28925749999996</v>
          </cell>
          <cell r="N28">
            <v>-582.31050000000005</v>
          </cell>
          <cell r="O28">
            <v>-587.1</v>
          </cell>
          <cell r="P28">
            <v>-595.80349999999999</v>
          </cell>
          <cell r="Q28">
            <v>-604.63703749999991</v>
          </cell>
          <cell r="R28">
            <v>-613.60256048749989</v>
          </cell>
          <cell r="S28">
            <v>-622.70204615693729</v>
          </cell>
          <cell r="T28">
            <v>-631.93750134772688</v>
          </cell>
          <cell r="U28">
            <v>-641.31096298887064</v>
          </cell>
          <cell r="V28">
            <v>-650.82449855023594</v>
          </cell>
        </row>
        <row r="51">
          <cell r="B51">
            <v>0</v>
          </cell>
          <cell r="C51">
            <v>0</v>
          </cell>
          <cell r="D51">
            <v>0</v>
          </cell>
          <cell r="E51">
            <v>0</v>
          </cell>
          <cell r="F51">
            <v>0</v>
          </cell>
          <cell r="G51">
            <v>0</v>
          </cell>
          <cell r="H51">
            <v>0</v>
          </cell>
          <cell r="I51">
            <v>0</v>
          </cell>
          <cell r="J51">
            <v>0</v>
          </cell>
          <cell r="K51">
            <v>0</v>
          </cell>
          <cell r="L51">
            <v>0</v>
          </cell>
          <cell r="M51">
            <v>0</v>
          </cell>
          <cell r="N51">
            <v>0</v>
          </cell>
          <cell r="O51">
            <v>0</v>
          </cell>
          <cell r="P51">
            <v>0</v>
          </cell>
          <cell r="Q51">
            <v>0</v>
          </cell>
          <cell r="R51">
            <v>0</v>
          </cell>
          <cell r="S51">
            <v>0</v>
          </cell>
          <cell r="T51">
            <v>0</v>
          </cell>
          <cell r="U51">
            <v>0</v>
          </cell>
          <cell r="V51">
            <v>0</v>
          </cell>
        </row>
      </sheetData>
      <sheetData sheetId="7" refreshError="1">
        <row r="1">
          <cell r="V1">
            <v>37409</v>
          </cell>
        </row>
        <row r="8">
          <cell r="B8">
            <v>90</v>
          </cell>
          <cell r="C8">
            <v>91</v>
          </cell>
          <cell r="D8">
            <v>92</v>
          </cell>
          <cell r="E8">
            <v>93</v>
          </cell>
          <cell r="F8">
            <v>94</v>
          </cell>
          <cell r="G8">
            <v>95</v>
          </cell>
          <cell r="H8">
            <v>96</v>
          </cell>
          <cell r="I8">
            <v>97</v>
          </cell>
          <cell r="J8">
            <v>98</v>
          </cell>
          <cell r="K8">
            <v>99</v>
          </cell>
          <cell r="L8" t="str">
            <v>00</v>
          </cell>
          <cell r="M8" t="str">
            <v>01</v>
          </cell>
          <cell r="N8" t="str">
            <v>02</v>
          </cell>
          <cell r="O8" t="str">
            <v>03</v>
          </cell>
          <cell r="P8" t="str">
            <v>04</v>
          </cell>
          <cell r="Q8" t="str">
            <v>05</v>
          </cell>
          <cell r="R8" t="str">
            <v>06</v>
          </cell>
          <cell r="S8" t="str">
            <v>07</v>
          </cell>
          <cell r="T8" t="str">
            <v>08</v>
          </cell>
          <cell r="U8" t="str">
            <v>09</v>
          </cell>
          <cell r="V8" t="str">
            <v>10</v>
          </cell>
        </row>
        <row r="13">
          <cell r="B13" t="str">
            <v>na</v>
          </cell>
          <cell r="C13" t="str">
            <v>na</v>
          </cell>
          <cell r="D13" t="str">
            <v>na</v>
          </cell>
          <cell r="E13" t="str">
            <v>na</v>
          </cell>
          <cell r="F13" t="str">
            <v>na</v>
          </cell>
          <cell r="G13" t="str">
            <v>na</v>
          </cell>
          <cell r="H13" t="str">
            <v>na</v>
          </cell>
          <cell r="I13" t="str">
            <v>na</v>
          </cell>
          <cell r="J13" t="str">
            <v>na</v>
          </cell>
          <cell r="K13" t="str">
            <v>na</v>
          </cell>
          <cell r="L13" t="str">
            <v>na</v>
          </cell>
          <cell r="M13" t="str">
            <v>na</v>
          </cell>
          <cell r="N13" t="str">
            <v>na</v>
          </cell>
          <cell r="O13" t="str">
            <v>na</v>
          </cell>
          <cell r="P13" t="str">
            <v>na</v>
          </cell>
          <cell r="Q13" t="str">
            <v>na</v>
          </cell>
          <cell r="R13" t="str">
            <v>na</v>
          </cell>
          <cell r="S13" t="str">
            <v>na</v>
          </cell>
          <cell r="T13" t="str">
            <v>na</v>
          </cell>
          <cell r="U13" t="str">
            <v>na</v>
          </cell>
          <cell r="V13" t="str">
            <v>na</v>
          </cell>
        </row>
        <row r="14">
          <cell r="B14">
            <v>0</v>
          </cell>
          <cell r="C14">
            <v>0</v>
          </cell>
          <cell r="D14">
            <v>0</v>
          </cell>
          <cell r="E14">
            <v>0</v>
          </cell>
          <cell r="F14">
            <v>0</v>
          </cell>
          <cell r="G14">
            <v>0</v>
          </cell>
          <cell r="H14">
            <v>0</v>
          </cell>
          <cell r="I14">
            <v>0</v>
          </cell>
          <cell r="J14">
            <v>0</v>
          </cell>
          <cell r="K14">
            <v>0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  <cell r="V14">
            <v>0</v>
          </cell>
        </row>
        <row r="19">
          <cell r="B19">
            <v>414.7</v>
          </cell>
          <cell r="C19">
            <v>273</v>
          </cell>
          <cell r="D19">
            <v>269.8</v>
          </cell>
          <cell r="E19">
            <v>245</v>
          </cell>
          <cell r="F19">
            <v>253.6</v>
          </cell>
          <cell r="G19">
            <v>297</v>
          </cell>
          <cell r="H19">
            <v>378.8</v>
          </cell>
          <cell r="I19">
            <v>479.3</v>
          </cell>
          <cell r="J19">
            <v>421.5</v>
          </cell>
          <cell r="K19">
            <v>430.6</v>
          </cell>
          <cell r="L19">
            <v>421.3</v>
          </cell>
          <cell r="M19">
            <v>431.3</v>
          </cell>
          <cell r="N19">
            <v>443.1</v>
          </cell>
          <cell r="O19">
            <v>450</v>
          </cell>
          <cell r="P19">
            <v>456.74999999999994</v>
          </cell>
          <cell r="Q19">
            <v>463.60124999999988</v>
          </cell>
          <cell r="R19">
            <v>470.55526874999981</v>
          </cell>
          <cell r="S19">
            <v>477.61359778124978</v>
          </cell>
          <cell r="T19">
            <v>484.77780174796845</v>
          </cell>
          <cell r="U19">
            <v>492.04946877418791</v>
          </cell>
          <cell r="V19">
            <v>499.4302108058007</v>
          </cell>
        </row>
        <row r="21">
          <cell r="B21">
            <v>24.199576476360555</v>
          </cell>
          <cell r="C21">
            <v>24.260227043970481</v>
          </cell>
          <cell r="D21">
            <v>24.321029618015519</v>
          </cell>
          <cell r="E21">
            <v>24.381984579464177</v>
          </cell>
          <cell r="F21">
            <v>24.443092310239777</v>
          </cell>
          <cell r="G21">
            <v>24.504353193222833</v>
          </cell>
          <cell r="H21">
            <v>24.565767612253467</v>
          </cell>
          <cell r="I21">
            <v>24.627335952133802</v>
          </cell>
          <cell r="J21">
            <v>24.689058598630375</v>
          </cell>
          <cell r="K21">
            <v>24.750935938476566</v>
          </cell>
          <cell r="L21">
            <v>24.812968359375002</v>
          </cell>
          <cell r="M21">
            <v>24.87515625</v>
          </cell>
          <cell r="N21">
            <v>24.9375</v>
          </cell>
          <cell r="O21">
            <v>25</v>
          </cell>
          <cell r="P21">
            <v>25.0625</v>
          </cell>
          <cell r="Q21">
            <v>25.12515625</v>
          </cell>
          <cell r="R21">
            <v>25.187969140624997</v>
          </cell>
          <cell r="S21">
            <v>25.250939063476558</v>
          </cell>
          <cell r="T21">
            <v>25.314066411135247</v>
          </cell>
          <cell r="U21">
            <v>25.377351577163083</v>
          </cell>
          <cell r="V21">
            <v>25.440794956105989</v>
          </cell>
        </row>
        <row r="28">
          <cell r="B28">
            <v>-452.06656377065138</v>
          </cell>
          <cell r="C28">
            <v>-306.17803385528958</v>
          </cell>
          <cell r="D28">
            <v>-302.94466050655603</v>
          </cell>
          <cell r="E28">
            <v>-277.46344411684811</v>
          </cell>
          <cell r="F28">
            <v>-286.38438507954697</v>
          </cell>
          <cell r="G28">
            <v>-331.14948378901948</v>
          </cell>
          <cell r="H28">
            <v>-415.46674064062108</v>
          </cell>
          <cell r="I28">
            <v>-519.04515603069785</v>
          </cell>
          <cell r="J28">
            <v>-459.57473035658927</v>
          </cell>
          <cell r="K28">
            <v>-469.0114640166309</v>
          </cell>
          <cell r="L28">
            <v>-459.49635741015629</v>
          </cell>
          <cell r="M28">
            <v>-469.86041093749998</v>
          </cell>
          <cell r="N28">
            <v>-482.07862500000005</v>
          </cell>
          <cell r="O28">
            <v>-489.25</v>
          </cell>
          <cell r="P28">
            <v>-496.26687499999991</v>
          </cell>
          <cell r="Q28">
            <v>-503.38819843749985</v>
          </cell>
          <cell r="R28">
            <v>-510.61553502734358</v>
          </cell>
          <cell r="S28">
            <v>-517.95047295006816</v>
          </cell>
          <cell r="T28">
            <v>-525.39462420387679</v>
          </cell>
          <cell r="U28">
            <v>-532.94962496189157</v>
          </cell>
          <cell r="V28">
            <v>-540.61713593476384</v>
          </cell>
        </row>
        <row r="51">
          <cell r="B51">
            <v>0</v>
          </cell>
          <cell r="C51">
            <v>0</v>
          </cell>
          <cell r="D51">
            <v>0</v>
          </cell>
          <cell r="E51">
            <v>0</v>
          </cell>
          <cell r="F51">
            <v>0</v>
          </cell>
          <cell r="G51">
            <v>0</v>
          </cell>
          <cell r="H51">
            <v>0</v>
          </cell>
          <cell r="I51">
            <v>0</v>
          </cell>
          <cell r="J51">
            <v>0</v>
          </cell>
          <cell r="K51">
            <v>0</v>
          </cell>
          <cell r="L51">
            <v>0</v>
          </cell>
          <cell r="M51">
            <v>0</v>
          </cell>
          <cell r="N51">
            <v>0</v>
          </cell>
          <cell r="O51">
            <v>0</v>
          </cell>
          <cell r="P51">
            <v>0</v>
          </cell>
          <cell r="Q51">
            <v>0</v>
          </cell>
          <cell r="R51">
            <v>0</v>
          </cell>
          <cell r="S51">
            <v>0</v>
          </cell>
          <cell r="T51">
            <v>0</v>
          </cell>
          <cell r="U51">
            <v>0</v>
          </cell>
          <cell r="V51">
            <v>0</v>
          </cell>
        </row>
      </sheetData>
      <sheetData sheetId="8" refreshError="1">
        <row r="1">
          <cell r="V1">
            <v>37409</v>
          </cell>
        </row>
        <row r="8">
          <cell r="B8">
            <v>90</v>
          </cell>
          <cell r="C8">
            <v>91</v>
          </cell>
          <cell r="D8">
            <v>92</v>
          </cell>
          <cell r="E8">
            <v>93</v>
          </cell>
          <cell r="F8">
            <v>94</v>
          </cell>
          <cell r="G8">
            <v>95</v>
          </cell>
          <cell r="H8">
            <v>96</v>
          </cell>
          <cell r="I8">
            <v>97</v>
          </cell>
          <cell r="J8">
            <v>98</v>
          </cell>
          <cell r="K8">
            <v>99</v>
          </cell>
          <cell r="L8" t="str">
            <v>00</v>
          </cell>
          <cell r="M8" t="str">
            <v>01</v>
          </cell>
          <cell r="N8" t="str">
            <v>02</v>
          </cell>
          <cell r="O8" t="str">
            <v>03</v>
          </cell>
          <cell r="P8" t="str">
            <v>04</v>
          </cell>
          <cell r="Q8" t="str">
            <v>05</v>
          </cell>
          <cell r="R8" t="str">
            <v>06</v>
          </cell>
          <cell r="S8" t="str">
            <v>07</v>
          </cell>
          <cell r="T8" t="str">
            <v>08</v>
          </cell>
          <cell r="U8" t="str">
            <v>09</v>
          </cell>
          <cell r="V8" t="str">
            <v>10</v>
          </cell>
        </row>
        <row r="13">
          <cell r="B13" t="str">
            <v>na</v>
          </cell>
          <cell r="C13" t="str">
            <v>na</v>
          </cell>
          <cell r="D13" t="str">
            <v>na</v>
          </cell>
          <cell r="E13" t="str">
            <v>na</v>
          </cell>
          <cell r="F13" t="str">
            <v>na</v>
          </cell>
          <cell r="G13" t="str">
            <v>na</v>
          </cell>
          <cell r="H13" t="str">
            <v>na</v>
          </cell>
          <cell r="I13" t="str">
            <v>na</v>
          </cell>
          <cell r="J13" t="str">
            <v>na</v>
          </cell>
          <cell r="K13" t="str">
            <v>na</v>
          </cell>
          <cell r="L13" t="str">
            <v>na</v>
          </cell>
          <cell r="M13" t="str">
            <v>na</v>
          </cell>
          <cell r="N13" t="str">
            <v>na</v>
          </cell>
          <cell r="O13" t="str">
            <v>na</v>
          </cell>
          <cell r="P13" t="str">
            <v>na</v>
          </cell>
          <cell r="Q13" t="str">
            <v>na</v>
          </cell>
          <cell r="R13" t="str">
            <v>na</v>
          </cell>
          <cell r="S13" t="str">
            <v>na</v>
          </cell>
          <cell r="T13" t="str">
            <v>na</v>
          </cell>
          <cell r="U13" t="str">
            <v>na</v>
          </cell>
          <cell r="V13" t="e">
            <v>#DIV/0!</v>
          </cell>
        </row>
        <row r="14">
          <cell r="B14">
            <v>0</v>
          </cell>
          <cell r="C14">
            <v>0</v>
          </cell>
          <cell r="D14">
            <v>0</v>
          </cell>
          <cell r="E14">
            <v>0</v>
          </cell>
          <cell r="F14">
            <v>0</v>
          </cell>
          <cell r="G14">
            <v>0</v>
          </cell>
          <cell r="H14">
            <v>0</v>
          </cell>
          <cell r="I14">
            <v>0</v>
          </cell>
          <cell r="J14">
            <v>0</v>
          </cell>
          <cell r="K14">
            <v>0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  <cell r="V14">
            <v>0</v>
          </cell>
        </row>
        <row r="19">
          <cell r="B19">
            <v>1908.4</v>
          </cell>
          <cell r="C19">
            <v>1874.1</v>
          </cell>
          <cell r="D19">
            <v>1913.3</v>
          </cell>
          <cell r="E19">
            <v>1950.4</v>
          </cell>
          <cell r="F19">
            <v>2061.8000000000002</v>
          </cell>
          <cell r="G19">
            <v>2267.6999999999998</v>
          </cell>
          <cell r="H19">
            <v>2127.5</v>
          </cell>
          <cell r="I19">
            <v>2092.3000000000002</v>
          </cell>
          <cell r="J19">
            <v>2088.8000000000002</v>
          </cell>
          <cell r="K19">
            <v>2173.3000000000002</v>
          </cell>
          <cell r="L19">
            <v>2105.1</v>
          </cell>
          <cell r="M19">
            <v>2008.4</v>
          </cell>
          <cell r="N19">
            <v>2020.5</v>
          </cell>
          <cell r="O19">
            <v>2050</v>
          </cell>
          <cell r="P19">
            <v>2070.5</v>
          </cell>
          <cell r="Q19">
            <v>2091.2049999999999</v>
          </cell>
          <cell r="R19">
            <v>2112.1170499999998</v>
          </cell>
          <cell r="S19">
            <v>2133.2382204999999</v>
          </cell>
          <cell r="T19">
            <v>2154.5706027050001</v>
          </cell>
          <cell r="U19">
            <v>2176.1163087320501</v>
          </cell>
          <cell r="V19">
            <v>2197.8774718193708</v>
          </cell>
        </row>
        <row r="21">
          <cell r="B21">
            <v>145.19745885816337</v>
          </cell>
          <cell r="C21">
            <v>145.56136226382293</v>
          </cell>
          <cell r="D21">
            <v>145.92617770809315</v>
          </cell>
          <cell r="E21">
            <v>146.2919074767851</v>
          </cell>
          <cell r="F21">
            <v>146.65855386143869</v>
          </cell>
          <cell r="G21">
            <v>147.02611915933701</v>
          </cell>
          <cell r="H21">
            <v>147.3946056735208</v>
          </cell>
          <cell r="I21">
            <v>147.7640157128028</v>
          </cell>
          <cell r="J21">
            <v>148.13435159178226</v>
          </cell>
          <cell r="K21">
            <v>148.50561563085941</v>
          </cell>
          <cell r="L21">
            <v>148.87781015625004</v>
          </cell>
          <cell r="M21">
            <v>149.25093750000002</v>
          </cell>
          <cell r="N21">
            <v>149.625</v>
          </cell>
          <cell r="O21">
            <v>150</v>
          </cell>
          <cell r="P21">
            <v>150.375</v>
          </cell>
          <cell r="Q21">
            <v>150.75093749999999</v>
          </cell>
          <cell r="R21">
            <v>151.12781484374997</v>
          </cell>
          <cell r="S21">
            <v>151.50563438085933</v>
          </cell>
          <cell r="T21">
            <v>151.88439846681146</v>
          </cell>
          <cell r="U21">
            <v>152.2641094629785</v>
          </cell>
          <cell r="V21">
            <v>152.64476973663594</v>
          </cell>
        </row>
        <row r="28">
          <cell r="B28">
            <v>-2115.2053826239085</v>
          </cell>
          <cell r="C28">
            <v>-2080.2512031317374</v>
          </cell>
          <cell r="D28">
            <v>-2121.002963039336</v>
          </cell>
          <cell r="E28">
            <v>-2159.5926647010888</v>
          </cell>
          <cell r="F28">
            <v>-2274.7123104772818</v>
          </cell>
          <cell r="G28">
            <v>-2487.167902734117</v>
          </cell>
          <cell r="H28">
            <v>-2343.1414438437264</v>
          </cell>
          <cell r="I28">
            <v>-2307.265936184187</v>
          </cell>
          <cell r="J28">
            <v>-2304.0423821395361</v>
          </cell>
          <cell r="K28">
            <v>-2391.4597840997853</v>
          </cell>
          <cell r="L28">
            <v>-2321.5971444609377</v>
          </cell>
          <cell r="M28">
            <v>-2222.3804656249999</v>
          </cell>
          <cell r="N28">
            <v>-2235.2287500000002</v>
          </cell>
          <cell r="O28">
            <v>-2266</v>
          </cell>
          <cell r="P28">
            <v>-2287.5012499999998</v>
          </cell>
          <cell r="Q28">
            <v>-2309.2146156250001</v>
          </cell>
          <cell r="R28">
            <v>-2331.1422107890621</v>
          </cell>
          <cell r="S28">
            <v>-2353.2861705272849</v>
          </cell>
          <cell r="T28">
            <v>-2375.648651206966</v>
          </cell>
          <cell r="U28">
            <v>-2398.2318307408796</v>
          </cell>
          <cell r="V28">
            <v>-2421.0379088026871</v>
          </cell>
        </row>
        <row r="51">
          <cell r="B51">
            <v>0</v>
          </cell>
          <cell r="C51">
            <v>0</v>
          </cell>
          <cell r="D51">
            <v>0</v>
          </cell>
          <cell r="E51">
            <v>0</v>
          </cell>
          <cell r="F51">
            <v>0</v>
          </cell>
          <cell r="G51">
            <v>0</v>
          </cell>
          <cell r="H51">
            <v>0</v>
          </cell>
          <cell r="I51">
            <v>0</v>
          </cell>
          <cell r="J51">
            <v>0</v>
          </cell>
          <cell r="K51">
            <v>0</v>
          </cell>
          <cell r="L51">
            <v>0</v>
          </cell>
          <cell r="M51">
            <v>0</v>
          </cell>
          <cell r="N51">
            <v>0</v>
          </cell>
          <cell r="O51">
            <v>0</v>
          </cell>
          <cell r="P51">
            <v>0</v>
          </cell>
          <cell r="Q51">
            <v>0</v>
          </cell>
          <cell r="R51">
            <v>0</v>
          </cell>
          <cell r="S51">
            <v>0</v>
          </cell>
          <cell r="T51">
            <v>0</v>
          </cell>
          <cell r="U51">
            <v>0</v>
          </cell>
          <cell r="V51">
            <v>0</v>
          </cell>
        </row>
      </sheetData>
      <sheetData sheetId="9" refreshError="1">
        <row r="1">
          <cell r="V1">
            <v>37409</v>
          </cell>
        </row>
        <row r="8">
          <cell r="B8">
            <v>90</v>
          </cell>
          <cell r="C8">
            <v>91</v>
          </cell>
          <cell r="D8">
            <v>92</v>
          </cell>
          <cell r="E8">
            <v>93</v>
          </cell>
          <cell r="F8">
            <v>94</v>
          </cell>
          <cell r="G8">
            <v>95</v>
          </cell>
          <cell r="H8">
            <v>96</v>
          </cell>
          <cell r="I8">
            <v>97</v>
          </cell>
          <cell r="J8">
            <v>98</v>
          </cell>
          <cell r="K8">
            <v>99</v>
          </cell>
          <cell r="L8" t="str">
            <v>00</v>
          </cell>
          <cell r="M8" t="str">
            <v>01</v>
          </cell>
          <cell r="N8" t="str">
            <v>02</v>
          </cell>
          <cell r="O8" t="str">
            <v>03</v>
          </cell>
          <cell r="P8" t="str">
            <v>04</v>
          </cell>
          <cell r="Q8" t="str">
            <v>05</v>
          </cell>
          <cell r="R8" t="str">
            <v>06</v>
          </cell>
          <cell r="S8" t="str">
            <v>07</v>
          </cell>
          <cell r="T8" t="str">
            <v>08</v>
          </cell>
          <cell r="U8" t="str">
            <v>09</v>
          </cell>
          <cell r="V8" t="str">
            <v>10</v>
          </cell>
        </row>
        <row r="13">
          <cell r="B13" t="str">
            <v>na</v>
          </cell>
          <cell r="C13" t="str">
            <v>na</v>
          </cell>
          <cell r="D13" t="str">
            <v>na</v>
          </cell>
          <cell r="E13" t="str">
            <v>na</v>
          </cell>
          <cell r="F13" t="str">
            <v>na</v>
          </cell>
          <cell r="G13" t="str">
            <v>na</v>
          </cell>
          <cell r="H13" t="str">
            <v>na</v>
          </cell>
          <cell r="I13" t="str">
            <v>na</v>
          </cell>
          <cell r="J13" t="str">
            <v>na</v>
          </cell>
          <cell r="K13" t="str">
            <v>na</v>
          </cell>
          <cell r="L13" t="str">
            <v>na</v>
          </cell>
          <cell r="M13" t="str">
            <v>na</v>
          </cell>
          <cell r="N13" t="str">
            <v>na</v>
          </cell>
          <cell r="O13" t="str">
            <v>na</v>
          </cell>
          <cell r="P13" t="str">
            <v>na</v>
          </cell>
          <cell r="Q13" t="str">
            <v>na</v>
          </cell>
          <cell r="R13" t="str">
            <v>na</v>
          </cell>
          <cell r="S13" t="str">
            <v>na</v>
          </cell>
          <cell r="T13" t="str">
            <v>na</v>
          </cell>
          <cell r="U13" t="str">
            <v>na</v>
          </cell>
          <cell r="V13" t="str">
            <v>na</v>
          </cell>
        </row>
        <row r="14">
          <cell r="B14">
            <v>0</v>
          </cell>
          <cell r="C14">
            <v>0</v>
          </cell>
          <cell r="D14">
            <v>0</v>
          </cell>
          <cell r="E14">
            <v>0</v>
          </cell>
          <cell r="F14">
            <v>0</v>
          </cell>
          <cell r="G14">
            <v>0</v>
          </cell>
          <cell r="H14">
            <v>0</v>
          </cell>
          <cell r="I14">
            <v>0</v>
          </cell>
          <cell r="J14">
            <v>0</v>
          </cell>
          <cell r="K14">
            <v>0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  <cell r="V14">
            <v>0</v>
          </cell>
        </row>
        <row r="19">
          <cell r="B19">
            <v>1497</v>
          </cell>
          <cell r="C19">
            <v>618.79999999999995</v>
          </cell>
          <cell r="D19">
            <v>486.3</v>
          </cell>
          <cell r="E19">
            <v>491.7</v>
          </cell>
          <cell r="F19">
            <v>548.70000000000005</v>
          </cell>
          <cell r="G19">
            <v>579.5</v>
          </cell>
          <cell r="H19">
            <v>625.5</v>
          </cell>
          <cell r="I19">
            <v>694.9</v>
          </cell>
          <cell r="J19">
            <v>629.20000000000005</v>
          </cell>
          <cell r="K19">
            <v>601.29999999999995</v>
          </cell>
          <cell r="L19">
            <v>595.29999999999995</v>
          </cell>
          <cell r="M19">
            <v>594.1</v>
          </cell>
          <cell r="N19">
            <v>596.1</v>
          </cell>
          <cell r="O19">
            <v>610</v>
          </cell>
          <cell r="P19">
            <v>622.20000000000005</v>
          </cell>
          <cell r="Q19">
            <v>634.64400000000001</v>
          </cell>
          <cell r="R19">
            <v>647.33688000000006</v>
          </cell>
          <cell r="S19">
            <v>660.28361760000007</v>
          </cell>
          <cell r="T19">
            <v>673.48928995200004</v>
          </cell>
          <cell r="U19">
            <v>686.95907575104002</v>
          </cell>
          <cell r="V19">
            <v>700.69825726606086</v>
          </cell>
        </row>
        <row r="21">
          <cell r="B21">
            <v>187.38293857596076</v>
          </cell>
          <cell r="C21">
            <v>188.32456138287515</v>
          </cell>
          <cell r="D21">
            <v>189.27091596268858</v>
          </cell>
          <cell r="E21">
            <v>190.22202609315434</v>
          </cell>
          <cell r="F21">
            <v>191.1779156715119</v>
          </cell>
          <cell r="G21">
            <v>192.13860871508734</v>
          </cell>
          <cell r="H21">
            <v>193.10412936189684</v>
          </cell>
          <cell r="I21">
            <v>194.07450187125309</v>
          </cell>
          <cell r="J21">
            <v>195.04975062437498</v>
          </cell>
          <cell r="K21">
            <v>196.02990012499998</v>
          </cell>
          <cell r="L21">
            <v>197.01497499999999</v>
          </cell>
          <cell r="M21">
            <v>198.005</v>
          </cell>
          <cell r="N21">
            <v>199</v>
          </cell>
          <cell r="O21">
            <v>200</v>
          </cell>
          <cell r="P21">
            <v>200</v>
          </cell>
          <cell r="Q21">
            <v>200</v>
          </cell>
          <cell r="R21">
            <v>200</v>
          </cell>
          <cell r="S21">
            <v>200</v>
          </cell>
          <cell r="T21">
            <v>200</v>
          </cell>
          <cell r="U21">
            <v>200</v>
          </cell>
          <cell r="V21">
            <v>200</v>
          </cell>
        </row>
        <row r="28">
          <cell r="B28">
            <v>-1734.9144267332395</v>
          </cell>
          <cell r="C28">
            <v>-831.33829822436132</v>
          </cell>
          <cell r="D28">
            <v>-695.8380434415692</v>
          </cell>
          <cell r="E28">
            <v>-702.37968687594889</v>
          </cell>
          <cell r="F28">
            <v>-762.07425314165732</v>
          </cell>
          <cell r="G28">
            <v>-794.78776697653996</v>
          </cell>
          <cell r="H28">
            <v>-843.16225324275376</v>
          </cell>
          <cell r="I28">
            <v>-915.64373692739071</v>
          </cell>
          <cell r="J28">
            <v>-848.97724314310619</v>
          </cell>
          <cell r="K28">
            <v>-821.24979712874995</v>
          </cell>
          <cell r="L28">
            <v>-816.08442424999998</v>
          </cell>
          <cell r="M28">
            <v>-815.86815000000001</v>
          </cell>
          <cell r="N28">
            <v>-818.95299999999997</v>
          </cell>
          <cell r="O28">
            <v>-834.3</v>
          </cell>
          <cell r="P28">
            <v>-846.8660000000001</v>
          </cell>
          <cell r="Q28">
            <v>-859.68331999999998</v>
          </cell>
          <cell r="R28">
            <v>-872.75698640000007</v>
          </cell>
          <cell r="S28">
            <v>-886.09212612800002</v>
          </cell>
          <cell r="T28">
            <v>-899.69396865056001</v>
          </cell>
          <cell r="U28">
            <v>-913.56784802357117</v>
          </cell>
          <cell r="V28">
            <v>-927.71920498404268</v>
          </cell>
        </row>
        <row r="51">
          <cell r="B51">
            <v>0</v>
          </cell>
          <cell r="C51">
            <v>0</v>
          </cell>
          <cell r="D51">
            <v>0</v>
          </cell>
          <cell r="E51">
            <v>0</v>
          </cell>
          <cell r="F51">
            <v>0</v>
          </cell>
          <cell r="G51">
            <v>0</v>
          </cell>
          <cell r="H51">
            <v>0</v>
          </cell>
          <cell r="I51">
            <v>0</v>
          </cell>
          <cell r="J51">
            <v>0</v>
          </cell>
          <cell r="K51">
            <v>0</v>
          </cell>
          <cell r="L51">
            <v>0</v>
          </cell>
          <cell r="M51">
            <v>0</v>
          </cell>
          <cell r="N51">
            <v>0</v>
          </cell>
          <cell r="O51">
            <v>0</v>
          </cell>
          <cell r="P51">
            <v>0</v>
          </cell>
          <cell r="Q51">
            <v>0</v>
          </cell>
          <cell r="R51">
            <v>0</v>
          </cell>
          <cell r="S51">
            <v>0</v>
          </cell>
          <cell r="T51">
            <v>0</v>
          </cell>
          <cell r="U51">
            <v>0</v>
          </cell>
          <cell r="V51">
            <v>0</v>
          </cell>
        </row>
      </sheetData>
      <sheetData sheetId="10" refreshError="1"/>
      <sheetData sheetId="11" refreshError="1">
        <row r="1">
          <cell r="V1">
            <v>37409</v>
          </cell>
        </row>
        <row r="8">
          <cell r="B8">
            <v>90</v>
          </cell>
          <cell r="C8">
            <v>91</v>
          </cell>
          <cell r="D8">
            <v>92</v>
          </cell>
          <cell r="E8">
            <v>93</v>
          </cell>
          <cell r="F8">
            <v>94</v>
          </cell>
          <cell r="G8">
            <v>95</v>
          </cell>
          <cell r="H8">
            <v>96</v>
          </cell>
          <cell r="I8">
            <v>97</v>
          </cell>
          <cell r="J8">
            <v>98</v>
          </cell>
          <cell r="K8">
            <v>99</v>
          </cell>
          <cell r="L8" t="str">
            <v>00</v>
          </cell>
          <cell r="M8" t="str">
            <v>01</v>
          </cell>
          <cell r="N8" t="str">
            <v>02</v>
          </cell>
          <cell r="O8" t="str">
            <v>03</v>
          </cell>
          <cell r="P8" t="str">
            <v>04</v>
          </cell>
          <cell r="Q8" t="str">
            <v>05</v>
          </cell>
          <cell r="R8" t="str">
            <v>06</v>
          </cell>
          <cell r="S8" t="str">
            <v>07</v>
          </cell>
          <cell r="T8" t="str">
            <v>08</v>
          </cell>
          <cell r="U8" t="str">
            <v>09</v>
          </cell>
          <cell r="V8" t="str">
            <v>10</v>
          </cell>
        </row>
        <row r="13">
          <cell r="B13">
            <v>96.981981981981974</v>
          </cell>
          <cell r="C13">
            <v>94.054054054054063</v>
          </cell>
          <cell r="D13">
            <v>94.77477477477477</v>
          </cell>
          <cell r="E13">
            <v>95.990990990990994</v>
          </cell>
          <cell r="F13">
            <v>88.983739837398375</v>
          </cell>
          <cell r="G13">
            <v>97.317073170731703</v>
          </cell>
          <cell r="H13">
            <v>99.186046511627907</v>
          </cell>
          <cell r="I13">
            <v>87.201492537313428</v>
          </cell>
          <cell r="J13">
            <v>92.956834532374103</v>
          </cell>
          <cell r="K13">
            <v>100.07194244604317</v>
          </cell>
          <cell r="L13">
            <v>101.37282229965156</v>
          </cell>
          <cell r="M13">
            <v>99.057046979865774</v>
          </cell>
          <cell r="N13">
            <v>96.625</v>
          </cell>
          <cell r="O13">
            <v>96.125</v>
          </cell>
          <cell r="P13">
            <v>96.75</v>
          </cell>
          <cell r="Q13">
            <v>97.375</v>
          </cell>
          <cell r="R13">
            <v>97.375</v>
          </cell>
          <cell r="S13">
            <v>97.375</v>
          </cell>
          <cell r="T13">
            <v>96.194029850746261</v>
          </cell>
          <cell r="U13">
            <v>96.142857142857139</v>
          </cell>
          <cell r="V13">
            <v>96.571428571428569</v>
          </cell>
        </row>
        <row r="14">
          <cell r="B14">
            <v>2153</v>
          </cell>
          <cell r="C14">
            <v>2088</v>
          </cell>
          <cell r="D14">
            <v>2104</v>
          </cell>
          <cell r="E14">
            <v>2131</v>
          </cell>
          <cell r="F14">
            <v>2189</v>
          </cell>
          <cell r="G14">
            <v>2394</v>
          </cell>
          <cell r="H14">
            <v>2559</v>
          </cell>
          <cell r="I14">
            <v>2337</v>
          </cell>
          <cell r="J14">
            <v>2584.1999999999998</v>
          </cell>
          <cell r="K14">
            <v>2782</v>
          </cell>
          <cell r="L14">
            <v>2909.3999999999996</v>
          </cell>
          <cell r="M14">
            <v>2951.9</v>
          </cell>
          <cell r="N14">
            <v>3092</v>
          </cell>
          <cell r="O14">
            <v>3076</v>
          </cell>
          <cell r="P14">
            <v>3096</v>
          </cell>
          <cell r="Q14">
            <v>3116</v>
          </cell>
          <cell r="R14">
            <v>3116</v>
          </cell>
          <cell r="S14">
            <v>3116</v>
          </cell>
          <cell r="T14">
            <v>3222.5</v>
          </cell>
          <cell r="U14">
            <v>3365</v>
          </cell>
          <cell r="V14">
            <v>3380</v>
          </cell>
        </row>
        <row r="19">
          <cell r="B19">
            <v>151.5</v>
          </cell>
          <cell r="C19">
            <v>121.4</v>
          </cell>
          <cell r="D19">
            <v>168.6</v>
          </cell>
          <cell r="E19">
            <v>187.1</v>
          </cell>
          <cell r="F19">
            <v>146.69999999999999</v>
          </cell>
          <cell r="G19">
            <v>132.4</v>
          </cell>
          <cell r="H19">
            <v>160.4</v>
          </cell>
          <cell r="I19">
            <v>173.4</v>
          </cell>
          <cell r="J19">
            <v>220.7</v>
          </cell>
          <cell r="K19">
            <v>279.3</v>
          </cell>
          <cell r="L19">
            <v>263.2</v>
          </cell>
          <cell r="M19">
            <v>266.7</v>
          </cell>
          <cell r="N19">
            <v>264.7</v>
          </cell>
          <cell r="O19">
            <v>270</v>
          </cell>
          <cell r="P19">
            <v>278.10000000000002</v>
          </cell>
          <cell r="Q19">
            <v>286.44300000000004</v>
          </cell>
          <cell r="R19">
            <v>295.03629000000006</v>
          </cell>
          <cell r="S19">
            <v>303.88737870000006</v>
          </cell>
          <cell r="T19">
            <v>313.00400006100006</v>
          </cell>
          <cell r="U19">
            <v>322.39412006283004</v>
          </cell>
          <cell r="V19">
            <v>332.06594366471495</v>
          </cell>
        </row>
        <row r="21">
          <cell r="B21">
            <v>15</v>
          </cell>
          <cell r="C21">
            <v>15</v>
          </cell>
          <cell r="D21">
            <v>15</v>
          </cell>
          <cell r="E21">
            <v>15</v>
          </cell>
          <cell r="F21">
            <v>15</v>
          </cell>
          <cell r="G21">
            <v>15</v>
          </cell>
          <cell r="H21">
            <v>15</v>
          </cell>
          <cell r="I21">
            <v>15</v>
          </cell>
          <cell r="J21">
            <v>15</v>
          </cell>
          <cell r="K21">
            <v>15</v>
          </cell>
          <cell r="L21">
            <v>15</v>
          </cell>
          <cell r="M21">
            <v>15</v>
          </cell>
          <cell r="N21">
            <v>15</v>
          </cell>
          <cell r="O21">
            <v>15</v>
          </cell>
          <cell r="P21">
            <v>15</v>
          </cell>
          <cell r="Q21">
            <v>15</v>
          </cell>
          <cell r="R21">
            <v>15</v>
          </cell>
          <cell r="S21">
            <v>15</v>
          </cell>
          <cell r="T21">
            <v>15</v>
          </cell>
          <cell r="U21">
            <v>15</v>
          </cell>
          <cell r="V21">
            <v>15</v>
          </cell>
        </row>
        <row r="28">
          <cell r="B28">
            <v>1981.5050000000001</v>
          </cell>
          <cell r="C28">
            <v>1947.508</v>
          </cell>
          <cell r="D28">
            <v>1914.8920000000001</v>
          </cell>
          <cell r="E28">
            <v>1922.837</v>
          </cell>
          <cell r="F28">
            <v>2022.4490000000001</v>
          </cell>
          <cell r="G28">
            <v>2242.1779999999999</v>
          </cell>
          <cell r="H28">
            <v>2378.3380000000002</v>
          </cell>
          <cell r="I28">
            <v>2142.9479999999999</v>
          </cell>
          <cell r="J28">
            <v>2341.4289999999996</v>
          </cell>
          <cell r="K28">
            <v>2478.8710000000001</v>
          </cell>
          <cell r="L28">
            <v>2622.8539999999998</v>
          </cell>
          <cell r="M28">
            <v>2661.7490000000003</v>
          </cell>
          <cell r="N28">
            <v>2803.9090000000001</v>
          </cell>
          <cell r="O28">
            <v>2782.45</v>
          </cell>
          <cell r="P28">
            <v>2794.107</v>
          </cell>
          <cell r="Q28">
            <v>2805.5137100000002</v>
          </cell>
          <cell r="R28">
            <v>2796.6626213</v>
          </cell>
          <cell r="S28">
            <v>2787.545999939</v>
          </cell>
          <cell r="T28">
            <v>2884.6558799371701</v>
          </cell>
          <cell r="U28">
            <v>3017.484056335285</v>
          </cell>
          <cell r="V28">
            <v>3022.5220780253435</v>
          </cell>
        </row>
        <row r="51">
          <cell r="B51">
            <v>67</v>
          </cell>
          <cell r="C51">
            <v>132</v>
          </cell>
          <cell r="D51">
            <v>116</v>
          </cell>
          <cell r="E51">
            <v>89</v>
          </cell>
          <cell r="F51">
            <v>271</v>
          </cell>
          <cell r="G51">
            <v>66</v>
          </cell>
          <cell r="H51">
            <v>21</v>
          </cell>
          <cell r="I51">
            <v>343</v>
          </cell>
          <cell r="J51">
            <v>195.80000000000018</v>
          </cell>
          <cell r="K51">
            <v>-2</v>
          </cell>
          <cell r="L51">
            <v>-39.399999999999636</v>
          </cell>
          <cell r="M51">
            <v>28.099999999999909</v>
          </cell>
          <cell r="N51">
            <v>108</v>
          </cell>
          <cell r="O51">
            <v>124</v>
          </cell>
          <cell r="P51">
            <v>104</v>
          </cell>
          <cell r="Q51">
            <v>84</v>
          </cell>
          <cell r="R51">
            <v>84</v>
          </cell>
          <cell r="S51">
            <v>84</v>
          </cell>
          <cell r="T51">
            <v>127.5</v>
          </cell>
          <cell r="U51">
            <v>135</v>
          </cell>
          <cell r="V51">
            <v>120</v>
          </cell>
        </row>
      </sheetData>
      <sheetData sheetId="12" refreshError="1">
        <row r="1">
          <cell r="V1">
            <v>37409</v>
          </cell>
        </row>
        <row r="8">
          <cell r="B8">
            <v>90</v>
          </cell>
          <cell r="C8">
            <v>91</v>
          </cell>
          <cell r="D8">
            <v>92</v>
          </cell>
          <cell r="E8">
            <v>93</v>
          </cell>
          <cell r="F8">
            <v>94</v>
          </cell>
          <cell r="G8">
            <v>95</v>
          </cell>
          <cell r="H8">
            <v>96</v>
          </cell>
          <cell r="I8">
            <v>97</v>
          </cell>
          <cell r="J8">
            <v>98</v>
          </cell>
          <cell r="K8">
            <v>99</v>
          </cell>
          <cell r="L8" t="str">
            <v>00</v>
          </cell>
          <cell r="M8" t="str">
            <v>01</v>
          </cell>
          <cell r="N8" t="str">
            <v>02</v>
          </cell>
          <cell r="O8" t="str">
            <v>03</v>
          </cell>
          <cell r="P8" t="str">
            <v>04</v>
          </cell>
          <cell r="Q8" t="str">
            <v>05</v>
          </cell>
          <cell r="R8" t="str">
            <v>06</v>
          </cell>
          <cell r="S8" t="str">
            <v>07</v>
          </cell>
          <cell r="T8" t="str">
            <v>08</v>
          </cell>
          <cell r="U8" t="str">
            <v>09</v>
          </cell>
          <cell r="V8" t="str">
            <v>10</v>
          </cell>
        </row>
        <row r="13">
          <cell r="B13" t="str">
            <v>na</v>
          </cell>
          <cell r="C13" t="str">
            <v>na</v>
          </cell>
          <cell r="D13" t="str">
            <v>na</v>
          </cell>
          <cell r="E13" t="str">
            <v>na</v>
          </cell>
          <cell r="F13" t="str">
            <v>na</v>
          </cell>
          <cell r="G13" t="str">
            <v>na</v>
          </cell>
          <cell r="H13" t="str">
            <v>na</v>
          </cell>
          <cell r="I13" t="str">
            <v>na</v>
          </cell>
          <cell r="J13" t="str">
            <v>na</v>
          </cell>
          <cell r="K13" t="str">
            <v>na</v>
          </cell>
          <cell r="L13" t="str">
            <v>na</v>
          </cell>
          <cell r="M13" t="str">
            <v>na</v>
          </cell>
          <cell r="N13" t="str">
            <v>na</v>
          </cell>
          <cell r="O13" t="str">
            <v>na</v>
          </cell>
          <cell r="P13" t="str">
            <v>na</v>
          </cell>
          <cell r="Q13" t="str">
            <v>na</v>
          </cell>
          <cell r="R13" t="str">
            <v>na</v>
          </cell>
          <cell r="S13" t="str">
            <v>na</v>
          </cell>
          <cell r="T13" t="str">
            <v>na</v>
          </cell>
          <cell r="U13" t="str">
            <v>na</v>
          </cell>
          <cell r="V13" t="str">
            <v>na</v>
          </cell>
        </row>
        <row r="14">
          <cell r="B14">
            <v>0</v>
          </cell>
          <cell r="C14">
            <v>0</v>
          </cell>
          <cell r="D14">
            <v>0</v>
          </cell>
          <cell r="E14">
            <v>0</v>
          </cell>
          <cell r="F14">
            <v>0</v>
          </cell>
          <cell r="G14">
            <v>0</v>
          </cell>
          <cell r="H14">
            <v>0</v>
          </cell>
          <cell r="I14">
            <v>0</v>
          </cell>
          <cell r="J14">
            <v>0</v>
          </cell>
          <cell r="K14">
            <v>0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  <cell r="V14">
            <v>0</v>
          </cell>
        </row>
        <row r="19">
          <cell r="B19">
            <v>273</v>
          </cell>
          <cell r="C19">
            <v>230.7</v>
          </cell>
          <cell r="D19">
            <v>249.5</v>
          </cell>
          <cell r="E19">
            <v>275.8</v>
          </cell>
          <cell r="F19">
            <v>318.10000000000002</v>
          </cell>
          <cell r="G19">
            <v>359.8</v>
          </cell>
          <cell r="H19">
            <v>375.4</v>
          </cell>
          <cell r="I19">
            <v>346.2</v>
          </cell>
          <cell r="J19">
            <v>390.8</v>
          </cell>
          <cell r="K19">
            <v>370.4</v>
          </cell>
          <cell r="L19">
            <v>356</v>
          </cell>
          <cell r="M19">
            <v>383.5</v>
          </cell>
          <cell r="N19">
            <v>379.3</v>
          </cell>
          <cell r="O19">
            <v>380</v>
          </cell>
          <cell r="P19">
            <v>387.6</v>
          </cell>
          <cell r="Q19">
            <v>395.35200000000003</v>
          </cell>
          <cell r="R19">
            <v>403.25904000000003</v>
          </cell>
          <cell r="S19">
            <v>411.32422080000003</v>
          </cell>
          <cell r="T19">
            <v>419.55070521600004</v>
          </cell>
          <cell r="U19">
            <v>427.94171932032003</v>
          </cell>
          <cell r="V19">
            <v>436.50055370672646</v>
          </cell>
        </row>
        <row r="21">
          <cell r="B21">
            <v>18.738293857596073</v>
          </cell>
          <cell r="C21">
            <v>18.832456138287512</v>
          </cell>
          <cell r="D21">
            <v>18.927091596268856</v>
          </cell>
          <cell r="E21">
            <v>19.022202609315432</v>
          </cell>
          <cell r="F21">
            <v>19.117791567151187</v>
          </cell>
          <cell r="G21">
            <v>19.213860871508732</v>
          </cell>
          <cell r="H21">
            <v>19.310412936189682</v>
          </cell>
          <cell r="I21">
            <v>19.40745018712531</v>
          </cell>
          <cell r="J21">
            <v>19.504975062437499</v>
          </cell>
          <cell r="K21">
            <v>19.602990012499998</v>
          </cell>
          <cell r="L21">
            <v>19.701497499999999</v>
          </cell>
          <cell r="M21">
            <v>19.8005</v>
          </cell>
          <cell r="N21">
            <v>19.899999999999999</v>
          </cell>
          <cell r="O21">
            <v>20</v>
          </cell>
          <cell r="P21">
            <v>20.099999999999998</v>
          </cell>
          <cell r="Q21">
            <v>20.200499999999995</v>
          </cell>
          <cell r="R21">
            <v>20.301502499999991</v>
          </cell>
          <cell r="S21">
            <v>20.40301001249999</v>
          </cell>
          <cell r="T21">
            <v>20.505025062562488</v>
          </cell>
          <cell r="U21">
            <v>20.607550187875297</v>
          </cell>
          <cell r="V21">
            <v>20.710587938814673</v>
          </cell>
        </row>
        <row r="28">
          <cell r="B28">
            <v>-297.57305973474803</v>
          </cell>
          <cell r="C28">
            <v>-254.52310526105325</v>
          </cell>
          <cell r="D28">
            <v>-273.79563342819421</v>
          </cell>
          <cell r="E28">
            <v>-300.71864666150179</v>
          </cell>
          <cell r="F28">
            <v>-343.96214739849421</v>
          </cell>
          <cell r="G28">
            <v>-386.59413808893896</v>
          </cell>
          <cell r="H28">
            <v>-402.60462119491342</v>
          </cell>
          <cell r="I28">
            <v>-372.91959919086781</v>
          </cell>
          <cell r="J28">
            <v>-418.51107456368624</v>
          </cell>
          <cell r="K28">
            <v>-397.80304981274998</v>
          </cell>
          <cell r="L28">
            <v>-383.21552745000002</v>
          </cell>
          <cell r="M28">
            <v>-411.36651000000001</v>
          </cell>
          <cell r="N28">
            <v>-407.18399999999997</v>
          </cell>
          <cell r="O28">
            <v>-408</v>
          </cell>
          <cell r="P28">
            <v>-415.85400000000004</v>
          </cell>
          <cell r="Q28">
            <v>-423.86355000000003</v>
          </cell>
          <cell r="R28">
            <v>-432.03175334999997</v>
          </cell>
          <cell r="S28">
            <v>-440.36177542875004</v>
          </cell>
          <cell r="T28">
            <v>-448.85684488413375</v>
          </cell>
          <cell r="U28">
            <v>-457.52025489835921</v>
          </cell>
          <cell r="V28">
            <v>-466.35536447845197</v>
          </cell>
        </row>
        <row r="51">
          <cell r="B51">
            <v>0</v>
          </cell>
          <cell r="C51">
            <v>0</v>
          </cell>
          <cell r="D51">
            <v>0</v>
          </cell>
          <cell r="E51">
            <v>0</v>
          </cell>
          <cell r="F51">
            <v>0</v>
          </cell>
          <cell r="G51">
            <v>0</v>
          </cell>
          <cell r="H51">
            <v>0</v>
          </cell>
          <cell r="I51">
            <v>0</v>
          </cell>
          <cell r="J51">
            <v>0</v>
          </cell>
          <cell r="K51">
            <v>0</v>
          </cell>
          <cell r="L51">
            <v>0</v>
          </cell>
          <cell r="M51">
            <v>0</v>
          </cell>
          <cell r="N51">
            <v>0</v>
          </cell>
          <cell r="O51">
            <v>0</v>
          </cell>
          <cell r="P51">
            <v>0</v>
          </cell>
          <cell r="Q51">
            <v>0</v>
          </cell>
          <cell r="R51">
            <v>0</v>
          </cell>
          <cell r="S51">
            <v>0</v>
          </cell>
          <cell r="T51">
            <v>0</v>
          </cell>
          <cell r="U51">
            <v>0</v>
          </cell>
          <cell r="V51">
            <v>0</v>
          </cell>
        </row>
      </sheetData>
      <sheetData sheetId="13" refreshError="1">
        <row r="1">
          <cell r="V1">
            <v>37409</v>
          </cell>
        </row>
        <row r="8">
          <cell r="B8">
            <v>90</v>
          </cell>
          <cell r="C8">
            <v>91</v>
          </cell>
          <cell r="D8">
            <v>92</v>
          </cell>
          <cell r="E8">
            <v>93</v>
          </cell>
          <cell r="F8">
            <v>94</v>
          </cell>
          <cell r="G8">
            <v>95</v>
          </cell>
          <cell r="H8">
            <v>96</v>
          </cell>
          <cell r="I8">
            <v>97</v>
          </cell>
          <cell r="J8">
            <v>98</v>
          </cell>
          <cell r="K8">
            <v>99</v>
          </cell>
          <cell r="L8" t="str">
            <v>00</v>
          </cell>
          <cell r="M8" t="str">
            <v>01</v>
          </cell>
          <cell r="N8" t="str">
            <v>02</v>
          </cell>
          <cell r="O8" t="str">
            <v>03</v>
          </cell>
          <cell r="P8" t="str">
            <v>04</v>
          </cell>
          <cell r="Q8" t="str">
            <v>05</v>
          </cell>
          <cell r="R8" t="str">
            <v>06</v>
          </cell>
          <cell r="S8" t="str">
            <v>07</v>
          </cell>
          <cell r="T8" t="str">
            <v>08</v>
          </cell>
          <cell r="U8" t="str">
            <v>09</v>
          </cell>
          <cell r="V8" t="str">
            <v>10</v>
          </cell>
        </row>
        <row r="13">
          <cell r="B13">
            <v>46.315789473684212</v>
          </cell>
          <cell r="C13">
            <v>73.15789473684211</v>
          </cell>
          <cell r="D13">
            <v>35.294117647058826</v>
          </cell>
          <cell r="E13">
            <v>62.058823529411768</v>
          </cell>
          <cell r="F13">
            <v>81.666666666666671</v>
          </cell>
          <cell r="G13">
            <v>76.388888888888886</v>
          </cell>
          <cell r="H13">
            <v>76.481481481481481</v>
          </cell>
          <cell r="I13">
            <v>95.370370370370367</v>
          </cell>
          <cell r="J13">
            <v>96.349206349206355</v>
          </cell>
          <cell r="K13">
            <v>88.904109589041099</v>
          </cell>
          <cell r="L13">
            <v>82.208588957055213</v>
          </cell>
          <cell r="M13">
            <v>84.011428571428567</v>
          </cell>
          <cell r="N13">
            <v>87.322033898305079</v>
          </cell>
          <cell r="O13">
            <v>87.52542372881355</v>
          </cell>
          <cell r="P13">
            <v>89.180790960451972</v>
          </cell>
          <cell r="Q13">
            <v>92.331606217616581</v>
          </cell>
          <cell r="R13">
            <v>95</v>
          </cell>
          <cell r="S13">
            <v>95.497560975609758</v>
          </cell>
          <cell r="T13">
            <v>95.995121951219517</v>
          </cell>
          <cell r="U13">
            <v>95.995121951219517</v>
          </cell>
          <cell r="V13">
            <v>95.995121951219517</v>
          </cell>
        </row>
        <row r="14">
          <cell r="B14">
            <v>88</v>
          </cell>
          <cell r="C14">
            <v>139</v>
          </cell>
          <cell r="D14">
            <v>120</v>
          </cell>
          <cell r="E14">
            <v>211</v>
          </cell>
          <cell r="F14">
            <v>294</v>
          </cell>
          <cell r="G14">
            <v>275</v>
          </cell>
          <cell r="H14">
            <v>413</v>
          </cell>
          <cell r="I14">
            <v>515</v>
          </cell>
          <cell r="J14">
            <v>607</v>
          </cell>
          <cell r="K14">
            <v>649</v>
          </cell>
          <cell r="L14">
            <v>670</v>
          </cell>
          <cell r="M14">
            <v>735.1</v>
          </cell>
          <cell r="N14">
            <v>772.8</v>
          </cell>
          <cell r="O14">
            <v>774.59999999999991</v>
          </cell>
          <cell r="P14">
            <v>789.25</v>
          </cell>
          <cell r="Q14">
            <v>891</v>
          </cell>
          <cell r="R14">
            <v>973.75</v>
          </cell>
          <cell r="S14">
            <v>978.84999999999991</v>
          </cell>
          <cell r="T14">
            <v>983.95</v>
          </cell>
          <cell r="U14">
            <v>983.95</v>
          </cell>
          <cell r="V14">
            <v>983.95</v>
          </cell>
        </row>
        <row r="19">
          <cell r="B19">
            <v>1540.5</v>
          </cell>
          <cell r="C19">
            <v>1564</v>
          </cell>
          <cell r="D19">
            <v>1701.7</v>
          </cell>
          <cell r="E19">
            <v>1918.4</v>
          </cell>
          <cell r="F19">
            <v>2148.1999999999998</v>
          </cell>
          <cell r="G19">
            <v>2017.8</v>
          </cell>
          <cell r="H19">
            <v>2321.1</v>
          </cell>
          <cell r="I19">
            <v>2673.7</v>
          </cell>
          <cell r="J19">
            <v>2714.6</v>
          </cell>
          <cell r="K19">
            <v>2547.4</v>
          </cell>
          <cell r="L19">
            <v>3046.8</v>
          </cell>
          <cell r="M19">
            <v>3147.4150000000009</v>
          </cell>
          <cell r="N19">
            <v>3625.7</v>
          </cell>
          <cell r="O19">
            <v>3850</v>
          </cell>
          <cell r="P19">
            <v>3965.5</v>
          </cell>
          <cell r="Q19">
            <v>4084.4650000000001</v>
          </cell>
          <cell r="R19">
            <v>4206.9989500000001</v>
          </cell>
          <cell r="S19">
            <v>4333.2089185000004</v>
          </cell>
          <cell r="T19">
            <v>4463.2051860550009</v>
          </cell>
          <cell r="U19">
            <v>4597.1013416366513</v>
          </cell>
          <cell r="V19">
            <v>4735.0143818857514</v>
          </cell>
        </row>
        <row r="21">
          <cell r="B21">
            <v>120.99788238180281</v>
          </cell>
          <cell r="C21">
            <v>121.30113521985244</v>
          </cell>
          <cell r="D21">
            <v>121.60514809007763</v>
          </cell>
          <cell r="E21">
            <v>121.90992289732093</v>
          </cell>
          <cell r="F21">
            <v>122.21546155119891</v>
          </cell>
          <cell r="G21">
            <v>122.52176596611419</v>
          </cell>
          <cell r="H21">
            <v>122.82883806126735</v>
          </cell>
          <cell r="I21">
            <v>123.13667976066901</v>
          </cell>
          <cell r="J21">
            <v>123.44529299315188</v>
          </cell>
          <cell r="K21">
            <v>123.75467969238284</v>
          </cell>
          <cell r="L21">
            <v>124.06484179687502</v>
          </cell>
          <cell r="M21">
            <v>124.37578125</v>
          </cell>
          <cell r="N21">
            <v>124.6875</v>
          </cell>
          <cell r="O21">
            <v>125</v>
          </cell>
          <cell r="P21">
            <v>125.3125</v>
          </cell>
          <cell r="Q21">
            <v>125.62578124999999</v>
          </cell>
          <cell r="R21">
            <v>125.93984570312499</v>
          </cell>
          <cell r="S21">
            <v>126.2546953173828</v>
          </cell>
          <cell r="T21">
            <v>126.57033205567625</v>
          </cell>
          <cell r="U21">
            <v>126.88675788581543</v>
          </cell>
          <cell r="V21">
            <v>127.20397478052996</v>
          </cell>
        </row>
        <row r="28">
          <cell r="B28">
            <v>-1623.3428188532569</v>
          </cell>
          <cell r="C28">
            <v>-1596.860169276448</v>
          </cell>
          <cell r="D28">
            <v>-1758.00430253278</v>
          </cell>
          <cell r="E28">
            <v>-1890.5192205842404</v>
          </cell>
          <cell r="F28">
            <v>-2044.5279253977346</v>
          </cell>
          <cell r="G28">
            <v>-1929.5314189450974</v>
          </cell>
          <cell r="H28">
            <v>-2104.2467032031054</v>
          </cell>
          <cell r="I28">
            <v>-2365.7417801534889</v>
          </cell>
          <cell r="J28">
            <v>-2316.1866517829462</v>
          </cell>
          <cell r="K28">
            <v>-2102.2893200831545</v>
          </cell>
          <cell r="L28">
            <v>-2595.9907870507814</v>
          </cell>
          <cell r="M28">
            <v>-2634.8445046875008</v>
          </cell>
          <cell r="N28">
            <v>-3090.0991249999997</v>
          </cell>
          <cell r="O28">
            <v>-3319.65</v>
          </cell>
          <cell r="P28">
            <v>-3424.2868749999998</v>
          </cell>
          <cell r="Q28">
            <v>-3445.3935046875004</v>
          </cell>
          <cell r="R28">
            <v>-3489.1769595742189</v>
          </cell>
          <cell r="S28">
            <v>-3614.3975222319045</v>
          </cell>
          <cell r="T28">
            <v>-3743.5187836539972</v>
          </cell>
          <cell r="U28">
            <v>-3881.7577425081408</v>
          </cell>
          <cell r="V28">
            <v>-4024.1349073662705</v>
          </cell>
        </row>
        <row r="51">
          <cell r="B51">
            <v>102</v>
          </cell>
          <cell r="C51">
            <v>51</v>
          </cell>
          <cell r="D51">
            <v>220</v>
          </cell>
          <cell r="E51">
            <v>129</v>
          </cell>
          <cell r="F51">
            <v>66</v>
          </cell>
          <cell r="G51">
            <v>85</v>
          </cell>
          <cell r="H51">
            <v>127</v>
          </cell>
          <cell r="I51">
            <v>25</v>
          </cell>
          <cell r="J51">
            <v>23</v>
          </cell>
          <cell r="K51">
            <v>81</v>
          </cell>
          <cell r="L51">
            <v>145</v>
          </cell>
          <cell r="M51">
            <v>139.89999999999998</v>
          </cell>
          <cell r="N51">
            <v>112.20000000000005</v>
          </cell>
          <cell r="O51">
            <v>110.40000000000009</v>
          </cell>
          <cell r="P51">
            <v>95.75</v>
          </cell>
          <cell r="Q51">
            <v>74</v>
          </cell>
          <cell r="R51">
            <v>51.25</v>
          </cell>
          <cell r="S51">
            <v>46.150000000000091</v>
          </cell>
          <cell r="T51">
            <v>41.049999999999955</v>
          </cell>
          <cell r="U51">
            <v>41.049999999999955</v>
          </cell>
          <cell r="V51">
            <v>41.049999999999955</v>
          </cell>
        </row>
      </sheetData>
      <sheetData sheetId="14" refreshError="1"/>
      <sheetData sheetId="15" refreshError="1"/>
      <sheetData sheetId="16" refreshError="1">
        <row r="2">
          <cell r="A2" t="str">
            <v>Cargill Crop Nutrition</v>
          </cell>
        </row>
        <row r="8">
          <cell r="B8">
            <v>90</v>
          </cell>
          <cell r="C8">
            <v>91</v>
          </cell>
          <cell r="D8">
            <v>92</v>
          </cell>
          <cell r="E8">
            <v>93</v>
          </cell>
          <cell r="F8">
            <v>94</v>
          </cell>
          <cell r="G8">
            <v>95</v>
          </cell>
          <cell r="H8">
            <v>96</v>
          </cell>
          <cell r="I8">
            <v>97</v>
          </cell>
          <cell r="J8">
            <v>98</v>
          </cell>
          <cell r="K8">
            <v>99</v>
          </cell>
          <cell r="L8" t="str">
            <v>00</v>
          </cell>
          <cell r="M8" t="str">
            <v>01</v>
          </cell>
          <cell r="N8" t="str">
            <v>02</v>
          </cell>
          <cell r="O8" t="str">
            <v>03</v>
          </cell>
          <cell r="P8" t="str">
            <v>04</v>
          </cell>
          <cell r="Q8" t="str">
            <v>05</v>
          </cell>
          <cell r="R8" t="str">
            <v>06</v>
          </cell>
          <cell r="S8" t="str">
            <v>07</v>
          </cell>
          <cell r="T8" t="str">
            <v>08</v>
          </cell>
          <cell r="U8" t="str">
            <v>09</v>
          </cell>
          <cell r="V8" t="str">
            <v>10</v>
          </cell>
        </row>
        <row r="13">
          <cell r="B13">
            <v>78.054968287526421</v>
          </cell>
          <cell r="C13">
            <v>74</v>
          </cell>
          <cell r="D13">
            <v>74.568527918781726</v>
          </cell>
          <cell r="E13">
            <v>63.544465770953295</v>
          </cell>
          <cell r="F13">
            <v>74.655647382920108</v>
          </cell>
          <cell r="G13">
            <v>76.874095513748188</v>
          </cell>
          <cell r="H13">
            <v>85.580286168521454</v>
          </cell>
          <cell r="I13">
            <v>84.149443561208273</v>
          </cell>
          <cell r="J13">
            <v>86.653650254668918</v>
          </cell>
          <cell r="K13">
            <v>84.633851468048363</v>
          </cell>
          <cell r="L13">
            <v>83.813471502590673</v>
          </cell>
          <cell r="M13">
            <v>82.854922279792731</v>
          </cell>
          <cell r="N13">
            <v>80.239361702127667</v>
          </cell>
          <cell r="O13">
            <v>82.288602941176464</v>
          </cell>
          <cell r="P13">
            <v>82.945772058823536</v>
          </cell>
          <cell r="Q13">
            <v>82.119856887298752</v>
          </cell>
          <cell r="R13">
            <v>83.519677996422175</v>
          </cell>
          <cell r="S13">
            <v>84.279964221824685</v>
          </cell>
          <cell r="T13">
            <v>84.279964221824685</v>
          </cell>
          <cell r="U13">
            <v>84.279964221824685</v>
          </cell>
          <cell r="V13">
            <v>84.279964221824685</v>
          </cell>
        </row>
        <row r="14">
          <cell r="B14">
            <v>7384</v>
          </cell>
          <cell r="C14">
            <v>6142</v>
          </cell>
          <cell r="D14">
            <v>5876</v>
          </cell>
          <cell r="E14">
            <v>4966</v>
          </cell>
          <cell r="F14">
            <v>5420</v>
          </cell>
          <cell r="G14">
            <v>5312</v>
          </cell>
          <cell r="H14">
            <v>5383</v>
          </cell>
          <cell r="I14">
            <v>5293</v>
          </cell>
          <cell r="J14">
            <v>5103.8999999999996</v>
          </cell>
          <cell r="K14">
            <v>4900.3</v>
          </cell>
          <cell r="L14">
            <v>4852.8</v>
          </cell>
          <cell r="M14">
            <v>4797.2999999999993</v>
          </cell>
          <cell r="N14">
            <v>4525.5</v>
          </cell>
          <cell r="O14">
            <v>4476.5</v>
          </cell>
          <cell r="P14">
            <v>4512.25</v>
          </cell>
          <cell r="Q14">
            <v>4590.5</v>
          </cell>
          <cell r="R14">
            <v>4668.75</v>
          </cell>
          <cell r="S14">
            <v>4711.25</v>
          </cell>
          <cell r="T14">
            <v>4711.25</v>
          </cell>
          <cell r="U14">
            <v>4711.25</v>
          </cell>
          <cell r="V14">
            <v>4711.25</v>
          </cell>
        </row>
        <row r="19">
          <cell r="B19">
            <v>5721.2</v>
          </cell>
          <cell r="C19">
            <v>5077.6000000000004</v>
          </cell>
          <cell r="D19">
            <v>4686.5</v>
          </cell>
          <cell r="E19">
            <v>4115.6000000000004</v>
          </cell>
          <cell r="F19">
            <v>4172.8999999999996</v>
          </cell>
          <cell r="G19">
            <v>4268.8999999999996</v>
          </cell>
          <cell r="H19">
            <v>4345.3</v>
          </cell>
          <cell r="I19">
            <v>4380.6000000000004</v>
          </cell>
          <cell r="J19">
            <v>4301.8</v>
          </cell>
          <cell r="K19">
            <v>4151.6000000000004</v>
          </cell>
          <cell r="L19">
            <v>3935.4</v>
          </cell>
          <cell r="M19">
            <v>3572.6</v>
          </cell>
          <cell r="N19">
            <v>3640.3</v>
          </cell>
          <cell r="O19">
            <v>3600</v>
          </cell>
          <cell r="P19">
            <v>3510</v>
          </cell>
          <cell r="Q19">
            <v>3422.25</v>
          </cell>
          <cell r="R19">
            <v>3336.6937499999999</v>
          </cell>
          <cell r="S19">
            <v>3253.27640625</v>
          </cell>
          <cell r="T19">
            <v>3171.9444960937499</v>
          </cell>
          <cell r="U19">
            <v>3092.6458836914062</v>
          </cell>
          <cell r="V19">
            <v>3015.3297365991211</v>
          </cell>
        </row>
        <row r="21">
          <cell r="B21">
            <v>435.59237657449012</v>
          </cell>
          <cell r="C21">
            <v>436.68408679146876</v>
          </cell>
          <cell r="D21">
            <v>437.77853312427942</v>
          </cell>
          <cell r="E21">
            <v>438.87572243035527</v>
          </cell>
          <cell r="F21">
            <v>439.97566158431601</v>
          </cell>
          <cell r="G21">
            <v>441.07835747801101</v>
          </cell>
          <cell r="H21">
            <v>442.1838170205624</v>
          </cell>
          <cell r="I21">
            <v>443.29204713840841</v>
          </cell>
          <cell r="J21">
            <v>444.40305477534673</v>
          </cell>
          <cell r="K21">
            <v>445.51684689257814</v>
          </cell>
          <cell r="L21">
            <v>446.63343046875002</v>
          </cell>
          <cell r="M21">
            <v>447.7528125</v>
          </cell>
          <cell r="N21">
            <v>448.875</v>
          </cell>
          <cell r="O21">
            <v>450</v>
          </cell>
          <cell r="P21">
            <v>450</v>
          </cell>
          <cell r="Q21">
            <v>450</v>
          </cell>
          <cell r="R21">
            <v>450</v>
          </cell>
          <cell r="S21">
            <v>450</v>
          </cell>
          <cell r="T21">
            <v>450</v>
          </cell>
          <cell r="U21">
            <v>450</v>
          </cell>
          <cell r="V21">
            <v>450</v>
          </cell>
        </row>
        <row r="28">
          <cell r="B28">
            <v>1104.07177589402</v>
          </cell>
          <cell r="C28">
            <v>517.43023147270105</v>
          </cell>
          <cell r="D28">
            <v>649.23589621323481</v>
          </cell>
          <cell r="E28">
            <v>320.43476312103758</v>
          </cell>
          <cell r="F28">
            <v>714.86682518399812</v>
          </cell>
          <cell r="G28">
            <v>507.82207537242903</v>
          </cell>
          <cell r="H28">
            <v>499.76650663902637</v>
          </cell>
          <cell r="I28">
            <v>372.63011191882288</v>
          </cell>
          <cell r="J28">
            <v>262.77288412914641</v>
          </cell>
          <cell r="K28">
            <v>211.24081616956937</v>
          </cell>
          <cell r="L28">
            <v>383.12590092187475</v>
          </cell>
          <cell r="M28">
            <v>696.54013124999983</v>
          </cell>
          <cell r="N28">
            <v>354.54149999999936</v>
          </cell>
          <cell r="O28">
            <v>345.5</v>
          </cell>
          <cell r="P28">
            <v>473.05000000000018</v>
          </cell>
          <cell r="Q28">
            <v>640.80499999999984</v>
          </cell>
          <cell r="R28">
            <v>806.32237500000019</v>
          </cell>
          <cell r="S28">
            <v>933.90806562499984</v>
          </cell>
          <cell r="T28">
            <v>1016.8666139843749</v>
          </cell>
          <cell r="U28">
            <v>1097.7511986347658</v>
          </cell>
          <cell r="V28">
            <v>1176.6136686688965</v>
          </cell>
        </row>
        <row r="51">
          <cell r="B51">
            <v>2076</v>
          </cell>
          <cell r="C51">
            <v>2158</v>
          </cell>
          <cell r="D51">
            <v>2004</v>
          </cell>
          <cell r="E51">
            <v>2849</v>
          </cell>
          <cell r="F51">
            <v>1840</v>
          </cell>
          <cell r="G51">
            <v>1598</v>
          </cell>
          <cell r="H51">
            <v>907</v>
          </cell>
          <cell r="I51">
            <v>997</v>
          </cell>
          <cell r="J51">
            <v>786.10000000000036</v>
          </cell>
          <cell r="K51">
            <v>889.69999999999982</v>
          </cell>
          <cell r="L51">
            <v>937.19999999999982</v>
          </cell>
          <cell r="M51">
            <v>992.70000000000073</v>
          </cell>
          <cell r="N51">
            <v>1114.5</v>
          </cell>
          <cell r="O51">
            <v>963.5</v>
          </cell>
          <cell r="P51">
            <v>927.75</v>
          </cell>
          <cell r="Q51">
            <v>999.5</v>
          </cell>
          <cell r="R51">
            <v>921.25</v>
          </cell>
          <cell r="S51">
            <v>878.75</v>
          </cell>
          <cell r="T51">
            <v>878.75</v>
          </cell>
          <cell r="U51">
            <v>878.75</v>
          </cell>
          <cell r="V51">
            <v>878.75</v>
          </cell>
        </row>
      </sheetData>
      <sheetData sheetId="17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argIS"/>
      <sheetName val="Pro Forma (2)"/>
      <sheetName val="Output (GAAP) (2)"/>
      <sheetName val="Output (2)"/>
      <sheetName val="Pro Forma"/>
      <sheetName val="__FDSCACHE__"/>
      <sheetName val="Output (GAAP)"/>
      <sheetName val="Output"/>
      <sheetName val="Inputs"/>
      <sheetName val="INSS"/>
      <sheetName val="PMO"/>
      <sheetName val="Contribution"/>
      <sheetName val="Contr - FD"/>
      <sheetName val="Contr - TM"/>
      <sheetName val="Adjusted Contribution"/>
      <sheetName val="Cash Burn"/>
      <sheetName val="Multiples"/>
      <sheetName val="SyncAlloc"/>
      <sheetName val="PricePerformance"/>
      <sheetName val="ValMtrx"/>
      <sheetName val="CapSum-Tux"/>
      <sheetName val="CapSum-Top hat"/>
      <sheetName val="DCF-Tux Mgt 2001"/>
      <sheetName val="DCF-Tux Mgt 2002"/>
      <sheetName val="DCF-Tux Mgt 2001 Norm"/>
      <sheetName val="DCF-Tux Str Estimates"/>
      <sheetName val="DCF-Top Hat mgt"/>
      <sheetName val="DCF-Top Hat Str Est."/>
      <sheetName val="DCF-Top Hat Synergies"/>
      <sheetName val="MSDW SbyS"/>
      <sheetName val="SbyS"/>
      <sheetName val="Contribution2"/>
      <sheetName val="Combination - Street Est."/>
      <sheetName val="PF W-O Synergies"/>
      <sheetName val="Combination -Management Est."/>
      <sheetName val="Top Hat"/>
      <sheetName val="Tuxedo"/>
      <sheetName val="Analyst Avg"/>
      <sheetName val="Synergy Sensitivity"/>
      <sheetName val="Sheet2"/>
      <sheetName val="Sheet3"/>
      <sheetName val="IS"/>
      <sheetName val="BS|CF"/>
      <sheetName val="Assum"/>
      <sheetName val="OpBS"/>
      <sheetName val="BSCF"/>
      <sheetName val="Ratios"/>
      <sheetName val="AcqIS"/>
      <sheetName val="AcqBSCF"/>
      <sheetName val="AcqRat"/>
      <sheetName val="TargBSCF"/>
      <sheetName val="TargRat"/>
      <sheetName val="AcqDCF1"/>
      <sheetName val="AcqDCF2"/>
      <sheetName val="TargDCF1"/>
      <sheetName val="TargDCF2"/>
      <sheetName val="CashAcq"/>
      <sheetName val="LBO Assum"/>
      <sheetName val="LBO IS"/>
      <sheetName val="LBO  BSCF"/>
      <sheetName val="LBO Ratios"/>
      <sheetName val="LBO Returns"/>
      <sheetName val="Contrib"/>
      <sheetName val="Presentation&gt;&gt;&gt;"/>
      <sheetName val="TargFin"/>
      <sheetName val="ValMatrix"/>
      <sheetName val="TargDCF"/>
      <sheetName val="CashAcqOutput"/>
      <sheetName val="PF EPS1"/>
      <sheetName val="PF EPS2"/>
      <sheetName val="PF Ratios"/>
      <sheetName val="StckPrc1"/>
      <sheetName val="StckPrc2"/>
      <sheetName val="Summary"/>
      <sheetName val="Output&gt;&gt;"/>
      <sheetName val="SummaryCases"/>
      <sheetName val="Summary FS"/>
      <sheetName val="Sources and Uses"/>
      <sheetName val="Acc Dil"/>
      <sheetName val="Cash Acc Dil"/>
      <sheetName val="Summary Credit Stats"/>
      <sheetName val="Summary Debt Paydown"/>
      <sheetName val="Growth Analysis"/>
      <sheetName val="Conv Returns Summary"/>
      <sheetName val="Class A Returns Summary"/>
      <sheetName val="Stk Price Acc Dil"/>
      <sheetName val="Pro Forma&gt;&gt;"/>
      <sheetName val="Convertible Returns"/>
      <sheetName val="Class A Returns"/>
      <sheetName val="PIK Returns"/>
      <sheetName val="99 and LTM PF"/>
      <sheetName val="Hawk&gt;&gt;"/>
      <sheetName val="Midway&gt;&gt;"/>
      <sheetName val="TargIS £"/>
      <sheetName val="TargBSCF £"/>
      <sheetName val="TargIS $"/>
      <sheetName val="TargBSCF $"/>
      <sheetName val="TargIS-Adj"/>
      <sheetName val="TargBSCF-Adj"/>
      <sheetName val="AerospaceISMonthly"/>
      <sheetName val="WholeTargetISMonthly"/>
      <sheetName val="--NOT USED--"/>
      <sheetName val="Jupiter&gt;&gt;&gt;&gt;&gt;"/>
      <sheetName val="Jupiter IS"/>
      <sheetName val="Jupiter BSCF"/>
      <sheetName val="Jupiter Rat"/>
      <sheetName val="Jupiter DCF1"/>
      <sheetName val="Jupiter DCF2"/>
      <sheetName val="Saturn&gt;&gt;&gt;&gt;&gt;&gt;"/>
      <sheetName val="Saturn IS"/>
      <sheetName val="Saturn BSCF"/>
      <sheetName val="Saturn DCF1"/>
      <sheetName val="Saturn DCF2"/>
      <sheetName val="Saturn Ratios"/>
      <sheetName val="Spaceshot&gt;&gt;&gt;&gt;&gt;"/>
      <sheetName val="Op-BS"/>
      <sheetName val="Output&gt;&gt;&gt;&gt;&gt;"/>
      <sheetName val="Matrix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 refreshError="1"/>
      <sheetData sheetId="21" refreshError="1"/>
      <sheetData sheetId="22"/>
      <sheetData sheetId="23"/>
      <sheetData sheetId="24"/>
      <sheetData sheetId="25"/>
      <sheetData sheetId="26" refreshError="1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 refreshError="1"/>
      <sheetData sheetId="42" refreshError="1"/>
      <sheetData sheetId="43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/>
      <sheetData sheetId="52" refreshError="1"/>
      <sheetData sheetId="53" refreshError="1"/>
      <sheetData sheetId="54"/>
      <sheetData sheetId="55"/>
      <sheetData sheetId="56"/>
      <sheetData sheetId="57"/>
      <sheetData sheetId="58"/>
      <sheetData sheetId="59" refreshError="1"/>
      <sheetData sheetId="60" refreshError="1"/>
      <sheetData sheetId="6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/>
      <sheetData sheetId="106"/>
      <sheetData sheetId="107"/>
      <sheetData sheetId="108" refreshError="1"/>
      <sheetData sheetId="109"/>
      <sheetData sheetId="110"/>
      <sheetData sheetId="111"/>
      <sheetData sheetId="112"/>
      <sheetData sheetId="113" refreshError="1"/>
      <sheetData sheetId="114" refreshError="1"/>
      <sheetData sheetId="115"/>
      <sheetData sheetId="116" refreshError="1"/>
      <sheetData sheetId="117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M1Live"/>
      <sheetName val="TM1data"/>
      <sheetName val="TM1used"/>
      <sheetName val="QuestionsNotes"/>
      <sheetName val="MacroLinks"/>
      <sheetName val="Title"/>
      <sheetName val="MainOutline"/>
      <sheetName val="FA INV LIST"/>
      <sheetName val="A1"/>
      <sheetName val="A2"/>
      <sheetName val="A3"/>
      <sheetName val="A4"/>
      <sheetName val="A5"/>
      <sheetName val="A6"/>
      <sheetName val="B1"/>
      <sheetName val="B2"/>
      <sheetName val="Title_Mngmnt"/>
      <sheetName val="OutlineM"/>
      <sheetName val="M1"/>
      <sheetName val="M2"/>
      <sheetName val="M3 Adj"/>
      <sheetName val="ApndxA1"/>
      <sheetName val="M3"/>
      <sheetName val="M4"/>
      <sheetName val="M5"/>
      <sheetName val="Title_Prtnr"/>
      <sheetName val="OutlineP"/>
      <sheetName val="P1"/>
      <sheetName val="P2"/>
      <sheetName val="P3"/>
      <sheetName val="P4"/>
      <sheetName val="ApndxA2"/>
      <sheetName val="ApndxA3"/>
      <sheetName val="ApndxB1"/>
      <sheetName val="ApndxB2"/>
      <sheetName val="ApndxB5"/>
      <sheetName val="ApndxB3"/>
      <sheetName val="ApndxB4"/>
      <sheetName val="ApndxB6"/>
      <sheetName val="C1"/>
      <sheetName val="C2"/>
      <sheetName val="C3"/>
      <sheetName val="C4"/>
      <sheetName val="C5"/>
      <sheetName val="C6"/>
      <sheetName val="C7"/>
      <sheetName val="C8"/>
      <sheetName val="C9"/>
      <sheetName val="C10"/>
      <sheetName val="C11"/>
      <sheetName val="C12"/>
      <sheetName val="D1"/>
      <sheetName val="D2"/>
      <sheetName val="D3"/>
      <sheetName val="D4"/>
      <sheetName val="D5"/>
      <sheetName val="D6"/>
      <sheetName val="D7"/>
      <sheetName val="D8"/>
      <sheetName val="WorkPapers&gt;&gt;&gt;"/>
      <sheetName val="MiscCalc"/>
      <sheetName val="Sheet3"/>
    </sheetNames>
    <sheetDataSet>
      <sheetData sheetId="0"/>
      <sheetData sheetId="1"/>
      <sheetData sheetId="2"/>
      <sheetData sheetId="3"/>
      <sheetData sheetId="4"/>
      <sheetData sheetId="5"/>
      <sheetData sheetId="6">
        <row r="2">
          <cell r="H2">
            <v>1</v>
          </cell>
        </row>
      </sheetData>
      <sheetData sheetId="7"/>
      <sheetData sheetId="8">
        <row r="2">
          <cell r="Q2" t="b">
            <v>0</v>
          </cell>
        </row>
        <row r="3">
          <cell r="Q3">
            <v>2</v>
          </cell>
        </row>
        <row r="9">
          <cell r="AK9">
            <v>2</v>
          </cell>
        </row>
        <row r="10">
          <cell r="P10">
            <v>1.6E-2</v>
          </cell>
        </row>
        <row r="83">
          <cell r="B83">
            <v>2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vtSettings"/>
      <sheetName val="SectList"/>
      <sheetName val="AcList"/>
      <sheetName val="DepList"/>
      <sheetName val="CurList"/>
      <sheetName val="SectTB"/>
      <sheetName val="SectCDTB"/>
      <sheetName val="AcTB"/>
      <sheetName val="AcCDTB"/>
      <sheetName val="Settings"/>
      <sheetName val="TB Scheme A"/>
      <sheetName val="TB Scheme B"/>
      <sheetName val="TB Scheme C"/>
      <sheetName val="TB Scheme D"/>
      <sheetName val="Check List"/>
      <sheetName val="History"/>
      <sheetName val="TB"/>
      <sheetName val="Data"/>
      <sheetName val="CFWorkings"/>
      <sheetName val="Cover"/>
      <sheetName val="Contents"/>
      <sheetName val="Information"/>
      <sheetName val="Director"/>
      <sheetName val="Responsibilities"/>
      <sheetName val="Audit"/>
      <sheetName val="Compilation"/>
      <sheetName val="Accountant"/>
      <sheetName val="PL"/>
      <sheetName val="RGL"/>
      <sheetName val="PL 1 Page"/>
      <sheetName val="BS"/>
      <sheetName val="CF"/>
      <sheetName val="BS 1 Page"/>
      <sheetName val="Cash Flow"/>
      <sheetName val="Notes"/>
      <sheetName val="DetailPL1"/>
      <sheetName val="DetailPL2"/>
      <sheetName val="AbbCover"/>
      <sheetName val="AbbAudit"/>
      <sheetName val="AbbCompilation"/>
      <sheetName val="AbbAccountant"/>
      <sheetName val="AbbBS"/>
      <sheetName val="AbbNotes"/>
      <sheetName val="Library"/>
      <sheetName val="Info Required"/>
      <sheetName val="FAR"/>
      <sheetName val="Tax Comp"/>
      <sheetName val="Workings"/>
      <sheetName val="VT_Results"/>
      <sheetName val="2004 05 SCS UK management accou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>
        <row r="56">
          <cell r="C56" t="str">
            <v>Stem Cell Sciences (UK) Limited</v>
          </cell>
        </row>
      </sheetData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KeyMultInputs"/>
      <sheetName val="Setup"/>
    </sheetNames>
    <sheetDataSet>
      <sheetData sheetId="0" refreshError="1"/>
      <sheetData sheetId="1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ssumptions Summary"/>
      <sheetName val="Summary of Comparison"/>
    </sheetNames>
    <definedNames>
      <definedName name="Data.Top.Left"/>
    </definedNames>
    <sheetDataSet>
      <sheetData sheetId="0"/>
      <sheetData sheetId="1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_CIQHiddenCacheSheet"/>
      <sheetName val="Cover"/>
      <sheetName val="Val Summ"/>
      <sheetName val="OPM 1"/>
      <sheetName val="OPM 2"/>
      <sheetName val="PWERM"/>
      <sheetName val="PoTS"/>
      <sheetName val="Discount Rate FP &gt;&gt;"/>
      <sheetName val="WACC PWERM"/>
      <sheetName val="RoR Stage of Dev"/>
      <sheetName val="Cap Structure FP &gt;&gt;"/>
      <sheetName val="Cap Table"/>
      <sheetName val="Econ Rights"/>
      <sheetName val="MKT INFO FP &gt;&gt;"/>
      <sheetName val="Comp Mults"/>
      <sheetName val="Comp CF Metrics"/>
      <sheetName val="Prod Pipeline"/>
      <sheetName val="Comp Desc"/>
      <sheetName val="IPO"/>
      <sheetName val="IPO Select"/>
      <sheetName val="IPO Crossover"/>
      <sheetName val="Immunotherapy Listing"/>
      <sheetName val="Trans Detail"/>
      <sheetName val="Trans Desc"/>
      <sheetName val="Support FP &gt;&gt;"/>
      <sheetName val="Put Option DLOM"/>
      <sheetName val="Asset Vol"/>
      <sheetName val="Equity Vol"/>
      <sheetName val="Risk-Free Rates"/>
      <sheetName val="DLOM Rest Stock"/>
      <sheetName val="DLOM LEAPS"/>
      <sheetName val="Hist IS"/>
      <sheetName val="Hist BS"/>
      <sheetName val="Tranche FP &gt;&gt;"/>
      <sheetName val="Tranche OPM"/>
      <sheetName val="Risk-Free Rates (2)"/>
      <sheetName val="&lt;DO NOT INCLUDE&gt;"/>
      <sheetName val="Ibank Vals"/>
      <sheetName val="MASTER COMP INPUT"/>
      <sheetName val="WACC CAPM"/>
      <sheetName val="Beta Calc"/>
      <sheetName val="EP Top License Deals"/>
      <sheetName val="EP Top Product Sales"/>
      <sheetName val="Larger BioPharma Margins"/>
      <sheetName val="rNPV&gt;&gt;&gt;"/>
      <sheetName val="Val Sum rNPV"/>
      <sheetName val="1"/>
      <sheetName val="2"/>
      <sheetName val="3"/>
      <sheetName val="4"/>
      <sheetName val="5"/>
      <sheetName val="6"/>
      <sheetName val="NOL"/>
      <sheetName val="Dev - PoTS"/>
      <sheetName val="Dev - Peak Sales"/>
      <sheetName val="Dev - R&amp;D"/>
      <sheetName val="Dev - Fcst Summ"/>
      <sheetName val="Inputs Tax &amp; Disc"/>
      <sheetName val="Outline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in Inputs"/>
      <sheetName val="RAW_DATA"/>
      <sheetName val="List Data"/>
      <sheetName val="_CIQHiddenCacheSheet"/>
      <sheetName val="Pub Rev C-1"/>
      <sheetName val="Pub EBITDA C-2"/>
      <sheetName val="Pub C-3"/>
      <sheetName val="Pub C-4"/>
      <sheetName val="Pub C-5"/>
      <sheetName val="Pub IPO C-6"/>
      <sheetName val="Pub IPO C-7"/>
      <sheetName val="M&amp;A D-1"/>
      <sheetName val="M&amp;A D-2"/>
      <sheetName val="WACC E-2"/>
      <sheetName val="WACC E-3"/>
      <sheetName val="WACC E-4"/>
      <sheetName val="OPM Equity Vols I-4"/>
      <sheetName val="OPM Asset Vol I-5"/>
      <sheetName val="OPM Asset Vol I-5 (b)"/>
      <sheetName val="OPM DLOMs I-6"/>
      <sheetName val="RSS DLOM"/>
      <sheetName val="Rf"/>
      <sheetName val="Rm"/>
      <sheetName val="Rs-Ibbot"/>
      <sheetName val="Rs-D&amp;P"/>
      <sheetName val="Cost of Debt"/>
      <sheetName val="Beta"/>
    </sheetNames>
    <sheetDataSet>
      <sheetData sheetId="0" refreshError="1"/>
      <sheetData sheetId="1" refreshError="1"/>
      <sheetData sheetId="2" refreshError="1">
        <row r="5">
          <cell r="B5" t="str">
            <v>Not Assigned</v>
          </cell>
          <cell r="C5" t="str">
            <v>Not Assigned</v>
          </cell>
          <cell r="D5" t="str">
            <v>Not Assigned</v>
          </cell>
        </row>
        <row r="6">
          <cell r="B6" t="str">
            <v>Channing Hamlet</v>
          </cell>
          <cell r="C6" t="str">
            <v>Daniel Shia</v>
          </cell>
          <cell r="D6" t="str">
            <v>Pratik</v>
          </cell>
        </row>
        <row r="7">
          <cell r="B7" t="str">
            <v>Wade Hansen</v>
          </cell>
          <cell r="C7" t="str">
            <v>Isabel</v>
          </cell>
          <cell r="D7" t="str">
            <v>Upasak</v>
          </cell>
        </row>
        <row r="8">
          <cell r="B8" t="str">
            <v>Russ Zanetti</v>
          </cell>
          <cell r="D8" t="str">
            <v>Nishma</v>
          </cell>
        </row>
        <row r="9">
          <cell r="B9" t="str">
            <v>Mitzi Lazich</v>
          </cell>
          <cell r="D9" t="str">
            <v>Rakshit</v>
          </cell>
        </row>
        <row r="10">
          <cell r="B10" t="str">
            <v>Jamie Burres</v>
          </cell>
          <cell r="D10" t="str">
            <v>Anshuman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itle"/>
      <sheetName val="Outline"/>
      <sheetName val="_CIQHiddenCacheSheet"/>
      <sheetName val="A1"/>
      <sheetName val="C1"/>
      <sheetName val="C2"/>
      <sheetName val="C3"/>
      <sheetName val="E1"/>
      <sheetName val="E2"/>
      <sheetName val="E3"/>
      <sheetName val="F1"/>
      <sheetName val="F2"/>
      <sheetName val="F3"/>
      <sheetName val="BackgroundInfo&gt;&gt;&gt;"/>
      <sheetName val="WACC CAPM"/>
      <sheetName val="Beta Calc"/>
      <sheetName val="WACC"/>
      <sheetName val="Trends for Comparables_Historic"/>
      <sheetName val="Trends for Comparables_Forecast"/>
      <sheetName val="Trends for M&amp;A Targets"/>
      <sheetName val="Do not include&gt;&gt;&gt;"/>
      <sheetName val="Historical Actuals"/>
      <sheetName val="2019 FY Budget"/>
      <sheetName val="YTD 2018 Budget"/>
      <sheetName val="FA INV LIST"/>
      <sheetName val="D1"/>
      <sheetName val="C2notUsed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>
        <row r="32">
          <cell r="K32">
            <v>0.13</v>
          </cell>
        </row>
      </sheetData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.xml"/><Relationship Id="rId13" Type="http://schemas.openxmlformats.org/officeDocument/2006/relationships/ctrlProp" Target="../ctrlProps/ctrlProp13.xml"/><Relationship Id="rId18" Type="http://schemas.openxmlformats.org/officeDocument/2006/relationships/ctrlProp" Target="../ctrlProps/ctrlProp18.xml"/><Relationship Id="rId3" Type="http://schemas.openxmlformats.org/officeDocument/2006/relationships/vmlDrawing" Target="../drawings/vmlDrawing4.vml"/><Relationship Id="rId21" Type="http://schemas.openxmlformats.org/officeDocument/2006/relationships/comments" Target="../comments3.xml"/><Relationship Id="rId7" Type="http://schemas.openxmlformats.org/officeDocument/2006/relationships/ctrlProp" Target="../ctrlProps/ctrlProp7.xml"/><Relationship Id="rId12" Type="http://schemas.openxmlformats.org/officeDocument/2006/relationships/ctrlProp" Target="../ctrlProps/ctrlProp12.xml"/><Relationship Id="rId17" Type="http://schemas.openxmlformats.org/officeDocument/2006/relationships/ctrlProp" Target="../ctrlProps/ctrlProp17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16.xml"/><Relationship Id="rId20" Type="http://schemas.openxmlformats.org/officeDocument/2006/relationships/ctrlProp" Target="../ctrlProps/ctrlProp20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6.xml"/><Relationship Id="rId11" Type="http://schemas.openxmlformats.org/officeDocument/2006/relationships/ctrlProp" Target="../ctrlProps/ctrlProp11.xml"/><Relationship Id="rId5" Type="http://schemas.openxmlformats.org/officeDocument/2006/relationships/ctrlProp" Target="../ctrlProps/ctrlProp5.xml"/><Relationship Id="rId15" Type="http://schemas.openxmlformats.org/officeDocument/2006/relationships/ctrlProp" Target="../ctrlProps/ctrlProp15.xml"/><Relationship Id="rId10" Type="http://schemas.openxmlformats.org/officeDocument/2006/relationships/ctrlProp" Target="../ctrlProps/ctrlProp10.xml"/><Relationship Id="rId19" Type="http://schemas.openxmlformats.org/officeDocument/2006/relationships/ctrlProp" Target="../ctrlProps/ctrlProp19.xml"/><Relationship Id="rId4" Type="http://schemas.openxmlformats.org/officeDocument/2006/relationships/ctrlProp" Target="../ctrlProps/ctrlProp4.xml"/><Relationship Id="rId9" Type="http://schemas.openxmlformats.org/officeDocument/2006/relationships/ctrlProp" Target="../ctrlProps/ctrlProp9.xml"/><Relationship Id="rId14" Type="http://schemas.openxmlformats.org/officeDocument/2006/relationships/ctrlProp" Target="../ctrlProps/ctrlProp14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9.bin"/><Relationship Id="rId5" Type="http://schemas.openxmlformats.org/officeDocument/2006/relationships/ctrlProp" Target="../ctrlProps/ctrlProp22.xml"/><Relationship Id="rId4" Type="http://schemas.openxmlformats.org/officeDocument/2006/relationships/ctrlProp" Target="../ctrlProps/ctrlProp21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0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12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28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32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35.bin"/><Relationship Id="rId4" Type="http://schemas.openxmlformats.org/officeDocument/2006/relationships/comments" Target="../comments6.xml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36.bin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37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39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40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41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43.bin"/></Relationships>
</file>

<file path=xl/worksheets/_rels/sheet4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44.bin"/><Relationship Id="rId1" Type="http://schemas.openxmlformats.org/officeDocument/2006/relationships/hyperlink" Target="http://www.digital-topo-maps.com/county-map/" TargetMode="External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45.bin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46.bin"/></Relationships>
</file>

<file path=xl/worksheets/_rels/sheet5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47.bin"/></Relationships>
</file>

<file path=xl/worksheets/_rels/sheet5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48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5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50.bin"/></Relationships>
</file>

<file path=xl/worksheets/_rels/sheet5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51.bin"/><Relationship Id="rId1" Type="http://schemas.openxmlformats.org/officeDocument/2006/relationships/hyperlink" Target="http://www.digital-topo-maps.com/county-map/" TargetMode="External"/><Relationship Id="rId4" Type="http://schemas.openxmlformats.org/officeDocument/2006/relationships/vmlDrawing" Target="../drawings/vmlDrawing10.vml"/></Relationships>
</file>

<file path=xl/worksheets/_rels/sheet5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52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54.bin"/></Relationships>
</file>

<file path=xl/worksheets/_rels/sheet60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55.bin"/></Relationships>
</file>

<file path=xl/worksheets/_rels/sheet62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5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tabColor theme="4" tint="-0.499984740745262"/>
  </sheetPr>
  <dimension ref="A1:AJ135"/>
  <sheetViews>
    <sheetView showGridLines="0" topLeftCell="U75" zoomScale="80" zoomScaleNormal="80" workbookViewId="0">
      <selection activeCell="AC85" sqref="AC85"/>
    </sheetView>
  </sheetViews>
  <sheetFormatPr defaultColWidth="9.140625" defaultRowHeight="15" outlineLevelRow="1" outlineLevelCol="1" x14ac:dyDescent="0.25"/>
  <cols>
    <col min="1" max="1" width="29" style="1" hidden="1" customWidth="1" outlineLevel="1"/>
    <col min="2" max="2" width="9.140625" style="1" hidden="1" customWidth="1" outlineLevel="1"/>
    <col min="3" max="3" width="25.85546875" style="1" hidden="1" customWidth="1" outlineLevel="1"/>
    <col min="4" max="4" width="9.140625" style="1" hidden="1" customWidth="1" outlineLevel="1"/>
    <col min="5" max="5" width="34" style="1" hidden="1" customWidth="1" outlineLevel="1"/>
    <col min="6" max="7" width="9.140625" style="1" hidden="1" customWidth="1" outlineLevel="1"/>
    <col min="8" max="8" width="18.5703125" style="1" hidden="1" customWidth="1" outlineLevel="1"/>
    <col min="9" max="11" width="9.140625" style="1" hidden="1" customWidth="1" outlineLevel="1"/>
    <col min="12" max="12" width="18.42578125" style="1" hidden="1" customWidth="1" outlineLevel="1"/>
    <col min="13" max="14" width="24.5703125" style="1" hidden="1" customWidth="1" outlineLevel="1"/>
    <col min="15" max="15" width="9.140625" style="1" hidden="1" customWidth="1" outlineLevel="1"/>
    <col min="16" max="16" width="19.85546875" style="4" hidden="1" customWidth="1" outlineLevel="1"/>
    <col min="17" max="17" width="21.85546875" style="4" hidden="1" customWidth="1" outlineLevel="1"/>
    <col min="18" max="20" width="9.140625" style="1" hidden="1" customWidth="1" outlineLevel="1"/>
    <col min="21" max="21" width="18.85546875" style="4" customWidth="1" collapsed="1"/>
    <col min="22" max="22" width="29.140625" style="1" customWidth="1"/>
    <col min="23" max="23" width="14.5703125" style="1" customWidth="1"/>
    <col min="24" max="24" width="12.5703125" style="1" customWidth="1"/>
    <col min="25" max="25" width="13.140625" style="1" customWidth="1"/>
    <col min="26" max="26" width="11.42578125" style="1" customWidth="1"/>
    <col min="27" max="27" width="12.5703125" style="1" customWidth="1"/>
    <col min="28" max="28" width="13.85546875" style="1" customWidth="1"/>
    <col min="29" max="29" width="12.5703125" style="1" customWidth="1"/>
    <col min="30" max="30" width="12" style="1" customWidth="1"/>
    <col min="31" max="31" width="13" style="1" customWidth="1"/>
    <col min="32" max="32" width="5.140625" style="1" customWidth="1"/>
    <col min="33" max="33" width="12.5703125" style="1" customWidth="1"/>
    <col min="34" max="34" width="13.42578125" style="1" customWidth="1"/>
    <col min="35" max="35" width="12.42578125" style="1" customWidth="1"/>
    <col min="36" max="36" width="15.140625" style="1" customWidth="1"/>
    <col min="37" max="37" width="5.140625" style="1" customWidth="1"/>
    <col min="38" max="38" width="14.5703125" style="1" customWidth="1"/>
    <col min="39" max="39" width="13.85546875" style="1" customWidth="1"/>
    <col min="40" max="40" width="13.5703125" style="1" customWidth="1"/>
    <col min="41" max="16384" width="9.140625" style="1"/>
  </cols>
  <sheetData>
    <row r="1" spans="1:19" hidden="1" outlineLevel="1" x14ac:dyDescent="0.25">
      <c r="A1" s="1" t="s">
        <v>615</v>
      </c>
      <c r="C1" s="1" t="s">
        <v>616</v>
      </c>
      <c r="E1" s="1" t="s">
        <v>617</v>
      </c>
      <c r="F1" s="1" t="s">
        <v>618</v>
      </c>
      <c r="H1" s="1" t="s">
        <v>619</v>
      </c>
      <c r="I1" s="1" t="s">
        <v>620</v>
      </c>
      <c r="J1" s="2" t="s">
        <v>621</v>
      </c>
      <c r="K1" s="1">
        <v>2013</v>
      </c>
      <c r="L1" s="3" t="s">
        <v>622</v>
      </c>
      <c r="M1" s="3" t="s">
        <v>623</v>
      </c>
      <c r="N1" s="3" t="s">
        <v>624</v>
      </c>
      <c r="O1" s="1" t="s">
        <v>625</v>
      </c>
      <c r="P1" s="4" t="s">
        <v>626</v>
      </c>
      <c r="Q1" s="4" t="s">
        <v>627</v>
      </c>
      <c r="R1" s="4">
        <v>6012</v>
      </c>
      <c r="S1" s="1" t="s">
        <v>862</v>
      </c>
    </row>
    <row r="2" spans="1:19" hidden="1" outlineLevel="1" x14ac:dyDescent="0.25">
      <c r="A2" s="1" t="s">
        <v>628</v>
      </c>
      <c r="C2" s="1" t="s">
        <v>628</v>
      </c>
      <c r="E2" s="1" t="s">
        <v>628</v>
      </c>
      <c r="F2" s="1" t="s">
        <v>629</v>
      </c>
      <c r="H2" s="1" t="s">
        <v>630</v>
      </c>
      <c r="I2" s="1" t="s">
        <v>631</v>
      </c>
      <c r="J2" s="2" t="s">
        <v>632</v>
      </c>
      <c r="K2" s="1">
        <v>2014</v>
      </c>
      <c r="L2" s="173" t="s">
        <v>633</v>
      </c>
      <c r="M2" s="173" t="s">
        <v>634</v>
      </c>
      <c r="N2" s="173">
        <v>78758</v>
      </c>
      <c r="O2" s="1" t="s">
        <v>635</v>
      </c>
      <c r="P2" s="4" t="s">
        <v>229</v>
      </c>
      <c r="Q2" s="4" t="s">
        <v>636</v>
      </c>
      <c r="R2" s="4">
        <v>6015</v>
      </c>
      <c r="S2" s="1" t="s">
        <v>283</v>
      </c>
    </row>
    <row r="3" spans="1:19" hidden="1" outlineLevel="1" x14ac:dyDescent="0.25">
      <c r="A3" s="1" t="s">
        <v>637</v>
      </c>
      <c r="C3" s="1" t="s">
        <v>637</v>
      </c>
      <c r="E3" s="1" t="s">
        <v>638</v>
      </c>
      <c r="F3" s="1" t="s">
        <v>639</v>
      </c>
      <c r="H3" s="1" t="s">
        <v>640</v>
      </c>
      <c r="I3" s="1" t="s">
        <v>641</v>
      </c>
      <c r="J3" s="2" t="s">
        <v>642</v>
      </c>
      <c r="K3" s="1">
        <v>2015</v>
      </c>
      <c r="L3" s="173" t="s">
        <v>643</v>
      </c>
      <c r="M3" s="173" t="s">
        <v>644</v>
      </c>
      <c r="N3" s="173">
        <v>78229</v>
      </c>
      <c r="P3" s="4" t="s">
        <v>645</v>
      </c>
      <c r="Q3" s="4" t="s">
        <v>646</v>
      </c>
      <c r="R3" s="4" t="s">
        <v>860</v>
      </c>
      <c r="S3" s="1" t="s">
        <v>863</v>
      </c>
    </row>
    <row r="4" spans="1:19" hidden="1" outlineLevel="1" x14ac:dyDescent="0.25">
      <c r="A4" s="1" t="s">
        <v>647</v>
      </c>
      <c r="C4" s="1" t="s">
        <v>647</v>
      </c>
      <c r="E4" s="1" t="s">
        <v>648</v>
      </c>
      <c r="F4" s="1" t="s">
        <v>649</v>
      </c>
      <c r="H4" s="1" t="s">
        <v>650</v>
      </c>
      <c r="I4" s="1" t="s">
        <v>651</v>
      </c>
      <c r="J4" s="2" t="s">
        <v>652</v>
      </c>
      <c r="K4" s="1">
        <v>2016</v>
      </c>
      <c r="L4" s="173" t="s">
        <v>653</v>
      </c>
      <c r="M4" s="173" t="s">
        <v>654</v>
      </c>
      <c r="N4" s="173">
        <v>94600</v>
      </c>
      <c r="P4" s="4" t="s">
        <v>655</v>
      </c>
      <c r="Q4" s="4" t="s">
        <v>656</v>
      </c>
      <c r="R4" s="4" t="s">
        <v>861</v>
      </c>
      <c r="S4" s="1" t="s">
        <v>285</v>
      </c>
    </row>
    <row r="5" spans="1:19" hidden="1" outlineLevel="1" x14ac:dyDescent="0.25">
      <c r="A5" s="1" t="s">
        <v>657</v>
      </c>
      <c r="C5" s="1" t="s">
        <v>658</v>
      </c>
      <c r="E5" s="1" t="s">
        <v>637</v>
      </c>
      <c r="F5" s="1" t="s">
        <v>79</v>
      </c>
      <c r="H5" s="1" t="s">
        <v>659</v>
      </c>
      <c r="I5" s="1" t="s">
        <v>660</v>
      </c>
      <c r="J5" s="2" t="s">
        <v>661</v>
      </c>
      <c r="K5" s="1">
        <v>2017</v>
      </c>
      <c r="L5" s="173" t="s">
        <v>662</v>
      </c>
      <c r="M5" s="173" t="s">
        <v>663</v>
      </c>
      <c r="N5" s="173">
        <v>95240</v>
      </c>
      <c r="Q5" s="4" t="s">
        <v>664</v>
      </c>
      <c r="R5" s="4">
        <v>6020</v>
      </c>
    </row>
    <row r="6" spans="1:19" hidden="1" outlineLevel="1" x14ac:dyDescent="0.25">
      <c r="A6" s="1" t="s">
        <v>658</v>
      </c>
      <c r="C6" s="1" t="s">
        <v>665</v>
      </c>
      <c r="E6" s="1" t="s">
        <v>657</v>
      </c>
      <c r="F6" s="1" t="s">
        <v>666</v>
      </c>
      <c r="I6" s="1" t="s">
        <v>667</v>
      </c>
      <c r="J6" s="2" t="s">
        <v>668</v>
      </c>
      <c r="L6" s="173" t="s">
        <v>669</v>
      </c>
      <c r="M6" s="173" t="s">
        <v>878</v>
      </c>
      <c r="N6" s="173" t="s">
        <v>877</v>
      </c>
      <c r="Q6" s="4" t="s">
        <v>670</v>
      </c>
      <c r="R6" s="4" t="s">
        <v>671</v>
      </c>
    </row>
    <row r="7" spans="1:19" hidden="1" outlineLevel="1" x14ac:dyDescent="0.25">
      <c r="A7" s="1" t="s">
        <v>672</v>
      </c>
      <c r="C7" s="1" t="s">
        <v>673</v>
      </c>
      <c r="E7" s="1" t="s">
        <v>647</v>
      </c>
      <c r="F7" s="1" t="s">
        <v>674</v>
      </c>
      <c r="I7" s="1" t="s">
        <v>675</v>
      </c>
      <c r="J7" s="1" t="s">
        <v>676</v>
      </c>
      <c r="L7" s="173" t="s">
        <v>677</v>
      </c>
      <c r="Q7" s="4" t="s">
        <v>678</v>
      </c>
      <c r="R7" s="4" t="s">
        <v>679</v>
      </c>
    </row>
    <row r="8" spans="1:19" hidden="1" outlineLevel="1" x14ac:dyDescent="0.25">
      <c r="A8" s="1" t="s">
        <v>680</v>
      </c>
      <c r="C8" s="1" t="s">
        <v>648</v>
      </c>
      <c r="E8" s="1" t="s">
        <v>658</v>
      </c>
      <c r="F8" s="1" t="s">
        <v>626</v>
      </c>
      <c r="I8" s="1" t="s">
        <v>681</v>
      </c>
      <c r="L8" s="173" t="s">
        <v>682</v>
      </c>
      <c r="Q8" s="4" t="s">
        <v>115</v>
      </c>
      <c r="R8" s="4" t="s">
        <v>683</v>
      </c>
    </row>
    <row r="9" spans="1:19" hidden="1" outlineLevel="1" x14ac:dyDescent="0.25">
      <c r="A9" s="1" t="s">
        <v>648</v>
      </c>
      <c r="C9" s="1" t="s">
        <v>638</v>
      </c>
      <c r="E9" s="1" t="s">
        <v>684</v>
      </c>
      <c r="I9" s="1" t="s">
        <v>685</v>
      </c>
      <c r="L9" s="173" t="s">
        <v>686</v>
      </c>
      <c r="R9" s="1">
        <v>6115</v>
      </c>
    </row>
    <row r="10" spans="1:19" hidden="1" outlineLevel="1" x14ac:dyDescent="0.25">
      <c r="A10" s="1" t="s">
        <v>638</v>
      </c>
      <c r="C10" s="1" t="s">
        <v>687</v>
      </c>
      <c r="E10" s="1" t="s">
        <v>688</v>
      </c>
      <c r="F10" s="1" t="s">
        <v>634</v>
      </c>
      <c r="I10" s="1" t="s">
        <v>689</v>
      </c>
      <c r="L10" s="173" t="s">
        <v>690</v>
      </c>
    </row>
    <row r="11" spans="1:19" hidden="1" outlineLevel="1" x14ac:dyDescent="0.25">
      <c r="E11" s="1" t="s">
        <v>691</v>
      </c>
      <c r="F11" s="1" t="s">
        <v>644</v>
      </c>
      <c r="I11" s="1" t="s">
        <v>692</v>
      </c>
      <c r="L11" s="173" t="s">
        <v>693</v>
      </c>
    </row>
    <row r="12" spans="1:19" hidden="1" outlineLevel="1" x14ac:dyDescent="0.25">
      <c r="A12" s="1" t="s">
        <v>694</v>
      </c>
      <c r="F12" s="1" t="s">
        <v>654</v>
      </c>
      <c r="I12" s="1" t="s">
        <v>695</v>
      </c>
      <c r="L12" s="173" t="s">
        <v>696</v>
      </c>
    </row>
    <row r="13" spans="1:19" hidden="1" outlineLevel="1" x14ac:dyDescent="0.25">
      <c r="A13" s="1" t="s">
        <v>628</v>
      </c>
      <c r="C13" s="1" t="s">
        <v>697</v>
      </c>
      <c r="F13" s="1" t="s">
        <v>663</v>
      </c>
      <c r="I13" s="1" t="s">
        <v>698</v>
      </c>
      <c r="L13" s="3" t="s">
        <v>622</v>
      </c>
    </row>
    <row r="14" spans="1:19" hidden="1" outlineLevel="1" x14ac:dyDescent="0.25">
      <c r="A14" s="1" t="s">
        <v>699</v>
      </c>
      <c r="B14" s="1" t="s">
        <v>645</v>
      </c>
      <c r="C14" s="1" t="s">
        <v>700</v>
      </c>
      <c r="F14" s="1" t="s">
        <v>640</v>
      </c>
      <c r="I14" s="1" t="s">
        <v>701</v>
      </c>
      <c r="L14" s="173" t="s">
        <v>702</v>
      </c>
    </row>
    <row r="15" spans="1:19" hidden="1" outlineLevel="1" x14ac:dyDescent="0.25">
      <c r="A15" s="1" t="s">
        <v>703</v>
      </c>
      <c r="B15" s="1" t="s">
        <v>229</v>
      </c>
      <c r="C15" s="1" t="s">
        <v>704</v>
      </c>
      <c r="I15" s="1" t="s">
        <v>705</v>
      </c>
      <c r="L15" s="173" t="s">
        <v>706</v>
      </c>
    </row>
    <row r="16" spans="1:19" hidden="1" outlineLevel="1" x14ac:dyDescent="0.25">
      <c r="A16" s="1" t="s">
        <v>647</v>
      </c>
      <c r="B16" s="1" t="s">
        <v>707</v>
      </c>
      <c r="F16" s="1">
        <v>78758</v>
      </c>
      <c r="I16" s="1" t="s">
        <v>708</v>
      </c>
      <c r="L16" s="173" t="s">
        <v>709</v>
      </c>
    </row>
    <row r="17" spans="1:12" hidden="1" outlineLevel="1" x14ac:dyDescent="0.25">
      <c r="A17" s="1" t="s">
        <v>648</v>
      </c>
      <c r="I17" s="1" t="s">
        <v>710</v>
      </c>
      <c r="L17" s="173" t="s">
        <v>711</v>
      </c>
    </row>
    <row r="18" spans="1:12" hidden="1" outlineLevel="1" x14ac:dyDescent="0.25">
      <c r="A18" s="1" t="s">
        <v>638</v>
      </c>
      <c r="F18" s="1" t="s">
        <v>712</v>
      </c>
      <c r="I18" s="1" t="s">
        <v>713</v>
      </c>
      <c r="L18" s="3" t="s">
        <v>622</v>
      </c>
    </row>
    <row r="19" spans="1:12" hidden="1" outlineLevel="1" x14ac:dyDescent="0.25">
      <c r="A19" s="1" t="s">
        <v>714</v>
      </c>
      <c r="B19" s="1" t="s">
        <v>655</v>
      </c>
      <c r="F19" s="1" t="s">
        <v>715</v>
      </c>
      <c r="I19" s="1" t="s">
        <v>716</v>
      </c>
      <c r="L19" s="173" t="s">
        <v>717</v>
      </c>
    </row>
    <row r="20" spans="1:12" hidden="1" outlineLevel="1" x14ac:dyDescent="0.25">
      <c r="A20" s="1" t="s">
        <v>718</v>
      </c>
      <c r="F20" s="1" t="s">
        <v>719</v>
      </c>
      <c r="I20" s="1" t="s">
        <v>720</v>
      </c>
      <c r="L20" s="173" t="s">
        <v>721</v>
      </c>
    </row>
    <row r="21" spans="1:12" hidden="1" outlineLevel="1" x14ac:dyDescent="0.25">
      <c r="F21" s="1" t="s">
        <v>722</v>
      </c>
      <c r="I21" s="1" t="s">
        <v>723</v>
      </c>
      <c r="L21" s="173" t="s">
        <v>724</v>
      </c>
    </row>
    <row r="22" spans="1:12" hidden="1" outlineLevel="1" x14ac:dyDescent="0.25">
      <c r="I22" s="1" t="s">
        <v>725</v>
      </c>
      <c r="L22" s="173" t="s">
        <v>726</v>
      </c>
    </row>
    <row r="23" spans="1:12" hidden="1" outlineLevel="1" x14ac:dyDescent="0.25">
      <c r="I23" s="1" t="s">
        <v>727</v>
      </c>
      <c r="L23" s="173" t="s">
        <v>728</v>
      </c>
    </row>
    <row r="24" spans="1:12" hidden="1" outlineLevel="1" x14ac:dyDescent="0.25">
      <c r="I24" s="1" t="s">
        <v>729</v>
      </c>
      <c r="L24" s="173" t="s">
        <v>730</v>
      </c>
    </row>
    <row r="25" spans="1:12" hidden="1" outlineLevel="1" x14ac:dyDescent="0.25">
      <c r="I25" s="1" t="s">
        <v>194</v>
      </c>
      <c r="L25" s="173" t="s">
        <v>731</v>
      </c>
    </row>
    <row r="26" spans="1:12" hidden="1" outlineLevel="1" x14ac:dyDescent="0.25">
      <c r="L26" s="173" t="s">
        <v>732</v>
      </c>
    </row>
    <row r="27" spans="1:12" ht="20.25" hidden="1" customHeight="1" outlineLevel="1" x14ac:dyDescent="0.25">
      <c r="L27" s="173" t="s">
        <v>733</v>
      </c>
    </row>
    <row r="28" spans="1:12" hidden="1" outlineLevel="1" x14ac:dyDescent="0.25">
      <c r="L28" s="173" t="s">
        <v>734</v>
      </c>
    </row>
    <row r="29" spans="1:12" hidden="1" outlineLevel="1" x14ac:dyDescent="0.25">
      <c r="L29" s="173" t="s">
        <v>735</v>
      </c>
    </row>
    <row r="30" spans="1:12" hidden="1" outlineLevel="1" x14ac:dyDescent="0.25">
      <c r="L30" s="173" t="s">
        <v>736</v>
      </c>
    </row>
    <row r="31" spans="1:12" hidden="1" outlineLevel="1" x14ac:dyDescent="0.25">
      <c r="L31" s="173" t="s">
        <v>737</v>
      </c>
    </row>
    <row r="32" spans="1:12" hidden="1" outlineLevel="1" x14ac:dyDescent="0.25">
      <c r="L32" s="173" t="s">
        <v>738</v>
      </c>
    </row>
    <row r="33" spans="12:26" hidden="1" outlineLevel="1" x14ac:dyDescent="0.25">
      <c r="L33" s="173" t="s">
        <v>739</v>
      </c>
    </row>
    <row r="34" spans="12:26" hidden="1" outlineLevel="1" x14ac:dyDescent="0.25">
      <c r="L34" s="173" t="s">
        <v>740</v>
      </c>
    </row>
    <row r="35" spans="12:26" hidden="1" outlineLevel="1" x14ac:dyDescent="0.25">
      <c r="L35" s="173" t="s">
        <v>741</v>
      </c>
    </row>
    <row r="36" spans="12:26" ht="20.25" collapsed="1" x14ac:dyDescent="0.3">
      <c r="L36" s="173" t="s">
        <v>742</v>
      </c>
      <c r="V36" s="1369" t="s">
        <v>1064</v>
      </c>
    </row>
    <row r="37" spans="12:26" x14ac:dyDescent="0.25">
      <c r="L37" s="173" t="s">
        <v>743</v>
      </c>
    </row>
    <row r="38" spans="12:26" x14ac:dyDescent="0.25">
      <c r="L38" s="173" t="s">
        <v>744</v>
      </c>
      <c r="U38" s="5" t="s">
        <v>745</v>
      </c>
      <c r="V38" s="1408">
        <v>2018</v>
      </c>
    </row>
    <row r="39" spans="12:26" x14ac:dyDescent="0.25">
      <c r="L39" s="173" t="s">
        <v>746</v>
      </c>
      <c r="U39" s="5" t="s">
        <v>747</v>
      </c>
      <c r="V39" s="1408" t="s">
        <v>729</v>
      </c>
    </row>
    <row r="40" spans="12:26" x14ac:dyDescent="0.25">
      <c r="L40" s="173"/>
      <c r="U40" s="1"/>
    </row>
    <row r="41" spans="12:26" x14ac:dyDescent="0.25">
      <c r="L41" s="3" t="s">
        <v>623</v>
      </c>
      <c r="U41" s="1"/>
    </row>
    <row r="42" spans="12:26" x14ac:dyDescent="0.25">
      <c r="L42" s="1" t="s">
        <v>748</v>
      </c>
      <c r="U42" s="5" t="s">
        <v>749</v>
      </c>
      <c r="V42" s="1408" t="s">
        <v>787</v>
      </c>
    </row>
    <row r="43" spans="12:26" x14ac:dyDescent="0.25">
      <c r="L43" s="1" t="s">
        <v>750</v>
      </c>
      <c r="U43" s="1"/>
    </row>
    <row r="44" spans="12:26" x14ac:dyDescent="0.25">
      <c r="L44" s="1" t="s">
        <v>752</v>
      </c>
      <c r="U44" s="1"/>
    </row>
    <row r="45" spans="12:26" x14ac:dyDescent="0.25">
      <c r="L45" s="1" t="s">
        <v>754</v>
      </c>
      <c r="U45" s="1"/>
    </row>
    <row r="46" spans="12:26" x14ac:dyDescent="0.25">
      <c r="L46" s="1" t="s">
        <v>755</v>
      </c>
    </row>
    <row r="47" spans="12:26" x14ac:dyDescent="0.25">
      <c r="L47" s="1" t="s">
        <v>756</v>
      </c>
      <c r="W47" s="1675" t="s">
        <v>757</v>
      </c>
      <c r="X47" s="1676"/>
      <c r="Y47" s="1676"/>
      <c r="Z47" s="1677"/>
    </row>
    <row r="48" spans="12:26" x14ac:dyDescent="0.25">
      <c r="L48" s="1" t="s">
        <v>760</v>
      </c>
      <c r="W48" s="1675" t="s">
        <v>787</v>
      </c>
      <c r="X48" s="1676"/>
      <c r="Y48" s="1676"/>
      <c r="Z48" s="1677"/>
    </row>
    <row r="49" spans="12:27" x14ac:dyDescent="0.25">
      <c r="L49" s="1" t="s">
        <v>761</v>
      </c>
    </row>
    <row r="50" spans="12:27" x14ac:dyDescent="0.25">
      <c r="L50" s="1" t="s">
        <v>762</v>
      </c>
      <c r="U50" s="6" t="s">
        <v>88</v>
      </c>
    </row>
    <row r="51" spans="12:27" x14ac:dyDescent="0.25">
      <c r="L51" s="1" t="s">
        <v>763</v>
      </c>
      <c r="V51" s="7"/>
      <c r="W51" s="8"/>
      <c r="X51" s="9"/>
      <c r="Y51" s="9" t="s">
        <v>78</v>
      </c>
      <c r="Z51" s="10" t="s">
        <v>83</v>
      </c>
      <c r="AA51" s="9"/>
    </row>
    <row r="52" spans="12:27" x14ac:dyDescent="0.25">
      <c r="L52" s="1" t="s">
        <v>764</v>
      </c>
      <c r="V52" s="11" t="s">
        <v>47</v>
      </c>
      <c r="W52" s="12"/>
      <c r="X52" s="13"/>
      <c r="Y52" s="13">
        <v>330.11999999999995</v>
      </c>
      <c r="Z52" s="14">
        <v>0</v>
      </c>
      <c r="AA52" s="13"/>
    </row>
    <row r="53" spans="12:27" x14ac:dyDescent="0.25">
      <c r="L53" s="1" t="s">
        <v>765</v>
      </c>
      <c r="V53" s="11" t="s">
        <v>766</v>
      </c>
      <c r="W53" s="12"/>
      <c r="X53" s="13"/>
      <c r="Y53" s="13">
        <v>593.31233126834047</v>
      </c>
      <c r="Z53" s="14">
        <v>0</v>
      </c>
      <c r="AA53" s="13"/>
    </row>
    <row r="54" spans="12:27" x14ac:dyDescent="0.25">
      <c r="L54" s="1" t="s">
        <v>767</v>
      </c>
      <c r="V54" s="11" t="s">
        <v>768</v>
      </c>
      <c r="W54" s="12"/>
      <c r="X54" s="13"/>
      <c r="Y54" s="13">
        <v>387.66181660899645</v>
      </c>
      <c r="Z54" s="14">
        <v>340.02599999999995</v>
      </c>
      <c r="AA54" s="13"/>
    </row>
    <row r="55" spans="12:27" x14ac:dyDescent="0.25">
      <c r="L55" s="1" t="s">
        <v>769</v>
      </c>
      <c r="V55" s="11" t="s">
        <v>770</v>
      </c>
      <c r="W55" s="12"/>
      <c r="X55" s="13"/>
      <c r="Y55" s="13">
        <v>362.1350109079242</v>
      </c>
      <c r="Z55" s="14">
        <v>0</v>
      </c>
      <c r="AA55" s="13"/>
    </row>
    <row r="56" spans="12:27" x14ac:dyDescent="0.25">
      <c r="L56" s="1" t="s">
        <v>771</v>
      </c>
      <c r="V56" s="15" t="s">
        <v>640</v>
      </c>
      <c r="W56" s="16"/>
      <c r="X56" s="17"/>
      <c r="Y56" s="17">
        <v>378.39901748792801</v>
      </c>
      <c r="Z56" s="18">
        <v>376.40690928495195</v>
      </c>
      <c r="AA56" s="17"/>
    </row>
    <row r="57" spans="12:27" x14ac:dyDescent="0.25">
      <c r="L57" s="1" t="s">
        <v>772</v>
      </c>
    </row>
    <row r="58" spans="12:27" x14ac:dyDescent="0.25">
      <c r="L58" s="1" t="s">
        <v>773</v>
      </c>
    </row>
    <row r="59" spans="12:27" x14ac:dyDescent="0.25">
      <c r="L59" s="1" t="s">
        <v>774</v>
      </c>
    </row>
    <row r="60" spans="12:27" x14ac:dyDescent="0.25">
      <c r="L60" s="1" t="s">
        <v>775</v>
      </c>
      <c r="U60" s="6" t="s">
        <v>776</v>
      </c>
    </row>
    <row r="61" spans="12:27" x14ac:dyDescent="0.25">
      <c r="L61" s="1" t="s">
        <v>777</v>
      </c>
      <c r="V61" s="19" t="s">
        <v>47</v>
      </c>
      <c r="W61" s="20"/>
      <c r="X61" s="21"/>
      <c r="Y61" s="21">
        <v>2.0415012025281055E-2</v>
      </c>
      <c r="Z61" s="22">
        <v>0</v>
      </c>
      <c r="AA61" s="23"/>
    </row>
    <row r="62" spans="12:27" x14ac:dyDescent="0.25">
      <c r="L62" s="1" t="s">
        <v>778</v>
      </c>
      <c r="V62" s="11" t="s">
        <v>766</v>
      </c>
      <c r="W62" s="24"/>
      <c r="X62" s="25"/>
      <c r="Y62" s="25">
        <v>0.17154203255215617</v>
      </c>
      <c r="Z62" s="26">
        <v>0</v>
      </c>
    </row>
    <row r="63" spans="12:27" x14ac:dyDescent="0.25">
      <c r="L63" s="1" t="s">
        <v>779</v>
      </c>
      <c r="V63" s="11" t="s">
        <v>768</v>
      </c>
      <c r="W63" s="24"/>
      <c r="X63" s="25"/>
      <c r="Y63" s="25">
        <v>1.6164215000838974E-2</v>
      </c>
      <c r="Z63" s="26">
        <v>1.6008537886872998E-2</v>
      </c>
    </row>
    <row r="64" spans="12:27" x14ac:dyDescent="0.25">
      <c r="L64" s="1" t="s">
        <v>780</v>
      </c>
      <c r="V64" s="11" t="s">
        <v>48</v>
      </c>
      <c r="W64" s="24"/>
      <c r="X64" s="25"/>
      <c r="Y64" s="25">
        <v>0.5187091000615246</v>
      </c>
      <c r="Z64" s="26">
        <v>0.96584845250800422</v>
      </c>
    </row>
    <row r="65" spans="12:29" x14ac:dyDescent="0.25">
      <c r="L65" s="1" t="s">
        <v>781</v>
      </c>
      <c r="V65" s="11" t="s">
        <v>49</v>
      </c>
      <c r="W65" s="24"/>
      <c r="X65" s="25"/>
      <c r="Y65" s="25">
        <v>0.21505677051289218</v>
      </c>
      <c r="Z65" s="26">
        <v>1.8143009605122731E-2</v>
      </c>
    </row>
    <row r="66" spans="12:29" x14ac:dyDescent="0.25">
      <c r="L66" s="1" t="s">
        <v>782</v>
      </c>
      <c r="V66" s="11" t="s">
        <v>770</v>
      </c>
      <c r="W66" s="24"/>
      <c r="X66" s="25"/>
      <c r="Y66" s="25">
        <v>5.8112869847306896E-2</v>
      </c>
      <c r="Z66" s="26">
        <v>0</v>
      </c>
    </row>
    <row r="67" spans="12:29" x14ac:dyDescent="0.25">
      <c r="L67" s="1" t="s">
        <v>783</v>
      </c>
      <c r="V67" s="15" t="s">
        <v>640</v>
      </c>
      <c r="W67" s="27"/>
      <c r="X67" s="28"/>
      <c r="Y67" s="28">
        <v>1</v>
      </c>
      <c r="Z67" s="29">
        <v>1</v>
      </c>
      <c r="AA67" s="30"/>
    </row>
    <row r="68" spans="12:29" x14ac:dyDescent="0.25">
      <c r="L68" s="1" t="s">
        <v>784</v>
      </c>
      <c r="V68" s="4"/>
      <c r="W68" s="25"/>
      <c r="X68" s="25"/>
      <c r="Y68" s="25"/>
      <c r="Z68" s="25"/>
    </row>
    <row r="69" spans="12:29" x14ac:dyDescent="0.25">
      <c r="L69" s="1" t="s">
        <v>785</v>
      </c>
    </row>
    <row r="70" spans="12:29" x14ac:dyDescent="0.25">
      <c r="L70" s="1" t="s">
        <v>786</v>
      </c>
    </row>
    <row r="71" spans="12:29" x14ac:dyDescent="0.25">
      <c r="L71" s="1" t="s">
        <v>787</v>
      </c>
      <c r="U71" s="6" t="s">
        <v>788</v>
      </c>
    </row>
    <row r="72" spans="12:29" x14ac:dyDescent="0.25">
      <c r="L72" s="1" t="s">
        <v>789</v>
      </c>
      <c r="V72" s="31" t="s">
        <v>790</v>
      </c>
      <c r="W72" s="32"/>
      <c r="X72" s="32"/>
      <c r="Y72" s="32">
        <v>12.49988347704498</v>
      </c>
      <c r="Z72" s="33">
        <v>16.438596491228068</v>
      </c>
      <c r="AA72" s="34"/>
    </row>
    <row r="73" spans="12:29" x14ac:dyDescent="0.25">
      <c r="L73" s="1" t="s">
        <v>791</v>
      </c>
      <c r="V73" s="4"/>
      <c r="W73" s="36"/>
      <c r="X73" s="36"/>
      <c r="Y73" s="36"/>
      <c r="Z73" s="36"/>
    </row>
    <row r="74" spans="12:29" x14ac:dyDescent="0.25">
      <c r="L74" s="1" t="s">
        <v>792</v>
      </c>
      <c r="V74" s="4"/>
    </row>
    <row r="75" spans="12:29" x14ac:dyDescent="0.25">
      <c r="L75" s="1" t="s">
        <v>793</v>
      </c>
      <c r="U75" s="6" t="s">
        <v>794</v>
      </c>
      <c r="AC75" s="106" t="s">
        <v>1290</v>
      </c>
    </row>
    <row r="76" spans="12:29" x14ac:dyDescent="0.25">
      <c r="L76" s="1" t="s">
        <v>795</v>
      </c>
      <c r="V76" s="19" t="s">
        <v>49</v>
      </c>
      <c r="W76" s="37"/>
      <c r="X76" s="38"/>
      <c r="Y76" s="38">
        <v>170.64324162982226</v>
      </c>
      <c r="Z76" s="39">
        <v>161.26529411764704</v>
      </c>
      <c r="AA76" s="38"/>
    </row>
    <row r="77" spans="12:29" x14ac:dyDescent="0.25">
      <c r="L77" s="1" t="s">
        <v>796</v>
      </c>
      <c r="V77" s="11" t="s">
        <v>797</v>
      </c>
      <c r="W77" s="40"/>
      <c r="X77" s="41"/>
      <c r="Y77" s="41">
        <v>334.03635659353108</v>
      </c>
      <c r="Z77" s="42">
        <v>334.03635659353108</v>
      </c>
      <c r="AA77" s="41"/>
    </row>
    <row r="78" spans="12:29" x14ac:dyDescent="0.25">
      <c r="L78" s="1" t="s">
        <v>798</v>
      </c>
      <c r="V78" s="11" t="s">
        <v>799</v>
      </c>
      <c r="W78" s="40"/>
      <c r="X78" s="41"/>
      <c r="Y78" s="1669">
        <f>29.5547313956119+AC78</f>
        <v>69.554731395611896</v>
      </c>
      <c r="Z78" s="1670">
        <f>Y78</f>
        <v>69.554731395611896</v>
      </c>
      <c r="AA78" s="41"/>
      <c r="AC78" s="1">
        <v>40</v>
      </c>
    </row>
    <row r="79" spans="12:29" x14ac:dyDescent="0.25">
      <c r="L79" s="1" t="s">
        <v>800</v>
      </c>
      <c r="V79" s="11" t="s">
        <v>697</v>
      </c>
      <c r="W79" s="40"/>
      <c r="X79" s="41"/>
      <c r="Y79" s="41">
        <v>415.64480943225504</v>
      </c>
      <c r="Z79" s="42">
        <v>415.64480943225504</v>
      </c>
      <c r="AA79" s="41"/>
    </row>
    <row r="80" spans="12:29" x14ac:dyDescent="0.25">
      <c r="L80" s="1" t="s">
        <v>801</v>
      </c>
      <c r="V80" s="15" t="s">
        <v>802</v>
      </c>
      <c r="W80" s="43"/>
      <c r="X80" s="44"/>
      <c r="Y80" s="44">
        <v>8.8477588778083968E-2</v>
      </c>
      <c r="Z80" s="45">
        <v>8.8477588778083968E-2</v>
      </c>
      <c r="AA80" s="46"/>
    </row>
    <row r="81" spans="12:36" x14ac:dyDescent="0.25">
      <c r="L81" s="1" t="s">
        <v>803</v>
      </c>
    </row>
    <row r="82" spans="12:36" x14ac:dyDescent="0.25">
      <c r="L82" s="1" t="s">
        <v>804</v>
      </c>
      <c r="V82" s="4"/>
      <c r="W82" s="25"/>
      <c r="X82" s="25"/>
      <c r="Y82" s="25"/>
      <c r="Z82" s="25"/>
    </row>
    <row r="83" spans="12:36" x14ac:dyDescent="0.25">
      <c r="L83" s="1" t="s">
        <v>805</v>
      </c>
      <c r="U83" s="6" t="s">
        <v>806</v>
      </c>
    </row>
    <row r="84" spans="12:36" x14ac:dyDescent="0.25">
      <c r="L84" s="1" t="s">
        <v>807</v>
      </c>
      <c r="V84" s="19" t="s">
        <v>712</v>
      </c>
      <c r="W84" s="47"/>
      <c r="X84" s="48"/>
      <c r="Y84" s="1671">
        <f>3.78326397822399+AC84</f>
        <v>5.8832639782239902</v>
      </c>
      <c r="Z84" s="49">
        <v>0</v>
      </c>
      <c r="AA84" s="23"/>
      <c r="AC84" s="1">
        <v>2.1</v>
      </c>
    </row>
    <row r="85" spans="12:36" x14ac:dyDescent="0.25">
      <c r="L85" s="1" t="s">
        <v>808</v>
      </c>
      <c r="V85" s="11" t="s">
        <v>715</v>
      </c>
      <c r="W85" s="50"/>
      <c r="X85" s="36"/>
      <c r="Y85" s="1672">
        <f>110+AC85</f>
        <v>118</v>
      </c>
      <c r="Z85" s="51">
        <v>120</v>
      </c>
      <c r="AC85" s="1">
        <v>8</v>
      </c>
    </row>
    <row r="86" spans="12:36" x14ac:dyDescent="0.25">
      <c r="L86" s="1" t="s">
        <v>809</v>
      </c>
      <c r="V86" s="11" t="s">
        <v>719</v>
      </c>
      <c r="W86" s="50"/>
      <c r="X86" s="36"/>
      <c r="Y86" s="36">
        <v>0.32476518075209276</v>
      </c>
      <c r="Z86" s="51">
        <v>0</v>
      </c>
    </row>
    <row r="87" spans="12:36" x14ac:dyDescent="0.25">
      <c r="L87" s="1" t="s">
        <v>810</v>
      </c>
      <c r="V87" s="15" t="s">
        <v>722</v>
      </c>
      <c r="W87" s="52"/>
      <c r="X87" s="53"/>
      <c r="Y87" s="53">
        <v>5.7341193579059233</v>
      </c>
      <c r="Z87" s="54">
        <v>0</v>
      </c>
      <c r="AA87" s="46"/>
    </row>
    <row r="88" spans="12:36" x14ac:dyDescent="0.25">
      <c r="L88" s="1" t="s">
        <v>811</v>
      </c>
      <c r="V88" s="4"/>
    </row>
    <row r="89" spans="12:36" x14ac:dyDescent="0.25">
      <c r="L89" s="1" t="s">
        <v>812</v>
      </c>
    </row>
    <row r="90" spans="12:36" x14ac:dyDescent="0.25">
      <c r="L90" s="1" t="s">
        <v>813</v>
      </c>
    </row>
    <row r="91" spans="12:36" x14ac:dyDescent="0.25">
      <c r="L91" s="1" t="s">
        <v>814</v>
      </c>
    </row>
    <row r="92" spans="12:36" x14ac:dyDescent="0.25">
      <c r="U92" s="6" t="s">
        <v>816</v>
      </c>
    </row>
    <row r="93" spans="12:36" ht="42.75" x14ac:dyDescent="0.25">
      <c r="L93" s="1" t="s">
        <v>815</v>
      </c>
      <c r="V93" s="55"/>
      <c r="W93" s="8" t="s">
        <v>250</v>
      </c>
      <c r="X93" s="9" t="s">
        <v>288</v>
      </c>
      <c r="Y93" s="9" t="s">
        <v>248</v>
      </c>
      <c r="Z93" s="9" t="s">
        <v>232</v>
      </c>
      <c r="AA93" s="9" t="s">
        <v>235</v>
      </c>
      <c r="AB93" s="9" t="s">
        <v>236</v>
      </c>
      <c r="AC93" s="9" t="s">
        <v>237</v>
      </c>
      <c r="AD93" s="9" t="s">
        <v>238</v>
      </c>
      <c r="AE93" s="10" t="s">
        <v>239</v>
      </c>
      <c r="AG93" s="56"/>
      <c r="AH93" s="56"/>
      <c r="AI93" s="56"/>
      <c r="AJ93" s="56"/>
    </row>
    <row r="94" spans="12:36" x14ac:dyDescent="0.25">
      <c r="L94" s="1" t="s">
        <v>817</v>
      </c>
      <c r="V94" s="19" t="s">
        <v>787</v>
      </c>
      <c r="W94" s="1641">
        <v>67.251505786676844</v>
      </c>
      <c r="X94" s="1641">
        <v>0</v>
      </c>
      <c r="Y94" s="1641">
        <v>0</v>
      </c>
      <c r="Z94" s="1641">
        <v>51.264150080956092</v>
      </c>
      <c r="AA94" s="1641">
        <v>45.019197207678879</v>
      </c>
      <c r="AB94" s="1641">
        <v>25.94099774585996</v>
      </c>
      <c r="AC94" s="1641">
        <v>44.704866716111866</v>
      </c>
      <c r="AD94" s="1641">
        <v>43.41810080696937</v>
      </c>
      <c r="AE94" s="1642">
        <v>28.315270321348759</v>
      </c>
      <c r="AG94" s="56"/>
      <c r="AH94" s="56"/>
      <c r="AI94" s="56"/>
      <c r="AJ94" s="56"/>
    </row>
    <row r="95" spans="12:36" x14ac:dyDescent="0.25">
      <c r="V95" s="11"/>
      <c r="W95" s="56"/>
      <c r="X95" s="56"/>
      <c r="Y95" s="56"/>
      <c r="Z95" s="56"/>
      <c r="AA95" s="56"/>
      <c r="AB95" s="56"/>
      <c r="AC95" s="56"/>
      <c r="AD95" s="56"/>
      <c r="AE95" s="57"/>
      <c r="AG95" s="56"/>
      <c r="AH95" s="56"/>
      <c r="AI95" s="56"/>
      <c r="AJ95" s="56"/>
    </row>
    <row r="96" spans="12:36" x14ac:dyDescent="0.25">
      <c r="V96" s="11"/>
      <c r="W96" s="56"/>
      <c r="X96" s="56"/>
      <c r="Y96" s="56"/>
      <c r="Z96" s="56"/>
      <c r="AA96" s="56"/>
      <c r="AB96" s="56"/>
      <c r="AC96" s="56"/>
      <c r="AD96" s="56"/>
      <c r="AE96" s="57"/>
      <c r="AG96" s="56"/>
      <c r="AH96" s="56"/>
      <c r="AI96" s="56"/>
      <c r="AJ96" s="56"/>
    </row>
    <row r="97" spans="12:36" x14ac:dyDescent="0.25">
      <c r="U97" s="962"/>
      <c r="V97" s="58"/>
      <c r="W97" s="59"/>
      <c r="X97" s="59"/>
      <c r="Y97" s="59"/>
      <c r="Z97" s="59"/>
      <c r="AA97" s="59"/>
      <c r="AB97" s="59"/>
      <c r="AC97" s="59"/>
      <c r="AD97" s="59"/>
      <c r="AE97" s="60"/>
      <c r="AF97" s="61"/>
      <c r="AG97" s="56"/>
      <c r="AH97" s="56"/>
      <c r="AI97" s="56"/>
      <c r="AJ97" s="56"/>
    </row>
    <row r="98" spans="12:36" x14ac:dyDescent="0.25">
      <c r="U98" s="962"/>
      <c r="V98" s="58"/>
      <c r="W98" s="59"/>
      <c r="X98" s="59"/>
      <c r="Y98" s="59"/>
      <c r="Z98" s="59"/>
      <c r="AA98" s="59"/>
      <c r="AB98" s="59"/>
      <c r="AC98" s="59"/>
      <c r="AD98" s="59"/>
      <c r="AE98" s="60"/>
      <c r="AG98" s="56"/>
      <c r="AH98" s="56"/>
      <c r="AI98" s="56"/>
      <c r="AJ98" s="56"/>
    </row>
    <row r="99" spans="12:36" x14ac:dyDescent="0.25">
      <c r="U99" s="962"/>
      <c r="V99" s="58"/>
      <c r="W99" s="59"/>
      <c r="X99" s="59"/>
      <c r="Y99" s="59"/>
      <c r="Z99" s="59"/>
      <c r="AA99" s="59"/>
      <c r="AB99" s="59"/>
      <c r="AC99" s="59"/>
      <c r="AD99" s="59"/>
      <c r="AE99" s="60"/>
      <c r="AG99" s="56"/>
      <c r="AH99" s="56"/>
      <c r="AI99" s="56"/>
      <c r="AJ99" s="56"/>
    </row>
    <row r="102" spans="12:36" x14ac:dyDescent="0.25">
      <c r="L102" s="1" t="s">
        <v>844</v>
      </c>
    </row>
    <row r="103" spans="12:36" ht="21" customHeight="1" x14ac:dyDescent="0.25">
      <c r="L103" s="1" t="s">
        <v>845</v>
      </c>
    </row>
    <row r="104" spans="12:36" x14ac:dyDescent="0.25">
      <c r="L104" s="1" t="s">
        <v>846</v>
      </c>
    </row>
    <row r="105" spans="12:36" x14ac:dyDescent="0.25">
      <c r="L105" s="1" t="s">
        <v>847</v>
      </c>
    </row>
    <row r="106" spans="12:36" x14ac:dyDescent="0.25">
      <c r="L106" s="1" t="s">
        <v>848</v>
      </c>
    </row>
    <row r="107" spans="12:36" x14ac:dyDescent="0.25">
      <c r="L107" s="1" t="s">
        <v>818</v>
      </c>
      <c r="U107" s="6" t="s">
        <v>864</v>
      </c>
    </row>
    <row r="108" spans="12:36" x14ac:dyDescent="0.25">
      <c r="L108" s="1" t="s">
        <v>819</v>
      </c>
      <c r="V108" s="69" t="s">
        <v>157</v>
      </c>
      <c r="W108" s="1643">
        <v>23762.71</v>
      </c>
    </row>
    <row r="109" spans="12:36" x14ac:dyDescent="0.25">
      <c r="L109" s="1" t="s">
        <v>820</v>
      </c>
      <c r="V109" s="70" t="s">
        <v>283</v>
      </c>
      <c r="W109" s="1398">
        <v>9371.17</v>
      </c>
    </row>
    <row r="110" spans="12:36" x14ac:dyDescent="0.25">
      <c r="L110" s="1" t="s">
        <v>821</v>
      </c>
      <c r="V110" s="70" t="s">
        <v>863</v>
      </c>
      <c r="W110" s="1398">
        <v>26213.57</v>
      </c>
    </row>
    <row r="111" spans="12:36" x14ac:dyDescent="0.25">
      <c r="L111" s="1" t="s">
        <v>849</v>
      </c>
      <c r="V111" s="71" t="s">
        <v>285</v>
      </c>
      <c r="W111" s="1644">
        <v>83158.399999999994</v>
      </c>
    </row>
    <row r="112" spans="12:36" x14ac:dyDescent="0.25">
      <c r="L112" s="1" t="s">
        <v>850</v>
      </c>
    </row>
    <row r="113" spans="12:32" x14ac:dyDescent="0.25">
      <c r="L113" s="1" t="s">
        <v>851</v>
      </c>
      <c r="V113" s="4"/>
      <c r="W113" s="4"/>
    </row>
    <row r="114" spans="12:32" x14ac:dyDescent="0.25">
      <c r="L114" s="1" t="s">
        <v>852</v>
      </c>
      <c r="V114" s="4"/>
      <c r="W114" s="4"/>
      <c r="X114" s="4"/>
      <c r="Y114" s="4"/>
      <c r="Z114" s="4"/>
      <c r="AA114" s="4"/>
      <c r="AB114" s="4"/>
      <c r="AC114" s="4"/>
      <c r="AD114" s="4"/>
      <c r="AE114" s="4"/>
      <c r="AF114" s="4"/>
    </row>
    <row r="115" spans="12:32" x14ac:dyDescent="0.25">
      <c r="L115" s="1" t="s">
        <v>853</v>
      </c>
      <c r="V115" s="4"/>
      <c r="W115" s="4"/>
      <c r="X115" s="4"/>
      <c r="Y115" s="4"/>
      <c r="Z115" s="4"/>
      <c r="AA115" s="4"/>
      <c r="AB115" s="4"/>
      <c r="AC115" s="4"/>
      <c r="AD115" s="4"/>
      <c r="AE115" s="4"/>
      <c r="AF115" s="4"/>
    </row>
    <row r="116" spans="12:32" x14ac:dyDescent="0.25">
      <c r="L116" s="1" t="s">
        <v>854</v>
      </c>
      <c r="V116" s="4"/>
      <c r="W116" s="4"/>
      <c r="X116" s="4"/>
      <c r="Y116" s="4"/>
      <c r="Z116" s="4"/>
      <c r="AA116" s="4"/>
      <c r="AB116" s="4"/>
      <c r="AC116" s="4"/>
      <c r="AD116" s="4"/>
      <c r="AE116" s="4"/>
      <c r="AF116" s="4"/>
    </row>
    <row r="117" spans="12:32" x14ac:dyDescent="0.25">
      <c r="L117" s="1" t="s">
        <v>855</v>
      </c>
      <c r="V117" s="4"/>
      <c r="W117" s="4"/>
      <c r="X117" s="4"/>
      <c r="Y117" s="4"/>
      <c r="Z117" s="4"/>
      <c r="AA117" s="4"/>
      <c r="AB117" s="4"/>
      <c r="AC117" s="4"/>
      <c r="AD117" s="4"/>
      <c r="AE117" s="4"/>
      <c r="AF117" s="4"/>
    </row>
    <row r="118" spans="12:32" x14ac:dyDescent="0.25">
      <c r="L118" s="1" t="s">
        <v>856</v>
      </c>
      <c r="V118" s="4"/>
      <c r="W118" s="4"/>
      <c r="X118" s="4"/>
      <c r="Y118" s="4"/>
      <c r="Z118" s="4"/>
      <c r="AA118" s="4"/>
      <c r="AB118" s="4"/>
      <c r="AC118" s="4"/>
      <c r="AD118" s="4"/>
      <c r="AE118" s="4"/>
      <c r="AF118" s="4"/>
    </row>
    <row r="119" spans="12:32" x14ac:dyDescent="0.25">
      <c r="L119" s="1" t="s">
        <v>857</v>
      </c>
      <c r="V119" s="4"/>
      <c r="W119" s="4"/>
      <c r="X119" s="4"/>
      <c r="Y119" s="4"/>
      <c r="Z119" s="4"/>
      <c r="AA119" s="4"/>
      <c r="AB119" s="4"/>
      <c r="AC119" s="4"/>
      <c r="AD119" s="4"/>
      <c r="AE119" s="4"/>
      <c r="AF119" s="4"/>
    </row>
    <row r="120" spans="12:32" x14ac:dyDescent="0.25">
      <c r="L120" s="1" t="s">
        <v>822</v>
      </c>
      <c r="V120" s="4"/>
      <c r="W120" s="4"/>
      <c r="X120" s="4"/>
      <c r="Y120" s="4"/>
      <c r="Z120" s="4"/>
      <c r="AA120" s="4"/>
      <c r="AB120" s="4"/>
      <c r="AC120" s="4"/>
      <c r="AD120" s="4"/>
      <c r="AE120" s="4"/>
      <c r="AF120" s="4"/>
    </row>
    <row r="121" spans="12:32" x14ac:dyDescent="0.25">
      <c r="L121" s="1" t="s">
        <v>823</v>
      </c>
      <c r="V121" s="4"/>
      <c r="W121" s="4"/>
      <c r="X121" s="4"/>
      <c r="Y121" s="4"/>
      <c r="Z121" s="4"/>
      <c r="AA121" s="4"/>
      <c r="AB121" s="4"/>
      <c r="AC121" s="4"/>
      <c r="AD121" s="4"/>
      <c r="AE121" s="4"/>
      <c r="AF121" s="4"/>
    </row>
    <row r="122" spans="12:32" x14ac:dyDescent="0.25">
      <c r="L122" s="1" t="s">
        <v>824</v>
      </c>
      <c r="V122" s="4"/>
      <c r="W122" s="4"/>
      <c r="X122" s="4"/>
      <c r="Y122" s="4"/>
      <c r="Z122" s="4"/>
      <c r="AA122" s="4"/>
      <c r="AB122" s="4"/>
      <c r="AC122" s="4"/>
      <c r="AD122" s="4"/>
      <c r="AE122" s="4"/>
      <c r="AF122" s="4"/>
    </row>
    <row r="123" spans="12:32" x14ac:dyDescent="0.25">
      <c r="L123" s="1" t="s">
        <v>825</v>
      </c>
    </row>
    <row r="124" spans="12:32" x14ac:dyDescent="0.25">
      <c r="L124" s="1" t="s">
        <v>826</v>
      </c>
    </row>
    <row r="125" spans="12:32" x14ac:dyDescent="0.25">
      <c r="L125" s="1" t="s">
        <v>833</v>
      </c>
    </row>
    <row r="127" spans="12:32" x14ac:dyDescent="0.25">
      <c r="L127" s="1" t="s">
        <v>834</v>
      </c>
    </row>
    <row r="128" spans="12:32" x14ac:dyDescent="0.25">
      <c r="L128" s="1" t="s">
        <v>835</v>
      </c>
    </row>
    <row r="129" spans="12:12" x14ac:dyDescent="0.25">
      <c r="L129" s="1" t="s">
        <v>836</v>
      </c>
    </row>
    <row r="130" spans="12:12" x14ac:dyDescent="0.25">
      <c r="L130" s="1" t="s">
        <v>837</v>
      </c>
    </row>
    <row r="132" spans="12:12" x14ac:dyDescent="0.25">
      <c r="L132" s="1" t="s">
        <v>702</v>
      </c>
    </row>
    <row r="133" spans="12:12" x14ac:dyDescent="0.25">
      <c r="L133" s="1" t="s">
        <v>706</v>
      </c>
    </row>
    <row r="134" spans="12:12" x14ac:dyDescent="0.25">
      <c r="L134" s="1" t="s">
        <v>709</v>
      </c>
    </row>
    <row r="135" spans="12:12" x14ac:dyDescent="0.25">
      <c r="L135" s="1" t="s">
        <v>711</v>
      </c>
    </row>
  </sheetData>
  <mergeCells count="2">
    <mergeCell ref="W48:Z48"/>
    <mergeCell ref="W47:Z47"/>
  </mergeCells>
  <dataValidations disablePrompts="1" count="2">
    <dataValidation type="list" allowBlank="1" showInputMessage="1" showErrorMessage="1" sqref="V39">
      <formula1>$I$1:$I$28</formula1>
    </dataValidation>
    <dataValidation type="list" allowBlank="1" showInputMessage="1" showErrorMessage="1" sqref="V42">
      <formula1>$L$2:$L$140</formula1>
    </dataValidation>
  </dataValidations>
  <pageMargins left="0.23" right="0.2" top="0.75" bottom="0.75" header="0.3" footer="0.3"/>
  <pageSetup scale="50" orientation="landscape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9">
    <tabColor theme="4" tint="-0.499984740745262"/>
  </sheetPr>
  <dimension ref="A1:AJ135"/>
  <sheetViews>
    <sheetView showGridLines="0" topLeftCell="U75" zoomScale="80" zoomScaleNormal="80" workbookViewId="0">
      <selection activeCell="Y78" sqref="Y78"/>
    </sheetView>
  </sheetViews>
  <sheetFormatPr defaultColWidth="9.140625" defaultRowHeight="15" outlineLevelRow="1" outlineLevelCol="1" x14ac:dyDescent="0.25"/>
  <cols>
    <col min="1" max="1" width="29" style="1" hidden="1" customWidth="1" outlineLevel="1"/>
    <col min="2" max="2" width="9.140625" style="1" hidden="1" customWidth="1" outlineLevel="1"/>
    <col min="3" max="3" width="25.85546875" style="1" hidden="1" customWidth="1" outlineLevel="1"/>
    <col min="4" max="4" width="9.140625" style="1" hidden="1" customWidth="1" outlineLevel="1"/>
    <col min="5" max="5" width="34" style="1" hidden="1" customWidth="1" outlineLevel="1"/>
    <col min="6" max="7" width="9.140625" style="1" hidden="1" customWidth="1" outlineLevel="1"/>
    <col min="8" max="8" width="18.5703125" style="1" hidden="1" customWidth="1" outlineLevel="1"/>
    <col min="9" max="11" width="9.140625" style="1" hidden="1" customWidth="1" outlineLevel="1"/>
    <col min="12" max="12" width="18.42578125" style="1" hidden="1" customWidth="1" outlineLevel="1"/>
    <col min="13" max="14" width="24.5703125" style="1" hidden="1" customWidth="1" outlineLevel="1"/>
    <col min="15" max="15" width="9.140625" style="1" hidden="1" customWidth="1" outlineLevel="1"/>
    <col min="16" max="16" width="19.85546875" style="4" hidden="1" customWidth="1" outlineLevel="1"/>
    <col min="17" max="17" width="21.85546875" style="4" hidden="1" customWidth="1" outlineLevel="1"/>
    <col min="18" max="20" width="9.140625" style="1" hidden="1" customWidth="1" outlineLevel="1"/>
    <col min="21" max="21" width="18.85546875" style="4" customWidth="1" collapsed="1"/>
    <col min="22" max="22" width="29.140625" style="1" customWidth="1"/>
    <col min="23" max="23" width="14.5703125" style="1" customWidth="1"/>
    <col min="24" max="24" width="12.5703125" style="1" customWidth="1"/>
    <col min="25" max="25" width="13.140625" style="1" customWidth="1"/>
    <col min="26" max="26" width="11.42578125" style="1" customWidth="1"/>
    <col min="27" max="27" width="12.5703125" style="1" customWidth="1"/>
    <col min="28" max="28" width="13.85546875" style="1" customWidth="1"/>
    <col min="29" max="29" width="12.5703125" style="1" customWidth="1"/>
    <col min="30" max="30" width="12" style="1" customWidth="1"/>
    <col min="31" max="31" width="13" style="1" customWidth="1"/>
    <col min="32" max="32" width="5.140625" style="1" customWidth="1"/>
    <col min="33" max="33" width="12.5703125" style="1" customWidth="1"/>
    <col min="34" max="34" width="13.42578125" style="1" customWidth="1"/>
    <col min="35" max="35" width="12.42578125" style="1" customWidth="1"/>
    <col min="36" max="36" width="15.140625" style="1" customWidth="1"/>
    <col min="37" max="37" width="5.140625" style="1" customWidth="1"/>
    <col min="38" max="16384" width="9.140625" style="1"/>
  </cols>
  <sheetData>
    <row r="1" spans="1:19" ht="15" hidden="1" customHeight="1" outlineLevel="1" x14ac:dyDescent="0.25">
      <c r="A1" s="1" t="s">
        <v>615</v>
      </c>
      <c r="C1" s="1" t="s">
        <v>616</v>
      </c>
      <c r="E1" s="1" t="s">
        <v>617</v>
      </c>
      <c r="F1" s="1" t="s">
        <v>618</v>
      </c>
      <c r="H1" s="1" t="s">
        <v>619</v>
      </c>
      <c r="I1" s="1" t="s">
        <v>620</v>
      </c>
      <c r="J1" s="2" t="s">
        <v>621</v>
      </c>
      <c r="K1" s="1">
        <v>2013</v>
      </c>
      <c r="L1" s="3" t="s">
        <v>622</v>
      </c>
      <c r="M1" s="3" t="s">
        <v>623</v>
      </c>
      <c r="N1" s="3" t="s">
        <v>624</v>
      </c>
      <c r="O1" s="1" t="s">
        <v>625</v>
      </c>
      <c r="P1" s="4" t="s">
        <v>626</v>
      </c>
      <c r="Q1" s="4" t="s">
        <v>627</v>
      </c>
      <c r="R1" s="4">
        <v>6012</v>
      </c>
      <c r="S1" s="1" t="s">
        <v>862</v>
      </c>
    </row>
    <row r="2" spans="1:19" ht="15" hidden="1" customHeight="1" outlineLevel="1" x14ac:dyDescent="0.25">
      <c r="A2" s="1" t="s">
        <v>628</v>
      </c>
      <c r="C2" s="1" t="s">
        <v>628</v>
      </c>
      <c r="E2" s="1" t="s">
        <v>628</v>
      </c>
      <c r="F2" s="1" t="s">
        <v>629</v>
      </c>
      <c r="H2" s="1" t="s">
        <v>630</v>
      </c>
      <c r="I2" s="1" t="s">
        <v>631</v>
      </c>
      <c r="J2" s="2" t="s">
        <v>632</v>
      </c>
      <c r="K2" s="1">
        <v>2014</v>
      </c>
      <c r="L2" s="173" t="s">
        <v>633</v>
      </c>
      <c r="M2" s="173" t="s">
        <v>634</v>
      </c>
      <c r="N2" s="173">
        <v>78758</v>
      </c>
      <c r="O2" s="1" t="s">
        <v>635</v>
      </c>
      <c r="P2" s="4" t="s">
        <v>229</v>
      </c>
      <c r="Q2" s="4" t="s">
        <v>636</v>
      </c>
      <c r="R2" s="4">
        <v>6015</v>
      </c>
      <c r="S2" s="1" t="s">
        <v>283</v>
      </c>
    </row>
    <row r="3" spans="1:19" ht="15" hidden="1" customHeight="1" outlineLevel="1" x14ac:dyDescent="0.25">
      <c r="A3" s="1" t="s">
        <v>637</v>
      </c>
      <c r="C3" s="1" t="s">
        <v>637</v>
      </c>
      <c r="E3" s="1" t="s">
        <v>638</v>
      </c>
      <c r="F3" s="1" t="s">
        <v>639</v>
      </c>
      <c r="H3" s="1" t="s">
        <v>640</v>
      </c>
      <c r="I3" s="1" t="s">
        <v>641</v>
      </c>
      <c r="J3" s="2" t="s">
        <v>642</v>
      </c>
      <c r="K3" s="1">
        <v>2015</v>
      </c>
      <c r="L3" s="173" t="s">
        <v>643</v>
      </c>
      <c r="M3" s="173" t="s">
        <v>644</v>
      </c>
      <c r="N3" s="173">
        <v>78229</v>
      </c>
      <c r="P3" s="4" t="s">
        <v>645</v>
      </c>
      <c r="Q3" s="4" t="s">
        <v>646</v>
      </c>
      <c r="R3" s="4" t="s">
        <v>860</v>
      </c>
      <c r="S3" s="1" t="s">
        <v>863</v>
      </c>
    </row>
    <row r="4" spans="1:19" ht="15" hidden="1" customHeight="1" outlineLevel="1" x14ac:dyDescent="0.25">
      <c r="A4" s="1" t="s">
        <v>647</v>
      </c>
      <c r="C4" s="1" t="s">
        <v>647</v>
      </c>
      <c r="E4" s="1" t="s">
        <v>648</v>
      </c>
      <c r="F4" s="1" t="s">
        <v>649</v>
      </c>
      <c r="H4" s="1" t="s">
        <v>650</v>
      </c>
      <c r="I4" s="1" t="s">
        <v>651</v>
      </c>
      <c r="J4" s="2" t="s">
        <v>652</v>
      </c>
      <c r="K4" s="1">
        <v>2016</v>
      </c>
      <c r="L4" s="173" t="s">
        <v>653</v>
      </c>
      <c r="M4" s="173" t="s">
        <v>654</v>
      </c>
      <c r="N4" s="173">
        <v>94600</v>
      </c>
      <c r="P4" s="4" t="s">
        <v>655</v>
      </c>
      <c r="Q4" s="4" t="s">
        <v>656</v>
      </c>
      <c r="R4" s="4" t="s">
        <v>861</v>
      </c>
      <c r="S4" s="1" t="s">
        <v>285</v>
      </c>
    </row>
    <row r="5" spans="1:19" ht="15" hidden="1" customHeight="1" outlineLevel="1" x14ac:dyDescent="0.25">
      <c r="A5" s="1" t="s">
        <v>657</v>
      </c>
      <c r="C5" s="1" t="s">
        <v>658</v>
      </c>
      <c r="E5" s="1" t="s">
        <v>637</v>
      </c>
      <c r="F5" s="1" t="s">
        <v>79</v>
      </c>
      <c r="H5" s="1" t="s">
        <v>659</v>
      </c>
      <c r="I5" s="1" t="s">
        <v>660</v>
      </c>
      <c r="J5" s="2" t="s">
        <v>661</v>
      </c>
      <c r="K5" s="1">
        <v>2017</v>
      </c>
      <c r="L5" s="173" t="s">
        <v>662</v>
      </c>
      <c r="M5" s="173" t="s">
        <v>663</v>
      </c>
      <c r="N5" s="173">
        <v>95240</v>
      </c>
      <c r="Q5" s="4" t="s">
        <v>664</v>
      </c>
      <c r="R5" s="4">
        <v>6020</v>
      </c>
    </row>
    <row r="6" spans="1:19" ht="15" hidden="1" customHeight="1" outlineLevel="1" x14ac:dyDescent="0.25">
      <c r="A6" s="1" t="s">
        <v>658</v>
      </c>
      <c r="C6" s="1" t="s">
        <v>665</v>
      </c>
      <c r="E6" s="1" t="s">
        <v>657</v>
      </c>
      <c r="F6" s="1" t="s">
        <v>666</v>
      </c>
      <c r="I6" s="1" t="s">
        <v>667</v>
      </c>
      <c r="J6" s="2" t="s">
        <v>668</v>
      </c>
      <c r="L6" s="173" t="s">
        <v>669</v>
      </c>
      <c r="M6" s="173" t="s">
        <v>878</v>
      </c>
      <c r="N6" s="173" t="s">
        <v>877</v>
      </c>
      <c r="Q6" s="4" t="s">
        <v>670</v>
      </c>
      <c r="R6" s="4" t="s">
        <v>671</v>
      </c>
    </row>
    <row r="7" spans="1:19" ht="15" hidden="1" customHeight="1" outlineLevel="1" x14ac:dyDescent="0.25">
      <c r="A7" s="1" t="s">
        <v>672</v>
      </c>
      <c r="C7" s="1" t="s">
        <v>673</v>
      </c>
      <c r="E7" s="1" t="s">
        <v>647</v>
      </c>
      <c r="F7" s="1" t="s">
        <v>674</v>
      </c>
      <c r="I7" s="1" t="s">
        <v>675</v>
      </c>
      <c r="J7" s="1" t="s">
        <v>676</v>
      </c>
      <c r="L7" s="173" t="s">
        <v>677</v>
      </c>
      <c r="Q7" s="4" t="s">
        <v>678</v>
      </c>
      <c r="R7" s="4" t="s">
        <v>679</v>
      </c>
    </row>
    <row r="8" spans="1:19" ht="15" hidden="1" customHeight="1" outlineLevel="1" x14ac:dyDescent="0.25">
      <c r="A8" s="1" t="s">
        <v>680</v>
      </c>
      <c r="C8" s="1" t="s">
        <v>648</v>
      </c>
      <c r="E8" s="1" t="s">
        <v>658</v>
      </c>
      <c r="F8" s="1" t="s">
        <v>626</v>
      </c>
      <c r="I8" s="1" t="s">
        <v>681</v>
      </c>
      <c r="L8" s="173" t="s">
        <v>682</v>
      </c>
      <c r="Q8" s="4" t="s">
        <v>115</v>
      </c>
      <c r="R8" s="4" t="s">
        <v>683</v>
      </c>
    </row>
    <row r="9" spans="1:19" ht="15" hidden="1" customHeight="1" outlineLevel="1" x14ac:dyDescent="0.25">
      <c r="A9" s="1" t="s">
        <v>648</v>
      </c>
      <c r="C9" s="1" t="s">
        <v>638</v>
      </c>
      <c r="E9" s="1" t="s">
        <v>684</v>
      </c>
      <c r="I9" s="1" t="s">
        <v>685</v>
      </c>
      <c r="L9" s="173" t="s">
        <v>686</v>
      </c>
      <c r="R9" s="1">
        <v>6115</v>
      </c>
    </row>
    <row r="10" spans="1:19" ht="15" hidden="1" customHeight="1" outlineLevel="1" x14ac:dyDescent="0.25">
      <c r="A10" s="1" t="s">
        <v>638</v>
      </c>
      <c r="C10" s="1" t="s">
        <v>687</v>
      </c>
      <c r="E10" s="1" t="s">
        <v>688</v>
      </c>
      <c r="F10" s="1" t="s">
        <v>634</v>
      </c>
      <c r="I10" s="1" t="s">
        <v>689</v>
      </c>
      <c r="L10" s="173" t="s">
        <v>690</v>
      </c>
    </row>
    <row r="11" spans="1:19" ht="15" hidden="1" customHeight="1" outlineLevel="1" x14ac:dyDescent="0.25">
      <c r="E11" s="1" t="s">
        <v>691</v>
      </c>
      <c r="F11" s="1" t="s">
        <v>644</v>
      </c>
      <c r="I11" s="1" t="s">
        <v>692</v>
      </c>
      <c r="L11" s="173" t="s">
        <v>693</v>
      </c>
    </row>
    <row r="12" spans="1:19" ht="15" hidden="1" customHeight="1" outlineLevel="1" x14ac:dyDescent="0.25">
      <c r="A12" s="1" t="s">
        <v>694</v>
      </c>
      <c r="F12" s="1" t="s">
        <v>654</v>
      </c>
      <c r="I12" s="1" t="s">
        <v>695</v>
      </c>
      <c r="L12" s="173" t="s">
        <v>696</v>
      </c>
    </row>
    <row r="13" spans="1:19" ht="15" hidden="1" customHeight="1" outlineLevel="1" x14ac:dyDescent="0.25">
      <c r="A13" s="1" t="s">
        <v>628</v>
      </c>
      <c r="C13" s="1" t="s">
        <v>697</v>
      </c>
      <c r="F13" s="1" t="s">
        <v>663</v>
      </c>
      <c r="I13" s="1" t="s">
        <v>698</v>
      </c>
      <c r="L13" s="3" t="s">
        <v>622</v>
      </c>
    </row>
    <row r="14" spans="1:19" ht="15" hidden="1" customHeight="1" outlineLevel="1" x14ac:dyDescent="0.25">
      <c r="A14" s="1" t="s">
        <v>699</v>
      </c>
      <c r="B14" s="1" t="s">
        <v>645</v>
      </c>
      <c r="C14" s="1" t="s">
        <v>700</v>
      </c>
      <c r="F14" s="1" t="s">
        <v>640</v>
      </c>
      <c r="I14" s="1" t="s">
        <v>701</v>
      </c>
      <c r="L14" s="173" t="s">
        <v>702</v>
      </c>
    </row>
    <row r="15" spans="1:19" ht="15" hidden="1" customHeight="1" outlineLevel="1" x14ac:dyDescent="0.25">
      <c r="A15" s="1" t="s">
        <v>703</v>
      </c>
      <c r="B15" s="1" t="s">
        <v>229</v>
      </c>
      <c r="C15" s="1" t="s">
        <v>704</v>
      </c>
      <c r="I15" s="1" t="s">
        <v>705</v>
      </c>
      <c r="L15" s="173" t="s">
        <v>706</v>
      </c>
    </row>
    <row r="16" spans="1:19" ht="15" hidden="1" customHeight="1" outlineLevel="1" x14ac:dyDescent="0.25">
      <c r="A16" s="1" t="s">
        <v>647</v>
      </c>
      <c r="B16" s="1" t="s">
        <v>707</v>
      </c>
      <c r="F16" s="1">
        <v>78758</v>
      </c>
      <c r="I16" s="1" t="s">
        <v>708</v>
      </c>
      <c r="L16" s="173" t="s">
        <v>709</v>
      </c>
    </row>
    <row r="17" spans="1:12" ht="15" hidden="1" customHeight="1" outlineLevel="1" x14ac:dyDescent="0.25">
      <c r="A17" s="1" t="s">
        <v>648</v>
      </c>
      <c r="I17" s="1" t="s">
        <v>710</v>
      </c>
      <c r="L17" s="173" t="s">
        <v>711</v>
      </c>
    </row>
    <row r="18" spans="1:12" ht="15" hidden="1" customHeight="1" outlineLevel="1" x14ac:dyDescent="0.25">
      <c r="A18" s="1" t="s">
        <v>638</v>
      </c>
      <c r="F18" s="1" t="s">
        <v>712</v>
      </c>
      <c r="I18" s="1" t="s">
        <v>713</v>
      </c>
      <c r="L18" s="3" t="s">
        <v>622</v>
      </c>
    </row>
    <row r="19" spans="1:12" ht="15" hidden="1" customHeight="1" outlineLevel="1" x14ac:dyDescent="0.25">
      <c r="A19" s="1" t="s">
        <v>714</v>
      </c>
      <c r="B19" s="1" t="s">
        <v>655</v>
      </c>
      <c r="F19" s="1" t="s">
        <v>715</v>
      </c>
      <c r="I19" s="1" t="s">
        <v>716</v>
      </c>
      <c r="L19" s="173" t="s">
        <v>717</v>
      </c>
    </row>
    <row r="20" spans="1:12" ht="15" hidden="1" customHeight="1" outlineLevel="1" x14ac:dyDescent="0.25">
      <c r="A20" s="1" t="s">
        <v>718</v>
      </c>
      <c r="F20" s="1" t="s">
        <v>719</v>
      </c>
      <c r="I20" s="1" t="s">
        <v>720</v>
      </c>
      <c r="L20" s="173" t="s">
        <v>721</v>
      </c>
    </row>
    <row r="21" spans="1:12" ht="15" hidden="1" customHeight="1" outlineLevel="1" x14ac:dyDescent="0.25">
      <c r="F21" s="1" t="s">
        <v>722</v>
      </c>
      <c r="I21" s="1" t="s">
        <v>723</v>
      </c>
      <c r="L21" s="173" t="s">
        <v>724</v>
      </c>
    </row>
    <row r="22" spans="1:12" ht="15" hidden="1" customHeight="1" outlineLevel="1" x14ac:dyDescent="0.25">
      <c r="I22" s="1" t="s">
        <v>725</v>
      </c>
      <c r="L22" s="173" t="s">
        <v>726</v>
      </c>
    </row>
    <row r="23" spans="1:12" ht="15" hidden="1" customHeight="1" outlineLevel="1" x14ac:dyDescent="0.25">
      <c r="I23" s="1" t="s">
        <v>727</v>
      </c>
      <c r="L23" s="173" t="s">
        <v>728</v>
      </c>
    </row>
    <row r="24" spans="1:12" ht="15" hidden="1" customHeight="1" outlineLevel="1" x14ac:dyDescent="0.25">
      <c r="I24" s="1" t="s">
        <v>729</v>
      </c>
      <c r="L24" s="173" t="s">
        <v>730</v>
      </c>
    </row>
    <row r="25" spans="1:12" ht="15" hidden="1" customHeight="1" outlineLevel="1" x14ac:dyDescent="0.25">
      <c r="I25" s="1" t="s">
        <v>194</v>
      </c>
      <c r="L25" s="173" t="s">
        <v>731</v>
      </c>
    </row>
    <row r="26" spans="1:12" ht="15" hidden="1" customHeight="1" outlineLevel="1" x14ac:dyDescent="0.25">
      <c r="L26" s="173" t="s">
        <v>732</v>
      </c>
    </row>
    <row r="27" spans="1:12" ht="20.25" hidden="1" customHeight="1" outlineLevel="1" x14ac:dyDescent="0.25">
      <c r="L27" s="173" t="s">
        <v>733</v>
      </c>
    </row>
    <row r="28" spans="1:12" ht="15" hidden="1" customHeight="1" outlineLevel="1" x14ac:dyDescent="0.25">
      <c r="L28" s="173" t="s">
        <v>734</v>
      </c>
    </row>
    <row r="29" spans="1:12" ht="15" hidden="1" customHeight="1" outlineLevel="1" x14ac:dyDescent="0.25">
      <c r="L29" s="173" t="s">
        <v>735</v>
      </c>
    </row>
    <row r="30" spans="1:12" ht="15" hidden="1" customHeight="1" outlineLevel="1" x14ac:dyDescent="0.25">
      <c r="L30" s="173" t="s">
        <v>736</v>
      </c>
    </row>
    <row r="31" spans="1:12" ht="15" hidden="1" customHeight="1" outlineLevel="1" x14ac:dyDescent="0.25">
      <c r="L31" s="173" t="s">
        <v>737</v>
      </c>
    </row>
    <row r="32" spans="1:12" ht="15" hidden="1" customHeight="1" outlineLevel="1" x14ac:dyDescent="0.25">
      <c r="L32" s="173" t="s">
        <v>738</v>
      </c>
    </row>
    <row r="33" spans="12:36" ht="15" hidden="1" customHeight="1" outlineLevel="1" x14ac:dyDescent="0.25">
      <c r="L33" s="173" t="s">
        <v>739</v>
      </c>
    </row>
    <row r="34" spans="12:36" ht="15" hidden="1" customHeight="1" outlineLevel="1" x14ac:dyDescent="0.25">
      <c r="L34" s="173" t="s">
        <v>740</v>
      </c>
    </row>
    <row r="35" spans="12:36" ht="15" hidden="1" customHeight="1" outlineLevel="1" x14ac:dyDescent="0.25">
      <c r="L35" s="173" t="s">
        <v>741</v>
      </c>
    </row>
    <row r="36" spans="12:36" ht="20.25" collapsed="1" x14ac:dyDescent="0.3">
      <c r="L36" s="173" t="s">
        <v>742</v>
      </c>
      <c r="V36" s="1369" t="s">
        <v>1064</v>
      </c>
    </row>
    <row r="37" spans="12:36" x14ac:dyDescent="0.25">
      <c r="L37" s="173" t="s">
        <v>743</v>
      </c>
    </row>
    <row r="38" spans="12:36" x14ac:dyDescent="0.25">
      <c r="L38" s="173" t="s">
        <v>744</v>
      </c>
      <c r="U38" s="5" t="s">
        <v>745</v>
      </c>
      <c r="V38" s="1408">
        <v>2018</v>
      </c>
    </row>
    <row r="39" spans="12:36" x14ac:dyDescent="0.25">
      <c r="L39" s="173" t="s">
        <v>746</v>
      </c>
      <c r="U39" s="5" t="s">
        <v>747</v>
      </c>
      <c r="V39" s="1408" t="s">
        <v>729</v>
      </c>
      <c r="X39"/>
      <c r="Y39"/>
      <c r="Z39"/>
      <c r="AA39"/>
      <c r="AB39"/>
    </row>
    <row r="40" spans="12:36" x14ac:dyDescent="0.25">
      <c r="L40" s="173"/>
      <c r="U40" s="1"/>
      <c r="X40"/>
      <c r="Y40"/>
      <c r="Z40"/>
      <c r="AA40"/>
      <c r="AB40"/>
    </row>
    <row r="41" spans="12:36" x14ac:dyDescent="0.25">
      <c r="L41" s="3" t="s">
        <v>623</v>
      </c>
      <c r="U41" s="1"/>
      <c r="X41"/>
      <c r="Y41"/>
      <c r="Z41"/>
      <c r="AA41"/>
      <c r="AB41"/>
    </row>
    <row r="42" spans="12:36" x14ac:dyDescent="0.25">
      <c r="L42" s="1" t="s">
        <v>748</v>
      </c>
      <c r="U42" s="5" t="s">
        <v>749</v>
      </c>
      <c r="V42" s="1408" t="s">
        <v>787</v>
      </c>
      <c r="X42"/>
      <c r="Y42"/>
      <c r="Z42"/>
      <c r="AA42"/>
      <c r="AB42"/>
    </row>
    <row r="43" spans="12:36" x14ac:dyDescent="0.25">
      <c r="L43" s="1" t="s">
        <v>750</v>
      </c>
      <c r="U43" s="5"/>
      <c r="V43" s="1408"/>
      <c r="X43"/>
      <c r="Y43"/>
      <c r="Z43"/>
      <c r="AA43"/>
      <c r="AB43"/>
    </row>
    <row r="44" spans="12:36" x14ac:dyDescent="0.25">
      <c r="L44" s="1" t="s">
        <v>752</v>
      </c>
      <c r="U44" s="5"/>
      <c r="V44" s="1408"/>
      <c r="X44"/>
      <c r="Y44"/>
      <c r="Z44"/>
      <c r="AA44"/>
      <c r="AB44"/>
    </row>
    <row r="45" spans="12:36" x14ac:dyDescent="0.25">
      <c r="L45" s="1" t="s">
        <v>754</v>
      </c>
      <c r="X45"/>
      <c r="Y45"/>
      <c r="Z45"/>
      <c r="AA45"/>
      <c r="AB45"/>
    </row>
    <row r="46" spans="12:36" x14ac:dyDescent="0.25">
      <c r="L46" s="1" t="s">
        <v>755</v>
      </c>
    </row>
    <row r="47" spans="12:36" x14ac:dyDescent="0.25">
      <c r="L47" s="1" t="s">
        <v>756</v>
      </c>
      <c r="W47" s="1567" t="s">
        <v>757</v>
      </c>
      <c r="X47" s="1568"/>
      <c r="Y47" s="1568"/>
      <c r="Z47" s="1569"/>
      <c r="AB47" s="1567"/>
      <c r="AC47" s="1568"/>
      <c r="AD47" s="1568"/>
      <c r="AE47" s="1569"/>
      <c r="AG47" s="1567"/>
      <c r="AH47" s="1568"/>
      <c r="AI47" s="1568"/>
      <c r="AJ47" s="1569"/>
    </row>
    <row r="48" spans="12:36" x14ac:dyDescent="0.25">
      <c r="L48" s="1" t="s">
        <v>760</v>
      </c>
      <c r="W48" s="1567" t="s">
        <v>787</v>
      </c>
      <c r="X48" s="1568"/>
      <c r="Y48" s="1568"/>
      <c r="Z48" s="1569"/>
      <c r="AB48" s="1567"/>
      <c r="AC48" s="1568"/>
      <c r="AD48" s="1568"/>
      <c r="AE48" s="1569"/>
      <c r="AG48" s="1567"/>
      <c r="AH48" s="1568"/>
      <c r="AI48" s="1568"/>
      <c r="AJ48" s="1569"/>
    </row>
    <row r="49" spans="12:36" x14ac:dyDescent="0.25">
      <c r="L49" s="1" t="s">
        <v>761</v>
      </c>
    </row>
    <row r="50" spans="12:36" x14ac:dyDescent="0.25">
      <c r="L50" s="1" t="s">
        <v>762</v>
      </c>
      <c r="U50" s="6" t="s">
        <v>88</v>
      </c>
    </row>
    <row r="51" spans="12:36" x14ac:dyDescent="0.25">
      <c r="L51" s="1" t="s">
        <v>763</v>
      </c>
      <c r="V51" s="7"/>
      <c r="W51" s="8"/>
      <c r="X51" s="9"/>
      <c r="Y51" s="9" t="s">
        <v>78</v>
      </c>
      <c r="Z51" s="10" t="s">
        <v>83</v>
      </c>
      <c r="AA51" s="9"/>
      <c r="AB51" s="8"/>
      <c r="AC51" s="9"/>
      <c r="AD51" s="9"/>
      <c r="AE51" s="10"/>
      <c r="AF51" s="9"/>
      <c r="AG51" s="8"/>
      <c r="AH51" s="9"/>
      <c r="AI51" s="9"/>
      <c r="AJ51" s="10"/>
    </row>
    <row r="52" spans="12:36" x14ac:dyDescent="0.25">
      <c r="L52" s="1" t="s">
        <v>764</v>
      </c>
      <c r="V52" s="11" t="s">
        <v>47</v>
      </c>
      <c r="W52" s="12"/>
      <c r="X52" s="13"/>
      <c r="Y52" s="13">
        <v>330.11999999999995</v>
      </c>
      <c r="Z52" s="14">
        <v>0</v>
      </c>
      <c r="AA52" s="13"/>
      <c r="AB52" s="12"/>
      <c r="AC52" s="13"/>
      <c r="AD52" s="13"/>
      <c r="AE52" s="14"/>
      <c r="AF52" s="13"/>
      <c r="AG52" s="12"/>
      <c r="AH52" s="13"/>
      <c r="AI52" s="13"/>
      <c r="AJ52" s="14"/>
    </row>
    <row r="53" spans="12:36" x14ac:dyDescent="0.25">
      <c r="L53" s="1" t="s">
        <v>765</v>
      </c>
      <c r="V53" s="11" t="s">
        <v>766</v>
      </c>
      <c r="W53" s="12"/>
      <c r="X53" s="13"/>
      <c r="Y53" s="13">
        <v>593.31233126834047</v>
      </c>
      <c r="Z53" s="14">
        <v>0</v>
      </c>
      <c r="AA53" s="13"/>
      <c r="AB53" s="12"/>
      <c r="AC53" s="13"/>
      <c r="AD53" s="13"/>
      <c r="AE53" s="14"/>
      <c r="AF53" s="13"/>
      <c r="AG53" s="12"/>
      <c r="AH53" s="13"/>
      <c r="AI53" s="13"/>
      <c r="AJ53" s="14"/>
    </row>
    <row r="54" spans="12:36" x14ac:dyDescent="0.25">
      <c r="L54" s="1" t="s">
        <v>767</v>
      </c>
      <c r="V54" s="11" t="s">
        <v>768</v>
      </c>
      <c r="W54" s="12"/>
      <c r="X54" s="13"/>
      <c r="Y54" s="13">
        <v>387.66181660899645</v>
      </c>
      <c r="Z54" s="14">
        <v>340.02599999999995</v>
      </c>
      <c r="AA54" s="13"/>
      <c r="AB54" s="12"/>
      <c r="AC54" s="13"/>
      <c r="AD54" s="13"/>
      <c r="AE54" s="14"/>
      <c r="AF54" s="13"/>
      <c r="AG54" s="12"/>
      <c r="AH54" s="13"/>
      <c r="AI54" s="13"/>
      <c r="AJ54" s="14"/>
    </row>
    <row r="55" spans="12:36" x14ac:dyDescent="0.25">
      <c r="L55" s="1" t="s">
        <v>769</v>
      </c>
      <c r="V55" s="11" t="s">
        <v>770</v>
      </c>
      <c r="W55" s="12"/>
      <c r="X55" s="13"/>
      <c r="Y55" s="13">
        <v>362.1350109079242</v>
      </c>
      <c r="Z55" s="14">
        <v>0</v>
      </c>
      <c r="AA55" s="13"/>
      <c r="AB55" s="12"/>
      <c r="AC55" s="13"/>
      <c r="AD55" s="13"/>
      <c r="AE55" s="14"/>
      <c r="AF55" s="13"/>
      <c r="AG55" s="12"/>
      <c r="AH55" s="13"/>
      <c r="AI55" s="13"/>
      <c r="AJ55" s="14"/>
    </row>
    <row r="56" spans="12:36" x14ac:dyDescent="0.25">
      <c r="L56" s="1" t="s">
        <v>771</v>
      </c>
      <c r="V56" s="15" t="s">
        <v>640</v>
      </c>
      <c r="W56" s="16"/>
      <c r="X56" s="17"/>
      <c r="Y56" s="17">
        <v>378.39901748792801</v>
      </c>
      <c r="Z56" s="18">
        <v>376.40690928495195</v>
      </c>
      <c r="AA56" s="17"/>
      <c r="AB56" s="16"/>
      <c r="AC56" s="17"/>
      <c r="AD56" s="17"/>
      <c r="AE56" s="18"/>
      <c r="AF56" s="17"/>
      <c r="AG56" s="16"/>
      <c r="AH56" s="17"/>
      <c r="AI56" s="17"/>
      <c r="AJ56" s="18"/>
    </row>
    <row r="57" spans="12:36" x14ac:dyDescent="0.25">
      <c r="L57" s="1" t="s">
        <v>772</v>
      </c>
    </row>
    <row r="58" spans="12:36" x14ac:dyDescent="0.25">
      <c r="L58" s="1" t="s">
        <v>773</v>
      </c>
    </row>
    <row r="59" spans="12:36" x14ac:dyDescent="0.25">
      <c r="L59" s="1" t="s">
        <v>774</v>
      </c>
    </row>
    <row r="60" spans="12:36" x14ac:dyDescent="0.25">
      <c r="L60" s="1" t="s">
        <v>775</v>
      </c>
      <c r="U60" s="6" t="s">
        <v>776</v>
      </c>
      <c r="Y60" s="83"/>
    </row>
    <row r="61" spans="12:36" x14ac:dyDescent="0.25">
      <c r="L61" s="1" t="s">
        <v>777</v>
      </c>
      <c r="V61" s="19" t="s">
        <v>47</v>
      </c>
      <c r="W61" s="20"/>
      <c r="X61" s="21"/>
      <c r="Y61" s="1601">
        <v>2.0415012025281055E-2</v>
      </c>
      <c r="Z61" s="22">
        <v>0</v>
      </c>
      <c r="AA61" s="23"/>
      <c r="AB61" s="20"/>
      <c r="AC61" s="21"/>
      <c r="AD61" s="21"/>
      <c r="AE61" s="22"/>
      <c r="AF61" s="23"/>
      <c r="AG61" s="20"/>
      <c r="AH61" s="21"/>
      <c r="AI61" s="21"/>
      <c r="AJ61" s="22"/>
    </row>
    <row r="62" spans="12:36" x14ac:dyDescent="0.25">
      <c r="L62" s="1" t="s">
        <v>778</v>
      </c>
      <c r="V62" s="11" t="s">
        <v>766</v>
      </c>
      <c r="W62" s="24"/>
      <c r="X62" s="25"/>
      <c r="Y62" s="1602">
        <v>0.17154203255215617</v>
      </c>
      <c r="Z62" s="26">
        <v>0</v>
      </c>
      <c r="AB62" s="24"/>
      <c r="AC62" s="25"/>
      <c r="AD62" s="25"/>
      <c r="AE62" s="26"/>
      <c r="AG62" s="24"/>
      <c r="AH62" s="25"/>
      <c r="AI62" s="25"/>
      <c r="AJ62" s="26"/>
    </row>
    <row r="63" spans="12:36" x14ac:dyDescent="0.25">
      <c r="L63" s="1" t="s">
        <v>779</v>
      </c>
      <c r="V63" s="11" t="s">
        <v>768</v>
      </c>
      <c r="W63" s="24"/>
      <c r="X63" s="25"/>
      <c r="Y63" s="1602">
        <v>1.6164215000838974E-2</v>
      </c>
      <c r="Z63" s="26">
        <v>1.6008537886872998E-2</v>
      </c>
      <c r="AB63" s="24"/>
      <c r="AC63" s="25"/>
      <c r="AD63" s="25"/>
      <c r="AE63" s="26"/>
      <c r="AG63" s="24"/>
      <c r="AH63" s="25"/>
      <c r="AI63" s="25"/>
      <c r="AJ63" s="26"/>
    </row>
    <row r="64" spans="12:36" x14ac:dyDescent="0.25">
      <c r="L64" s="1" t="s">
        <v>780</v>
      </c>
      <c r="V64" s="11" t="s">
        <v>48</v>
      </c>
      <c r="W64" s="24"/>
      <c r="X64" s="25"/>
      <c r="Y64" s="1602">
        <v>0.5187091000615246</v>
      </c>
      <c r="Z64" s="26">
        <v>0.96584845250800422</v>
      </c>
      <c r="AB64" s="24"/>
      <c r="AC64" s="25"/>
      <c r="AD64" s="25"/>
      <c r="AE64" s="26"/>
      <c r="AG64" s="24"/>
      <c r="AH64" s="25"/>
      <c r="AI64" s="25"/>
      <c r="AJ64" s="26"/>
    </row>
    <row r="65" spans="12:36" x14ac:dyDescent="0.25">
      <c r="L65" s="1" t="s">
        <v>781</v>
      </c>
      <c r="V65" s="11" t="s">
        <v>49</v>
      </c>
      <c r="W65" s="24"/>
      <c r="X65" s="25"/>
      <c r="Y65" s="1602">
        <v>0.21505677051289218</v>
      </c>
      <c r="Z65" s="26">
        <v>1.8143009605122731E-2</v>
      </c>
      <c r="AB65" s="24"/>
      <c r="AC65" s="25"/>
      <c r="AD65" s="25"/>
      <c r="AE65" s="26"/>
      <c r="AG65" s="24"/>
      <c r="AH65" s="25"/>
      <c r="AI65" s="25"/>
      <c r="AJ65" s="26"/>
    </row>
    <row r="66" spans="12:36" x14ac:dyDescent="0.25">
      <c r="L66" s="1" t="s">
        <v>782</v>
      </c>
      <c r="V66" s="11" t="s">
        <v>770</v>
      </c>
      <c r="W66" s="24"/>
      <c r="X66" s="25"/>
      <c r="Y66" s="1602">
        <v>5.8112869847306896E-2</v>
      </c>
      <c r="Z66" s="26">
        <v>0</v>
      </c>
      <c r="AB66" s="24"/>
      <c r="AC66" s="25"/>
      <c r="AD66" s="25"/>
      <c r="AE66" s="26"/>
      <c r="AG66" s="24"/>
      <c r="AH66" s="25"/>
      <c r="AI66" s="25"/>
      <c r="AJ66" s="26"/>
    </row>
    <row r="67" spans="12:36" x14ac:dyDescent="0.25">
      <c r="L67" s="1" t="s">
        <v>783</v>
      </c>
      <c r="V67" s="15" t="s">
        <v>640</v>
      </c>
      <c r="W67" s="27"/>
      <c r="X67" s="28"/>
      <c r="Y67" s="28">
        <v>1</v>
      </c>
      <c r="Z67" s="29">
        <v>1</v>
      </c>
      <c r="AA67" s="30"/>
      <c r="AB67" s="27"/>
      <c r="AC67" s="28"/>
      <c r="AD67" s="28"/>
      <c r="AE67" s="29"/>
      <c r="AF67" s="30"/>
      <c r="AG67" s="27"/>
      <c r="AH67" s="28"/>
      <c r="AI67" s="28"/>
      <c r="AJ67" s="29"/>
    </row>
    <row r="68" spans="12:36" x14ac:dyDescent="0.25">
      <c r="L68" s="1" t="s">
        <v>784</v>
      </c>
      <c r="V68" s="4"/>
      <c r="W68" s="25"/>
      <c r="X68" s="25"/>
      <c r="Y68" s="25"/>
      <c r="Z68" s="25"/>
      <c r="AB68" s="25"/>
      <c r="AC68" s="25"/>
      <c r="AD68" s="25"/>
      <c r="AE68" s="25"/>
      <c r="AG68" s="25"/>
      <c r="AH68" s="25"/>
      <c r="AI68" s="25"/>
      <c r="AJ68" s="25"/>
    </row>
    <row r="69" spans="12:36" x14ac:dyDescent="0.25">
      <c r="L69" s="1" t="s">
        <v>785</v>
      </c>
    </row>
    <row r="70" spans="12:36" x14ac:dyDescent="0.25">
      <c r="L70" s="1" t="s">
        <v>786</v>
      </c>
    </row>
    <row r="71" spans="12:36" x14ac:dyDescent="0.25">
      <c r="L71" s="1" t="s">
        <v>787</v>
      </c>
      <c r="U71" s="6" t="s">
        <v>788</v>
      </c>
      <c r="W71" s="82"/>
    </row>
    <row r="72" spans="12:36" x14ac:dyDescent="0.25">
      <c r="L72" s="1" t="s">
        <v>789</v>
      </c>
      <c r="V72" s="31" t="s">
        <v>790</v>
      </c>
      <c r="W72" s="32"/>
      <c r="X72" s="32"/>
      <c r="Y72" s="32">
        <v>12.49988347704498</v>
      </c>
      <c r="Z72" s="33">
        <v>16.438596491228068</v>
      </c>
      <c r="AA72" s="34"/>
      <c r="AB72" s="35"/>
      <c r="AC72" s="32"/>
      <c r="AD72" s="32"/>
      <c r="AE72" s="33"/>
      <c r="AF72" s="34"/>
      <c r="AG72" s="35"/>
      <c r="AH72" s="32"/>
      <c r="AI72" s="32"/>
      <c r="AJ72" s="33"/>
    </row>
    <row r="73" spans="12:36" x14ac:dyDescent="0.25">
      <c r="L73" s="1" t="s">
        <v>791</v>
      </c>
      <c r="V73" s="4"/>
      <c r="W73" s="36"/>
      <c r="X73" s="36"/>
      <c r="Y73" s="36"/>
      <c r="Z73" s="36"/>
      <c r="AB73" s="36"/>
      <c r="AC73" s="36"/>
      <c r="AD73" s="36"/>
      <c r="AE73" s="36"/>
      <c r="AG73" s="36"/>
      <c r="AH73" s="36"/>
      <c r="AI73" s="36"/>
      <c r="AJ73" s="36"/>
    </row>
    <row r="74" spans="12:36" x14ac:dyDescent="0.25">
      <c r="L74" s="1" t="s">
        <v>792</v>
      </c>
      <c r="V74" s="4"/>
    </row>
    <row r="75" spans="12:36" x14ac:dyDescent="0.25">
      <c r="L75" s="1" t="s">
        <v>793</v>
      </c>
      <c r="U75" s="6" t="s">
        <v>794</v>
      </c>
      <c r="Y75" s="83"/>
    </row>
    <row r="76" spans="12:36" x14ac:dyDescent="0.25">
      <c r="L76" s="1" t="s">
        <v>795</v>
      </c>
      <c r="V76" s="19" t="s">
        <v>49</v>
      </c>
      <c r="W76" s="37"/>
      <c r="X76" s="38"/>
      <c r="Y76" s="38">
        <v>170.64324162982226</v>
      </c>
      <c r="Z76" s="39">
        <v>161.26529411764704</v>
      </c>
      <c r="AA76" s="38"/>
      <c r="AB76" s="37"/>
      <c r="AC76" s="38"/>
      <c r="AD76" s="38"/>
      <c r="AE76" s="39"/>
      <c r="AF76" s="38"/>
      <c r="AG76" s="37"/>
      <c r="AH76" s="38"/>
      <c r="AI76" s="38"/>
      <c r="AJ76" s="39"/>
    </row>
    <row r="77" spans="12:36" x14ac:dyDescent="0.25">
      <c r="L77" s="1" t="s">
        <v>796</v>
      </c>
      <c r="V77" s="11" t="s">
        <v>797</v>
      </c>
      <c r="W77" s="40"/>
      <c r="X77" s="41"/>
      <c r="Y77" s="41">
        <v>334.03635659353108</v>
      </c>
      <c r="Z77" s="42">
        <v>334.03635659353108</v>
      </c>
      <c r="AA77" s="41"/>
      <c r="AB77" s="40"/>
      <c r="AC77" s="41"/>
      <c r="AD77" s="41"/>
      <c r="AE77" s="42"/>
      <c r="AF77" s="41"/>
      <c r="AG77" s="40"/>
      <c r="AH77" s="41"/>
      <c r="AI77" s="41"/>
      <c r="AJ77" s="42"/>
    </row>
    <row r="78" spans="12:36" x14ac:dyDescent="0.25">
      <c r="L78" s="1" t="s">
        <v>798</v>
      </c>
      <c r="V78" s="11" t="s">
        <v>799</v>
      </c>
      <c r="W78" s="40"/>
      <c r="X78" s="41"/>
      <c r="Y78" s="1669">
        <f>29.5547313956119+TM1Live!AC78</f>
        <v>69.554731395611896</v>
      </c>
      <c r="Z78" s="1670">
        <f>Y78</f>
        <v>69.554731395611896</v>
      </c>
      <c r="AA78" s="41"/>
      <c r="AD78" s="41"/>
      <c r="AE78" s="42"/>
      <c r="AF78" s="41"/>
      <c r="AG78" s="40"/>
      <c r="AH78" s="41"/>
      <c r="AI78" s="41"/>
      <c r="AJ78" s="42"/>
    </row>
    <row r="79" spans="12:36" x14ac:dyDescent="0.25">
      <c r="L79" s="1" t="s">
        <v>800</v>
      </c>
      <c r="V79" s="11" t="s">
        <v>697</v>
      </c>
      <c r="W79" s="40"/>
      <c r="X79" s="41"/>
      <c r="Y79" s="41">
        <v>415.64480943225504</v>
      </c>
      <c r="Z79" s="42">
        <v>415.64480943225504</v>
      </c>
      <c r="AA79" s="41"/>
      <c r="AB79" s="40"/>
      <c r="AC79" s="41"/>
      <c r="AD79" s="41"/>
      <c r="AE79" s="42"/>
      <c r="AF79" s="41"/>
      <c r="AG79" s="40"/>
      <c r="AH79" s="41"/>
      <c r="AI79" s="41"/>
      <c r="AJ79" s="42"/>
    </row>
    <row r="80" spans="12:36" x14ac:dyDescent="0.25">
      <c r="L80" s="1" t="s">
        <v>801</v>
      </c>
      <c r="V80" s="15" t="s">
        <v>802</v>
      </c>
      <c r="W80" s="43"/>
      <c r="X80" s="44"/>
      <c r="Y80" s="44">
        <v>8.8477588778083968E-2</v>
      </c>
      <c r="Z80" s="45">
        <v>8.8477588778083968E-2</v>
      </c>
      <c r="AA80" s="46"/>
      <c r="AB80" s="43"/>
      <c r="AC80" s="44"/>
      <c r="AD80" s="44"/>
      <c r="AE80" s="45"/>
      <c r="AF80" s="46"/>
      <c r="AG80" s="43"/>
      <c r="AH80" s="44"/>
      <c r="AI80" s="44"/>
      <c r="AJ80" s="45"/>
    </row>
    <row r="81" spans="12:36" x14ac:dyDescent="0.25">
      <c r="L81" s="1" t="s">
        <v>803</v>
      </c>
    </row>
    <row r="82" spans="12:36" x14ac:dyDescent="0.25">
      <c r="L82" s="1" t="s">
        <v>804</v>
      </c>
      <c r="V82" s="4"/>
      <c r="W82" s="25"/>
      <c r="X82" s="25"/>
      <c r="Y82" s="25"/>
      <c r="Z82" s="25"/>
      <c r="AB82" s="25"/>
      <c r="AC82" s="25"/>
      <c r="AD82" s="25"/>
      <c r="AE82" s="25"/>
      <c r="AG82" s="25"/>
      <c r="AH82" s="25"/>
      <c r="AI82" s="25"/>
      <c r="AJ82" s="25"/>
    </row>
    <row r="83" spans="12:36" x14ac:dyDescent="0.25">
      <c r="L83" s="1" t="s">
        <v>805</v>
      </c>
      <c r="U83" s="6" t="s">
        <v>806</v>
      </c>
    </row>
    <row r="84" spans="12:36" x14ac:dyDescent="0.25">
      <c r="L84" s="1" t="s">
        <v>807</v>
      </c>
      <c r="V84" s="19" t="s">
        <v>712</v>
      </c>
      <c r="W84" s="47"/>
      <c r="X84" s="48"/>
      <c r="Y84" s="1671">
        <f>3.78326397822399+TM1Live!AC84</f>
        <v>5.8832639782239902</v>
      </c>
      <c r="Z84" s="49">
        <v>0</v>
      </c>
      <c r="AA84" s="1562"/>
      <c r="AB84" s="47"/>
      <c r="AC84" s="48"/>
      <c r="AD84" s="48"/>
      <c r="AE84" s="49"/>
      <c r="AF84" s="23"/>
      <c r="AG84" s="47"/>
      <c r="AH84" s="48"/>
      <c r="AI84" s="48"/>
      <c r="AJ84" s="49"/>
    </row>
    <row r="85" spans="12:36" x14ac:dyDescent="0.25">
      <c r="L85" s="1" t="s">
        <v>808</v>
      </c>
      <c r="V85" s="11" t="s">
        <v>715</v>
      </c>
      <c r="W85" s="50"/>
      <c r="X85" s="36"/>
      <c r="Y85" s="1672">
        <f>110+TM1Live!AC85</f>
        <v>118</v>
      </c>
      <c r="Z85" s="51">
        <v>120</v>
      </c>
      <c r="AB85" s="50"/>
      <c r="AC85" s="36"/>
      <c r="AD85" s="36"/>
      <c r="AE85" s="51"/>
      <c r="AG85" s="50"/>
      <c r="AH85" s="36"/>
      <c r="AI85" s="36"/>
      <c r="AJ85" s="51"/>
    </row>
    <row r="86" spans="12:36" x14ac:dyDescent="0.25">
      <c r="L86" s="1" t="s">
        <v>809</v>
      </c>
      <c r="V86" s="11" t="s">
        <v>719</v>
      </c>
      <c r="W86" s="50"/>
      <c r="X86" s="36"/>
      <c r="Y86" s="36">
        <v>0.32476518075209276</v>
      </c>
      <c r="Z86" s="51">
        <v>0</v>
      </c>
      <c r="AB86" s="50"/>
      <c r="AC86" s="36"/>
      <c r="AD86" s="36"/>
      <c r="AE86" s="51"/>
      <c r="AG86" s="50"/>
      <c r="AH86" s="36"/>
      <c r="AI86" s="36"/>
      <c r="AJ86" s="51"/>
    </row>
    <row r="87" spans="12:36" x14ac:dyDescent="0.25">
      <c r="L87" s="1" t="s">
        <v>810</v>
      </c>
      <c r="V87" s="15" t="s">
        <v>722</v>
      </c>
      <c r="W87" s="52"/>
      <c r="X87" s="53"/>
      <c r="Y87" s="53">
        <v>5.7341193579059233</v>
      </c>
      <c r="Z87" s="54">
        <v>0</v>
      </c>
      <c r="AA87" s="46"/>
      <c r="AB87" s="52"/>
      <c r="AC87" s="53"/>
      <c r="AD87" s="53"/>
      <c r="AE87" s="54"/>
      <c r="AF87" s="46"/>
      <c r="AG87" s="52"/>
      <c r="AH87" s="53"/>
      <c r="AI87" s="53"/>
      <c r="AJ87" s="54"/>
    </row>
    <row r="88" spans="12:36" x14ac:dyDescent="0.25">
      <c r="L88" s="1" t="s">
        <v>811</v>
      </c>
      <c r="V88" s="4"/>
    </row>
    <row r="89" spans="12:36" x14ac:dyDescent="0.25">
      <c r="L89" s="1" t="s">
        <v>812</v>
      </c>
    </row>
    <row r="90" spans="12:36" x14ac:dyDescent="0.25">
      <c r="L90" s="1" t="s">
        <v>813</v>
      </c>
    </row>
    <row r="91" spans="12:36" x14ac:dyDescent="0.25">
      <c r="L91" s="1" t="s">
        <v>814</v>
      </c>
    </row>
    <row r="92" spans="12:36" x14ac:dyDescent="0.25">
      <c r="U92" s="6" t="s">
        <v>816</v>
      </c>
    </row>
    <row r="93" spans="12:36" ht="42.75" x14ac:dyDescent="0.25">
      <c r="L93" s="1" t="s">
        <v>815</v>
      </c>
      <c r="V93" s="55"/>
      <c r="W93" s="8" t="s">
        <v>250</v>
      </c>
      <c r="X93" s="9" t="s">
        <v>288</v>
      </c>
      <c r="Y93" s="1603" t="s">
        <v>248</v>
      </c>
      <c r="Z93" s="9" t="s">
        <v>232</v>
      </c>
      <c r="AA93" s="9" t="s">
        <v>235</v>
      </c>
      <c r="AB93" s="9" t="s">
        <v>236</v>
      </c>
      <c r="AC93" s="9" t="s">
        <v>237</v>
      </c>
      <c r="AD93" s="9" t="s">
        <v>238</v>
      </c>
      <c r="AE93" s="10" t="s">
        <v>239</v>
      </c>
      <c r="AG93" s="56"/>
      <c r="AH93" s="56"/>
      <c r="AI93" s="56"/>
      <c r="AJ93" s="56"/>
    </row>
    <row r="94" spans="12:36" x14ac:dyDescent="0.25">
      <c r="L94" s="1" t="s">
        <v>817</v>
      </c>
      <c r="V94" s="11" t="s">
        <v>787</v>
      </c>
      <c r="W94" s="56">
        <v>67.251505786676844</v>
      </c>
      <c r="X94" s="56">
        <v>0</v>
      </c>
      <c r="Y94" s="56">
        <v>0</v>
      </c>
      <c r="Z94" s="56">
        <v>51.264150080956092</v>
      </c>
      <c r="AA94" s="56">
        <v>45.019197207678879</v>
      </c>
      <c r="AB94" s="56">
        <v>25.94099774585996</v>
      </c>
      <c r="AC94" s="56">
        <v>44.704866716111866</v>
      </c>
      <c r="AD94" s="56">
        <v>43.41810080696937</v>
      </c>
      <c r="AE94" s="57">
        <v>28.315270321348759</v>
      </c>
      <c r="AG94" s="56"/>
      <c r="AH94" s="56"/>
      <c r="AI94" s="56"/>
      <c r="AJ94" s="56"/>
    </row>
    <row r="95" spans="12:36" x14ac:dyDescent="0.25">
      <c r="V95" s="11"/>
      <c r="W95" s="56"/>
      <c r="X95" s="56"/>
      <c r="Y95" s="56"/>
      <c r="Z95" s="56"/>
      <c r="AA95" s="56"/>
      <c r="AB95" s="56"/>
      <c r="AC95" s="56"/>
      <c r="AD95" s="56"/>
      <c r="AE95" s="57"/>
      <c r="AG95" s="56"/>
      <c r="AH95" s="56"/>
      <c r="AI95" s="56"/>
      <c r="AJ95" s="56"/>
    </row>
    <row r="96" spans="12:36" x14ac:dyDescent="0.25">
      <c r="V96" s="11"/>
      <c r="W96" s="56"/>
      <c r="X96" s="56"/>
      <c r="Y96" s="56"/>
      <c r="Z96" s="56"/>
      <c r="AA96" s="56"/>
      <c r="AB96" s="56"/>
      <c r="AC96" s="56"/>
      <c r="AD96" s="56"/>
      <c r="AE96" s="57"/>
      <c r="AG96" s="56"/>
      <c r="AH96" s="56"/>
      <c r="AI96" s="56"/>
      <c r="AJ96" s="56"/>
    </row>
    <row r="97" spans="12:36" x14ac:dyDescent="0.25">
      <c r="U97" s="1630"/>
      <c r="V97" s="58"/>
      <c r="W97" s="59"/>
      <c r="X97" s="59"/>
      <c r="Y97" s="59"/>
      <c r="Z97" s="59"/>
      <c r="AA97" s="59"/>
      <c r="AB97" s="59"/>
      <c r="AC97" s="59"/>
      <c r="AD97" s="59"/>
      <c r="AE97" s="60"/>
      <c r="AF97" s="61"/>
      <c r="AG97" s="56"/>
      <c r="AH97" s="56"/>
      <c r="AI97" s="56"/>
      <c r="AJ97" s="56"/>
    </row>
    <row r="98" spans="12:36" x14ac:dyDescent="0.25">
      <c r="U98" s="1630"/>
      <c r="V98" s="58"/>
      <c r="W98" s="59"/>
      <c r="X98" s="59"/>
      <c r="Y98" s="59"/>
      <c r="Z98" s="59"/>
      <c r="AA98" s="59"/>
      <c r="AB98" s="59"/>
      <c r="AC98" s="59"/>
      <c r="AD98" s="59"/>
      <c r="AE98" s="60"/>
      <c r="AG98" s="56"/>
      <c r="AH98" s="56"/>
      <c r="AI98" s="56"/>
      <c r="AJ98" s="56"/>
    </row>
    <row r="99" spans="12:36" x14ac:dyDescent="0.25">
      <c r="U99" s="1630"/>
      <c r="V99" s="58"/>
      <c r="W99" s="59"/>
      <c r="X99" s="59"/>
      <c r="Y99" s="59"/>
      <c r="Z99" s="59"/>
      <c r="AA99" s="59"/>
      <c r="AB99" s="59"/>
      <c r="AC99" s="59"/>
      <c r="AD99" s="59"/>
      <c r="AE99" s="60"/>
      <c r="AG99" s="56"/>
      <c r="AH99" s="56"/>
      <c r="AI99" s="56"/>
      <c r="AJ99" s="56"/>
    </row>
    <row r="102" spans="12:36" x14ac:dyDescent="0.25">
      <c r="L102" s="1" t="s">
        <v>844</v>
      </c>
    </row>
    <row r="103" spans="12:36" ht="21" customHeight="1" x14ac:dyDescent="0.25">
      <c r="L103" s="1" t="s">
        <v>845</v>
      </c>
    </row>
    <row r="104" spans="12:36" x14ac:dyDescent="0.25">
      <c r="L104" s="1" t="s">
        <v>846</v>
      </c>
    </row>
    <row r="105" spans="12:36" x14ac:dyDescent="0.25">
      <c r="L105" s="1" t="s">
        <v>847</v>
      </c>
    </row>
    <row r="106" spans="12:36" x14ac:dyDescent="0.25">
      <c r="L106" s="1" t="s">
        <v>848</v>
      </c>
    </row>
    <row r="107" spans="12:36" x14ac:dyDescent="0.25">
      <c r="L107" s="1" t="s">
        <v>818</v>
      </c>
      <c r="U107" s="6" t="s">
        <v>864</v>
      </c>
    </row>
    <row r="108" spans="12:36" x14ac:dyDescent="0.25">
      <c r="L108" s="1" t="s">
        <v>819</v>
      </c>
      <c r="V108" s="69" t="s">
        <v>157</v>
      </c>
      <c r="W108" s="37">
        <v>23762.71</v>
      </c>
      <c r="X108" s="1570"/>
      <c r="Y108" s="1571"/>
      <c r="Z108" s="1572"/>
      <c r="AA108" s="38"/>
      <c r="AB108" s="37"/>
      <c r="AC108" s="1570"/>
      <c r="AD108" s="1571"/>
      <c r="AE108" s="1572"/>
      <c r="AF108" s="38"/>
      <c r="AG108" s="37"/>
      <c r="AH108" s="1570"/>
      <c r="AI108" s="1571"/>
      <c r="AJ108" s="1572"/>
    </row>
    <row r="109" spans="12:36" x14ac:dyDescent="0.25">
      <c r="L109" s="1" t="s">
        <v>820</v>
      </c>
      <c r="V109" s="70" t="s">
        <v>283</v>
      </c>
      <c r="W109" s="1398">
        <v>9371.17</v>
      </c>
      <c r="X109" s="1573"/>
      <c r="Y109" s="1574"/>
      <c r="Z109" s="1575"/>
      <c r="AA109" s="13"/>
      <c r="AB109" s="12"/>
      <c r="AC109" s="1573"/>
      <c r="AD109" s="1574"/>
      <c r="AE109" s="1575"/>
      <c r="AF109" s="13"/>
      <c r="AG109" s="12"/>
      <c r="AH109" s="1573"/>
      <c r="AI109" s="1574"/>
      <c r="AJ109" s="1575"/>
    </row>
    <row r="110" spans="12:36" x14ac:dyDescent="0.25">
      <c r="L110" s="1" t="s">
        <v>821</v>
      </c>
      <c r="V110" s="70" t="s">
        <v>863</v>
      </c>
      <c r="W110" s="1398">
        <v>26213.57</v>
      </c>
      <c r="X110" s="1573"/>
      <c r="Y110" s="1574"/>
      <c r="Z110" s="1575"/>
      <c r="AA110" s="13"/>
      <c r="AB110" s="12"/>
      <c r="AC110" s="1573"/>
      <c r="AD110" s="1574"/>
      <c r="AE110" s="1575"/>
      <c r="AF110" s="13"/>
      <c r="AG110" s="12"/>
      <c r="AH110" s="1573"/>
      <c r="AI110" s="1574"/>
      <c r="AJ110" s="1575"/>
    </row>
    <row r="111" spans="12:36" x14ac:dyDescent="0.25">
      <c r="L111" s="1" t="s">
        <v>849</v>
      </c>
      <c r="V111" s="71" t="s">
        <v>285</v>
      </c>
      <c r="W111" s="72">
        <v>83158.399999999994</v>
      </c>
      <c r="X111" s="1576"/>
      <c r="Y111" s="1577"/>
      <c r="Z111" s="1578"/>
      <c r="AA111" s="73"/>
      <c r="AB111" s="72"/>
      <c r="AC111" s="1576"/>
      <c r="AD111" s="1577"/>
      <c r="AE111" s="1578"/>
      <c r="AF111" s="73"/>
      <c r="AG111" s="72"/>
      <c r="AH111" s="1576"/>
      <c r="AI111" s="1577"/>
      <c r="AJ111" s="1578"/>
    </row>
    <row r="112" spans="12:36" x14ac:dyDescent="0.25">
      <c r="L112" s="1" t="s">
        <v>850</v>
      </c>
    </row>
    <row r="113" spans="12:12" x14ac:dyDescent="0.25">
      <c r="L113" s="1" t="s">
        <v>851</v>
      </c>
    </row>
    <row r="114" spans="12:12" x14ac:dyDescent="0.25">
      <c r="L114" s="1" t="s">
        <v>852</v>
      </c>
    </row>
    <row r="115" spans="12:12" x14ac:dyDescent="0.25">
      <c r="L115" s="1" t="s">
        <v>853</v>
      </c>
    </row>
    <row r="116" spans="12:12" x14ac:dyDescent="0.25">
      <c r="L116" s="1" t="s">
        <v>854</v>
      </c>
    </row>
    <row r="117" spans="12:12" x14ac:dyDescent="0.25">
      <c r="L117" s="1" t="s">
        <v>855</v>
      </c>
    </row>
    <row r="118" spans="12:12" x14ac:dyDescent="0.25">
      <c r="L118" s="1" t="s">
        <v>856</v>
      </c>
    </row>
    <row r="119" spans="12:12" x14ac:dyDescent="0.25">
      <c r="L119" s="1" t="s">
        <v>857</v>
      </c>
    </row>
    <row r="120" spans="12:12" x14ac:dyDescent="0.25">
      <c r="L120" s="1" t="s">
        <v>822</v>
      </c>
    </row>
    <row r="121" spans="12:12" x14ac:dyDescent="0.25">
      <c r="L121" s="1" t="s">
        <v>823</v>
      </c>
    </row>
    <row r="122" spans="12:12" x14ac:dyDescent="0.25">
      <c r="L122" s="1" t="s">
        <v>824</v>
      </c>
    </row>
    <row r="123" spans="12:12" x14ac:dyDescent="0.25">
      <c r="L123" s="1" t="s">
        <v>825</v>
      </c>
    </row>
    <row r="124" spans="12:12" x14ac:dyDescent="0.25">
      <c r="L124" s="1" t="s">
        <v>826</v>
      </c>
    </row>
    <row r="125" spans="12:12" x14ac:dyDescent="0.25">
      <c r="L125" s="1" t="s">
        <v>833</v>
      </c>
    </row>
    <row r="127" spans="12:12" x14ac:dyDescent="0.25">
      <c r="L127" s="1" t="s">
        <v>834</v>
      </c>
    </row>
    <row r="128" spans="12:12" x14ac:dyDescent="0.25">
      <c r="L128" s="1" t="s">
        <v>835</v>
      </c>
    </row>
    <row r="129" spans="12:12" x14ac:dyDescent="0.25">
      <c r="L129" s="1" t="s">
        <v>836</v>
      </c>
    </row>
    <row r="130" spans="12:12" x14ac:dyDescent="0.25">
      <c r="L130" s="1" t="s">
        <v>837</v>
      </c>
    </row>
    <row r="132" spans="12:12" x14ac:dyDescent="0.25">
      <c r="L132" s="1" t="s">
        <v>702</v>
      </c>
    </row>
    <row r="133" spans="12:12" x14ac:dyDescent="0.25">
      <c r="L133" s="1" t="s">
        <v>706</v>
      </c>
    </row>
    <row r="134" spans="12:12" x14ac:dyDescent="0.25">
      <c r="L134" s="1" t="s">
        <v>709</v>
      </c>
    </row>
    <row r="135" spans="12:12" x14ac:dyDescent="0.25">
      <c r="L135" s="1" t="s">
        <v>711</v>
      </c>
    </row>
  </sheetData>
  <dataValidations count="2">
    <dataValidation type="list" allowBlank="1" showInputMessage="1" showErrorMessage="1" sqref="V39">
      <formula1>$I$1:$I$28</formula1>
    </dataValidation>
    <dataValidation type="list" allowBlank="1" showInputMessage="1" showErrorMessage="1" sqref="V42:V44">
      <formula1>$L$2:$L$127</formula1>
    </dataValidation>
  </dataValidations>
  <pageMargins left="0.23" right="0.2" top="0.75" bottom="0.75" header="0.3" footer="0.3"/>
  <pageSetup scale="50" orientation="landscape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theme="4" tint="-0.499984740745262"/>
  </sheetPr>
  <dimension ref="A1:AN135"/>
  <sheetViews>
    <sheetView showGridLines="0" topLeftCell="U36" zoomScale="80" zoomScaleNormal="80" workbookViewId="0">
      <selection activeCell="U36" sqref="U36"/>
    </sheetView>
  </sheetViews>
  <sheetFormatPr defaultColWidth="9.140625" defaultRowHeight="15" outlineLevelRow="1" outlineLevelCol="1" x14ac:dyDescent="0.25"/>
  <cols>
    <col min="1" max="1" width="29" style="1" hidden="1" customWidth="1" outlineLevel="1"/>
    <col min="2" max="2" width="9.140625" style="1" hidden="1" customWidth="1" outlineLevel="1"/>
    <col min="3" max="3" width="25.85546875" style="1" hidden="1" customWidth="1" outlineLevel="1"/>
    <col min="4" max="4" width="9.140625" style="1" hidden="1" customWidth="1" outlineLevel="1"/>
    <col min="5" max="5" width="34" style="1" hidden="1" customWidth="1" outlineLevel="1"/>
    <col min="6" max="7" width="9.140625" style="1" hidden="1" customWidth="1" outlineLevel="1"/>
    <col min="8" max="8" width="18.5703125" style="1" hidden="1" customWidth="1" outlineLevel="1"/>
    <col min="9" max="11" width="9.140625" style="1" hidden="1" customWidth="1" outlineLevel="1"/>
    <col min="12" max="12" width="18.42578125" style="1" hidden="1" customWidth="1" outlineLevel="1"/>
    <col min="13" max="14" width="24.5703125" style="1" hidden="1" customWidth="1" outlineLevel="1"/>
    <col min="15" max="15" width="9.140625" style="1" hidden="1" customWidth="1" outlineLevel="1"/>
    <col min="16" max="16" width="19.85546875" style="4" hidden="1" customWidth="1" outlineLevel="1"/>
    <col min="17" max="17" width="21.85546875" style="4" hidden="1" customWidth="1" outlineLevel="1"/>
    <col min="18" max="20" width="9.140625" style="1" hidden="1" customWidth="1" outlineLevel="1"/>
    <col min="21" max="21" width="18.85546875" style="4" customWidth="1" collapsed="1"/>
    <col min="22" max="22" width="29.140625" style="1" customWidth="1"/>
    <col min="23" max="23" width="14.5703125" style="1" customWidth="1"/>
    <col min="24" max="24" width="12.5703125" style="1" customWidth="1"/>
    <col min="25" max="25" width="13.140625" style="1" customWidth="1"/>
    <col min="26" max="26" width="11.42578125" style="1" customWidth="1"/>
    <col min="27" max="27" width="12.5703125" style="1" customWidth="1"/>
    <col min="28" max="28" width="13.85546875" style="1" customWidth="1"/>
    <col min="29" max="29" width="12.5703125" style="1" customWidth="1"/>
    <col min="30" max="30" width="12" style="1" customWidth="1"/>
    <col min="31" max="31" width="13" style="1" customWidth="1"/>
    <col min="32" max="32" width="5.140625" style="1" customWidth="1"/>
    <col min="33" max="33" width="12.5703125" style="1" customWidth="1"/>
    <col min="34" max="34" width="13.42578125" style="1" customWidth="1"/>
    <col min="35" max="35" width="12.42578125" style="1" customWidth="1"/>
    <col min="36" max="36" width="15.140625" style="1" customWidth="1"/>
    <col min="37" max="37" width="5.140625" style="1" customWidth="1"/>
    <col min="38" max="38" width="14.5703125" style="1" customWidth="1"/>
    <col min="39" max="39" width="13.85546875" style="1" customWidth="1"/>
    <col min="40" max="40" width="13.5703125" style="1" customWidth="1"/>
    <col min="41" max="16384" width="9.140625" style="1"/>
  </cols>
  <sheetData>
    <row r="1" spans="1:19" hidden="1" outlineLevel="1" x14ac:dyDescent="0.25">
      <c r="A1" s="1" t="s">
        <v>615</v>
      </c>
      <c r="C1" s="1" t="s">
        <v>616</v>
      </c>
      <c r="E1" s="1" t="s">
        <v>617</v>
      </c>
      <c r="F1" s="1" t="s">
        <v>618</v>
      </c>
      <c r="H1" s="1" t="s">
        <v>619</v>
      </c>
      <c r="I1" s="1" t="s">
        <v>620</v>
      </c>
      <c r="J1" s="2" t="s">
        <v>621</v>
      </c>
      <c r="K1" s="1">
        <v>2013</v>
      </c>
      <c r="L1" s="3" t="s">
        <v>622</v>
      </c>
      <c r="M1" s="3" t="s">
        <v>623</v>
      </c>
      <c r="N1" s="3" t="s">
        <v>624</v>
      </c>
      <c r="O1" s="1" t="s">
        <v>625</v>
      </c>
      <c r="P1" s="4" t="s">
        <v>626</v>
      </c>
      <c r="Q1" s="4" t="s">
        <v>627</v>
      </c>
      <c r="R1" s="4">
        <v>6012</v>
      </c>
      <c r="S1" s="1" t="s">
        <v>862</v>
      </c>
    </row>
    <row r="2" spans="1:19" hidden="1" outlineLevel="1" x14ac:dyDescent="0.25">
      <c r="A2" s="1" t="s">
        <v>628</v>
      </c>
      <c r="C2" s="1" t="s">
        <v>628</v>
      </c>
      <c r="E2" s="1" t="s">
        <v>628</v>
      </c>
      <c r="F2" s="1" t="s">
        <v>629</v>
      </c>
      <c r="H2" s="1" t="s">
        <v>630</v>
      </c>
      <c r="I2" s="1" t="s">
        <v>631</v>
      </c>
      <c r="J2" s="2" t="s">
        <v>632</v>
      </c>
      <c r="K2" s="1">
        <v>2014</v>
      </c>
      <c r="L2" s="173" t="s">
        <v>633</v>
      </c>
      <c r="M2" s="173" t="s">
        <v>634</v>
      </c>
      <c r="N2" s="173">
        <v>78758</v>
      </c>
      <c r="O2" s="1" t="s">
        <v>635</v>
      </c>
      <c r="P2" s="4" t="s">
        <v>229</v>
      </c>
      <c r="Q2" s="4" t="s">
        <v>636</v>
      </c>
      <c r="R2" s="4">
        <v>6015</v>
      </c>
      <c r="S2" s="1" t="s">
        <v>283</v>
      </c>
    </row>
    <row r="3" spans="1:19" hidden="1" outlineLevel="1" x14ac:dyDescent="0.25">
      <c r="A3" s="1" t="s">
        <v>637</v>
      </c>
      <c r="C3" s="1" t="s">
        <v>637</v>
      </c>
      <c r="E3" s="1" t="s">
        <v>638</v>
      </c>
      <c r="F3" s="1" t="s">
        <v>639</v>
      </c>
      <c r="H3" s="1" t="s">
        <v>640</v>
      </c>
      <c r="I3" s="1" t="s">
        <v>641</v>
      </c>
      <c r="J3" s="2" t="s">
        <v>642</v>
      </c>
      <c r="K3" s="1">
        <v>2015</v>
      </c>
      <c r="L3" s="173" t="s">
        <v>643</v>
      </c>
      <c r="M3" s="173" t="s">
        <v>644</v>
      </c>
      <c r="N3" s="173">
        <v>78229</v>
      </c>
      <c r="P3" s="4" t="s">
        <v>645</v>
      </c>
      <c r="Q3" s="4" t="s">
        <v>646</v>
      </c>
      <c r="R3" s="4" t="s">
        <v>860</v>
      </c>
      <c r="S3" s="1" t="s">
        <v>863</v>
      </c>
    </row>
    <row r="4" spans="1:19" hidden="1" outlineLevel="1" x14ac:dyDescent="0.25">
      <c r="A4" s="1" t="s">
        <v>647</v>
      </c>
      <c r="C4" s="1" t="s">
        <v>647</v>
      </c>
      <c r="E4" s="1" t="s">
        <v>648</v>
      </c>
      <c r="F4" s="1" t="s">
        <v>649</v>
      </c>
      <c r="H4" s="1" t="s">
        <v>650</v>
      </c>
      <c r="I4" s="1" t="s">
        <v>651</v>
      </c>
      <c r="J4" s="2" t="s">
        <v>652</v>
      </c>
      <c r="K4" s="1">
        <v>2016</v>
      </c>
      <c r="L4" s="173" t="s">
        <v>653</v>
      </c>
      <c r="M4" s="173" t="s">
        <v>654</v>
      </c>
      <c r="N4" s="173">
        <v>94600</v>
      </c>
      <c r="P4" s="4" t="s">
        <v>655</v>
      </c>
      <c r="Q4" s="4" t="s">
        <v>656</v>
      </c>
      <c r="R4" s="4" t="s">
        <v>861</v>
      </c>
      <c r="S4" s="1" t="s">
        <v>285</v>
      </c>
    </row>
    <row r="5" spans="1:19" hidden="1" outlineLevel="1" x14ac:dyDescent="0.25">
      <c r="A5" s="1" t="s">
        <v>657</v>
      </c>
      <c r="C5" s="1" t="s">
        <v>658</v>
      </c>
      <c r="E5" s="1" t="s">
        <v>637</v>
      </c>
      <c r="F5" s="1" t="s">
        <v>79</v>
      </c>
      <c r="H5" s="1" t="s">
        <v>659</v>
      </c>
      <c r="I5" s="1" t="s">
        <v>660</v>
      </c>
      <c r="J5" s="2" t="s">
        <v>661</v>
      </c>
      <c r="K5" s="1">
        <v>2017</v>
      </c>
      <c r="L5" s="173" t="s">
        <v>662</v>
      </c>
      <c r="M5" s="173" t="s">
        <v>663</v>
      </c>
      <c r="N5" s="173">
        <v>95240</v>
      </c>
      <c r="Q5" s="4" t="s">
        <v>664</v>
      </c>
      <c r="R5" s="4">
        <v>6021</v>
      </c>
    </row>
    <row r="6" spans="1:19" hidden="1" outlineLevel="1" x14ac:dyDescent="0.25">
      <c r="A6" s="1" t="s">
        <v>658</v>
      </c>
      <c r="C6" s="1" t="s">
        <v>665</v>
      </c>
      <c r="E6" s="1" t="s">
        <v>657</v>
      </c>
      <c r="F6" s="1" t="s">
        <v>666</v>
      </c>
      <c r="I6" s="1" t="s">
        <v>667</v>
      </c>
      <c r="J6" s="2" t="s">
        <v>668</v>
      </c>
      <c r="L6" s="173" t="s">
        <v>669</v>
      </c>
      <c r="M6" s="173" t="s">
        <v>878</v>
      </c>
      <c r="N6" s="173" t="s">
        <v>877</v>
      </c>
      <c r="Q6" s="4" t="s">
        <v>670</v>
      </c>
      <c r="R6" s="4" t="s">
        <v>671</v>
      </c>
    </row>
    <row r="7" spans="1:19" hidden="1" outlineLevel="1" x14ac:dyDescent="0.25">
      <c r="A7" s="1" t="s">
        <v>672</v>
      </c>
      <c r="C7" s="1" t="s">
        <v>673</v>
      </c>
      <c r="E7" s="1" t="s">
        <v>647</v>
      </c>
      <c r="F7" s="1" t="s">
        <v>674</v>
      </c>
      <c r="I7" s="1" t="s">
        <v>675</v>
      </c>
      <c r="J7" s="1" t="s">
        <v>676</v>
      </c>
      <c r="L7" s="173" t="s">
        <v>677</v>
      </c>
      <c r="Q7" s="4" t="s">
        <v>678</v>
      </c>
      <c r="R7" s="4" t="s">
        <v>679</v>
      </c>
    </row>
    <row r="8" spans="1:19" hidden="1" outlineLevel="1" x14ac:dyDescent="0.25">
      <c r="A8" s="1" t="s">
        <v>680</v>
      </c>
      <c r="C8" s="1" t="s">
        <v>648</v>
      </c>
      <c r="E8" s="1" t="s">
        <v>658</v>
      </c>
      <c r="F8" s="1" t="s">
        <v>626</v>
      </c>
      <c r="I8" s="1" t="s">
        <v>681</v>
      </c>
      <c r="L8" s="173" t="s">
        <v>682</v>
      </c>
      <c r="Q8" s="4" t="s">
        <v>115</v>
      </c>
      <c r="R8" s="4" t="s">
        <v>683</v>
      </c>
    </row>
    <row r="9" spans="1:19" hidden="1" outlineLevel="1" x14ac:dyDescent="0.25">
      <c r="A9" s="1" t="s">
        <v>648</v>
      </c>
      <c r="C9" s="1" t="s">
        <v>638</v>
      </c>
      <c r="E9" s="1" t="s">
        <v>684</v>
      </c>
      <c r="I9" s="1" t="s">
        <v>685</v>
      </c>
      <c r="L9" s="173" t="s">
        <v>686</v>
      </c>
      <c r="R9" s="1">
        <v>6115</v>
      </c>
    </row>
    <row r="10" spans="1:19" hidden="1" outlineLevel="1" x14ac:dyDescent="0.25">
      <c r="A10" s="1" t="s">
        <v>638</v>
      </c>
      <c r="C10" s="1" t="s">
        <v>687</v>
      </c>
      <c r="E10" s="1" t="s">
        <v>688</v>
      </c>
      <c r="F10" s="1" t="s">
        <v>634</v>
      </c>
      <c r="I10" s="1" t="s">
        <v>689</v>
      </c>
      <c r="L10" s="173" t="s">
        <v>690</v>
      </c>
    </row>
    <row r="11" spans="1:19" hidden="1" outlineLevel="1" x14ac:dyDescent="0.25">
      <c r="E11" s="1" t="s">
        <v>691</v>
      </c>
      <c r="F11" s="1" t="s">
        <v>644</v>
      </c>
      <c r="I11" s="1" t="s">
        <v>692</v>
      </c>
      <c r="L11" s="173" t="s">
        <v>693</v>
      </c>
    </row>
    <row r="12" spans="1:19" hidden="1" outlineLevel="1" x14ac:dyDescent="0.25">
      <c r="A12" s="1" t="s">
        <v>694</v>
      </c>
      <c r="F12" s="1" t="s">
        <v>654</v>
      </c>
      <c r="I12" s="1" t="s">
        <v>695</v>
      </c>
      <c r="L12" s="173" t="s">
        <v>696</v>
      </c>
    </row>
    <row r="13" spans="1:19" hidden="1" outlineLevel="1" x14ac:dyDescent="0.25">
      <c r="A13" s="1" t="s">
        <v>628</v>
      </c>
      <c r="C13" s="1" t="s">
        <v>697</v>
      </c>
      <c r="F13" s="1" t="s">
        <v>663</v>
      </c>
      <c r="I13" s="1" t="s">
        <v>698</v>
      </c>
      <c r="L13" s="3" t="s">
        <v>622</v>
      </c>
    </row>
    <row r="14" spans="1:19" hidden="1" outlineLevel="1" x14ac:dyDescent="0.25">
      <c r="A14" s="1" t="s">
        <v>699</v>
      </c>
      <c r="B14" s="1" t="s">
        <v>645</v>
      </c>
      <c r="C14" s="1" t="s">
        <v>700</v>
      </c>
      <c r="F14" s="1" t="s">
        <v>640</v>
      </c>
      <c r="I14" s="1" t="s">
        <v>701</v>
      </c>
      <c r="L14" s="173" t="s">
        <v>702</v>
      </c>
    </row>
    <row r="15" spans="1:19" hidden="1" outlineLevel="1" x14ac:dyDescent="0.25">
      <c r="A15" s="1" t="s">
        <v>703</v>
      </c>
      <c r="B15" s="1" t="s">
        <v>229</v>
      </c>
      <c r="C15" s="1" t="s">
        <v>704</v>
      </c>
      <c r="I15" s="1" t="s">
        <v>705</v>
      </c>
      <c r="L15" s="173" t="s">
        <v>706</v>
      </c>
    </row>
    <row r="16" spans="1:19" hidden="1" outlineLevel="1" x14ac:dyDescent="0.25">
      <c r="A16" s="1" t="s">
        <v>647</v>
      </c>
      <c r="B16" s="1" t="s">
        <v>707</v>
      </c>
      <c r="F16" s="1">
        <v>78758</v>
      </c>
      <c r="I16" s="1" t="s">
        <v>708</v>
      </c>
      <c r="L16" s="173" t="s">
        <v>709</v>
      </c>
    </row>
    <row r="17" spans="1:12" hidden="1" outlineLevel="1" x14ac:dyDescent="0.25">
      <c r="A17" s="1" t="s">
        <v>648</v>
      </c>
      <c r="I17" s="1" t="s">
        <v>710</v>
      </c>
      <c r="L17" s="173" t="s">
        <v>711</v>
      </c>
    </row>
    <row r="18" spans="1:12" hidden="1" outlineLevel="1" x14ac:dyDescent="0.25">
      <c r="A18" s="1" t="s">
        <v>638</v>
      </c>
      <c r="F18" s="1" t="s">
        <v>712</v>
      </c>
      <c r="I18" s="1" t="s">
        <v>713</v>
      </c>
      <c r="L18" s="3" t="s">
        <v>622</v>
      </c>
    </row>
    <row r="19" spans="1:12" hidden="1" outlineLevel="1" x14ac:dyDescent="0.25">
      <c r="A19" s="1" t="s">
        <v>714</v>
      </c>
      <c r="B19" s="1" t="s">
        <v>655</v>
      </c>
      <c r="F19" s="1" t="s">
        <v>715</v>
      </c>
      <c r="I19" s="1" t="s">
        <v>716</v>
      </c>
      <c r="L19" s="173" t="s">
        <v>717</v>
      </c>
    </row>
    <row r="20" spans="1:12" hidden="1" outlineLevel="1" x14ac:dyDescent="0.25">
      <c r="A20" s="1" t="s">
        <v>718</v>
      </c>
      <c r="F20" s="1" t="s">
        <v>719</v>
      </c>
      <c r="I20" s="1" t="s">
        <v>720</v>
      </c>
      <c r="L20" s="173" t="s">
        <v>721</v>
      </c>
    </row>
    <row r="21" spans="1:12" hidden="1" outlineLevel="1" x14ac:dyDescent="0.25">
      <c r="F21" s="1" t="s">
        <v>722</v>
      </c>
      <c r="I21" s="1" t="s">
        <v>723</v>
      </c>
      <c r="L21" s="173" t="s">
        <v>724</v>
      </c>
    </row>
    <row r="22" spans="1:12" hidden="1" outlineLevel="1" x14ac:dyDescent="0.25">
      <c r="I22" s="1" t="s">
        <v>725</v>
      </c>
      <c r="L22" s="173" t="s">
        <v>726</v>
      </c>
    </row>
    <row r="23" spans="1:12" hidden="1" outlineLevel="1" x14ac:dyDescent="0.25">
      <c r="I23" s="1" t="s">
        <v>727</v>
      </c>
      <c r="L23" s="173" t="s">
        <v>728</v>
      </c>
    </row>
    <row r="24" spans="1:12" hidden="1" outlineLevel="1" x14ac:dyDescent="0.25">
      <c r="I24" s="1" t="s">
        <v>729</v>
      </c>
      <c r="L24" s="173" t="s">
        <v>730</v>
      </c>
    </row>
    <row r="25" spans="1:12" hidden="1" outlineLevel="1" x14ac:dyDescent="0.25">
      <c r="I25" s="1" t="s">
        <v>194</v>
      </c>
      <c r="L25" s="173" t="s">
        <v>731</v>
      </c>
    </row>
    <row r="26" spans="1:12" hidden="1" outlineLevel="1" x14ac:dyDescent="0.25">
      <c r="L26" s="173" t="s">
        <v>732</v>
      </c>
    </row>
    <row r="27" spans="1:12" ht="20.25" hidden="1" customHeight="1" outlineLevel="1" x14ac:dyDescent="0.25">
      <c r="L27" s="173" t="s">
        <v>733</v>
      </c>
    </row>
    <row r="28" spans="1:12" hidden="1" outlineLevel="1" x14ac:dyDescent="0.25">
      <c r="L28" s="173" t="s">
        <v>734</v>
      </c>
    </row>
    <row r="29" spans="1:12" hidden="1" outlineLevel="1" x14ac:dyDescent="0.25">
      <c r="L29" s="173" t="s">
        <v>735</v>
      </c>
    </row>
    <row r="30" spans="1:12" hidden="1" outlineLevel="1" x14ac:dyDescent="0.25">
      <c r="L30" s="173" t="s">
        <v>736</v>
      </c>
    </row>
    <row r="31" spans="1:12" hidden="1" outlineLevel="1" x14ac:dyDescent="0.25">
      <c r="L31" s="173" t="s">
        <v>737</v>
      </c>
    </row>
    <row r="32" spans="1:12" hidden="1" outlineLevel="1" x14ac:dyDescent="0.25">
      <c r="L32" s="173" t="s">
        <v>738</v>
      </c>
    </row>
    <row r="33" spans="12:36" hidden="1" outlineLevel="1" x14ac:dyDescent="0.25">
      <c r="L33" s="173" t="s">
        <v>739</v>
      </c>
    </row>
    <row r="34" spans="12:36" hidden="1" outlineLevel="1" x14ac:dyDescent="0.25">
      <c r="L34" s="173" t="s">
        <v>740</v>
      </c>
    </row>
    <row r="35" spans="12:36" hidden="1" outlineLevel="1" x14ac:dyDescent="0.25">
      <c r="L35" s="173" t="s">
        <v>741</v>
      </c>
    </row>
    <row r="36" spans="12:36" ht="20.25" collapsed="1" x14ac:dyDescent="0.3">
      <c r="L36" s="173" t="s">
        <v>742</v>
      </c>
      <c r="V36" s="1369" t="s">
        <v>1065</v>
      </c>
    </row>
    <row r="37" spans="12:36" x14ac:dyDescent="0.25">
      <c r="L37" s="173" t="s">
        <v>743</v>
      </c>
    </row>
    <row r="38" spans="12:36" x14ac:dyDescent="0.25">
      <c r="L38" s="173" t="s">
        <v>744</v>
      </c>
      <c r="U38" s="5" t="s">
        <v>745</v>
      </c>
      <c r="V38" s="1408">
        <f>CHOOSE(TM1Live,TM1Live!V38,TM1data!V38)</f>
        <v>2018</v>
      </c>
    </row>
    <row r="39" spans="12:36" x14ac:dyDescent="0.25">
      <c r="L39" s="173" t="s">
        <v>746</v>
      </c>
      <c r="U39" s="5" t="s">
        <v>747</v>
      </c>
      <c r="V39" s="1408" t="str">
        <f>CHOOSE(TM1Live,TM1Live!V39,TM1data!V39)</f>
        <v>Dec YTD</v>
      </c>
    </row>
    <row r="40" spans="12:36" x14ac:dyDescent="0.25">
      <c r="L40" s="173"/>
      <c r="U40" s="1"/>
    </row>
    <row r="41" spans="12:36" x14ac:dyDescent="0.25">
      <c r="L41" s="3" t="s">
        <v>623</v>
      </c>
      <c r="U41" s="1"/>
      <c r="AA41" s="967" t="s">
        <v>876</v>
      </c>
    </row>
    <row r="42" spans="12:36" x14ac:dyDescent="0.25">
      <c r="L42" s="1" t="s">
        <v>748</v>
      </c>
      <c r="U42" s="5" t="s">
        <v>749</v>
      </c>
      <c r="V42" s="1408" t="s">
        <v>787</v>
      </c>
      <c r="X42" s="5" t="s">
        <v>875</v>
      </c>
      <c r="Y42" s="1687"/>
      <c r="Z42" s="1687"/>
      <c r="AA42" s="962"/>
    </row>
    <row r="43" spans="12:36" x14ac:dyDescent="0.25">
      <c r="L43" s="1" t="s">
        <v>750</v>
      </c>
      <c r="U43" s="5" t="s">
        <v>751</v>
      </c>
      <c r="V43" s="1408"/>
      <c r="X43" s="5" t="s">
        <v>874</v>
      </c>
      <c r="Y43" s="1687"/>
      <c r="Z43" s="1687"/>
      <c r="AA43" s="962"/>
    </row>
    <row r="44" spans="12:36" x14ac:dyDescent="0.25">
      <c r="L44" s="1" t="s">
        <v>752</v>
      </c>
      <c r="U44" s="5" t="s">
        <v>753</v>
      </c>
      <c r="V44" s="1408"/>
      <c r="X44" s="5" t="s">
        <v>873</v>
      </c>
      <c r="Y44" s="1687"/>
      <c r="Z44" s="1687"/>
      <c r="AA44" s="962"/>
    </row>
    <row r="45" spans="12:36" x14ac:dyDescent="0.25">
      <c r="L45" s="1" t="s">
        <v>754</v>
      </c>
    </row>
    <row r="46" spans="12:36" x14ac:dyDescent="0.25">
      <c r="L46" s="1" t="s">
        <v>755</v>
      </c>
    </row>
    <row r="47" spans="12:36" x14ac:dyDescent="0.25">
      <c r="L47" s="1" t="s">
        <v>756</v>
      </c>
      <c r="W47" s="1675" t="s">
        <v>757</v>
      </c>
      <c r="X47" s="1676"/>
      <c r="Y47" s="1676"/>
      <c r="Z47" s="1677"/>
      <c r="AB47" s="1675" t="s">
        <v>758</v>
      </c>
      <c r="AC47" s="1676"/>
      <c r="AD47" s="1676"/>
      <c r="AE47" s="1677"/>
      <c r="AG47" s="1675" t="s">
        <v>759</v>
      </c>
      <c r="AH47" s="1676"/>
      <c r="AI47" s="1676"/>
      <c r="AJ47" s="1677"/>
    </row>
    <row r="48" spans="12:36" x14ac:dyDescent="0.25">
      <c r="L48" s="1" t="s">
        <v>760</v>
      </c>
      <c r="W48" s="1675" t="str">
        <f>CHOOSE(TM1Live,TM1Live!W48,TM1data!W48)</f>
        <v>95076 - WB Santa Cruz</v>
      </c>
      <c r="X48" s="1676"/>
      <c r="Y48" s="1676"/>
      <c r="Z48" s="1677"/>
      <c r="AB48" s="1675">
        <f>CHOOSE(TM1Live,TM1Live!AB48,TM1data!AB48)</f>
        <v>0</v>
      </c>
      <c r="AC48" s="1676"/>
      <c r="AD48" s="1676"/>
      <c r="AE48" s="1677"/>
      <c r="AG48" s="1675">
        <f>CHOOSE(TM1Live,TM1Live!AG48,TM1data!AG48)</f>
        <v>0</v>
      </c>
      <c r="AH48" s="1676"/>
      <c r="AI48" s="1676"/>
      <c r="AJ48" s="1677"/>
    </row>
    <row r="49" spans="12:36" x14ac:dyDescent="0.25">
      <c r="L49" s="1" t="s">
        <v>761</v>
      </c>
    </row>
    <row r="50" spans="12:36" x14ac:dyDescent="0.25">
      <c r="L50" s="1" t="s">
        <v>762</v>
      </c>
      <c r="U50" s="6" t="s">
        <v>88</v>
      </c>
    </row>
    <row r="51" spans="12:36" x14ac:dyDescent="0.25">
      <c r="L51" s="1" t="s">
        <v>763</v>
      </c>
      <c r="V51" s="7"/>
      <c r="W51" s="8" t="s">
        <v>75</v>
      </c>
      <c r="X51" s="9" t="s">
        <v>76</v>
      </c>
      <c r="Y51" s="9" t="s">
        <v>78</v>
      </c>
      <c r="Z51" s="10" t="s">
        <v>83</v>
      </c>
      <c r="AA51" s="9"/>
      <c r="AB51" s="8" t="s">
        <v>75</v>
      </c>
      <c r="AC51" s="9" t="s">
        <v>76</v>
      </c>
      <c r="AD51" s="9" t="s">
        <v>78</v>
      </c>
      <c r="AE51" s="10" t="s">
        <v>83</v>
      </c>
      <c r="AF51" s="9"/>
      <c r="AG51" s="8" t="s">
        <v>75</v>
      </c>
      <c r="AH51" s="9" t="s">
        <v>76</v>
      </c>
      <c r="AI51" s="9" t="s">
        <v>78</v>
      </c>
      <c r="AJ51" s="10" t="s">
        <v>83</v>
      </c>
    </row>
    <row r="52" spans="12:36" x14ac:dyDescent="0.25">
      <c r="L52" s="1" t="s">
        <v>764</v>
      </c>
      <c r="V52" s="11" t="s">
        <v>47</v>
      </c>
      <c r="W52" s="12">
        <f>CHOOSE(TM1Live,TM1Live!W52,TM1data!W52)</f>
        <v>0</v>
      </c>
      <c r="X52" s="13">
        <f>CHOOSE(TM1Live,TM1Live!X52,TM1data!X52)</f>
        <v>0</v>
      </c>
      <c r="Y52" s="13">
        <f>CHOOSE(TM1Live,TM1Live!Y52,TM1data!Y52)</f>
        <v>330.11999999999995</v>
      </c>
      <c r="Z52" s="14">
        <f>CHOOSE(TM1Live,TM1Live!Z52,TM1data!Z52)</f>
        <v>0</v>
      </c>
      <c r="AA52" s="13"/>
      <c r="AB52" s="12">
        <f>CHOOSE(TM1Live,TM1Live!AB52,TM1data!AB52)</f>
        <v>0</v>
      </c>
      <c r="AC52" s="13">
        <f>CHOOSE(TM1Live,TM1Live!AC52,TM1data!AC52)</f>
        <v>0</v>
      </c>
      <c r="AD52" s="13">
        <f>CHOOSE(TM1Live,TM1Live!AD52,TM1data!AD52)</f>
        <v>0</v>
      </c>
      <c r="AE52" s="14">
        <f>CHOOSE(TM1Live,TM1Live!AE52,TM1data!AE52)</f>
        <v>0</v>
      </c>
      <c r="AF52" s="13"/>
      <c r="AG52" s="12">
        <f>CHOOSE(TM1Live,TM1Live!AG52,TM1data!AG52)</f>
        <v>0</v>
      </c>
      <c r="AH52" s="13">
        <f>CHOOSE(TM1Live,TM1Live!AH52,TM1data!AH52)</f>
        <v>0</v>
      </c>
      <c r="AI52" s="13">
        <f>CHOOSE(TM1Live,TM1Live!AI52,TM1data!AI52)</f>
        <v>0</v>
      </c>
      <c r="AJ52" s="14">
        <f>CHOOSE(TM1Live,TM1Live!AJ52,TM1data!AJ52)</f>
        <v>0</v>
      </c>
    </row>
    <row r="53" spans="12:36" x14ac:dyDescent="0.25">
      <c r="L53" s="1" t="s">
        <v>765</v>
      </c>
      <c r="V53" s="11" t="s">
        <v>766</v>
      </c>
      <c r="W53" s="12">
        <f>CHOOSE(TM1Live,TM1Live!W53,TM1data!W53)</f>
        <v>0</v>
      </c>
      <c r="X53" s="13">
        <f>CHOOSE(TM1Live,TM1Live!X53,TM1data!X53)</f>
        <v>0</v>
      </c>
      <c r="Y53" s="13">
        <f>CHOOSE(TM1Live,TM1Live!Y53,TM1data!Y53)</f>
        <v>593.31233126834047</v>
      </c>
      <c r="Z53" s="14">
        <f>CHOOSE(TM1Live,TM1Live!Z53,TM1data!Z53)</f>
        <v>0</v>
      </c>
      <c r="AA53" s="13"/>
      <c r="AB53" s="12">
        <f>CHOOSE(TM1Live,TM1Live!AB53,TM1data!AB53)</f>
        <v>0</v>
      </c>
      <c r="AC53" s="13">
        <f>CHOOSE(TM1Live,TM1Live!AC53,TM1data!AC53)</f>
        <v>0</v>
      </c>
      <c r="AD53" s="13">
        <f>CHOOSE(TM1Live,TM1Live!AD53,TM1data!AD53)</f>
        <v>0</v>
      </c>
      <c r="AE53" s="14">
        <f>CHOOSE(TM1Live,TM1Live!AE53,TM1data!AE53)</f>
        <v>0</v>
      </c>
      <c r="AF53" s="13"/>
      <c r="AG53" s="12">
        <f>CHOOSE(TM1Live,TM1Live!AG53,TM1data!AG53)</f>
        <v>0</v>
      </c>
      <c r="AH53" s="13">
        <f>CHOOSE(TM1Live,TM1Live!AH53,TM1data!AH53)</f>
        <v>0</v>
      </c>
      <c r="AI53" s="13">
        <f>CHOOSE(TM1Live,TM1Live!AI53,TM1data!AI53)</f>
        <v>0</v>
      </c>
      <c r="AJ53" s="14">
        <f>CHOOSE(TM1Live,TM1Live!AJ53,TM1data!AJ53)</f>
        <v>0</v>
      </c>
    </row>
    <row r="54" spans="12:36" x14ac:dyDescent="0.25">
      <c r="L54" s="1" t="s">
        <v>767</v>
      </c>
      <c r="V54" s="11" t="s">
        <v>768</v>
      </c>
      <c r="W54" s="12">
        <f>CHOOSE(TM1Live,TM1Live!W54,TM1data!W54)</f>
        <v>0</v>
      </c>
      <c r="X54" s="13">
        <f>CHOOSE(TM1Live,TM1Live!X54,TM1data!X54)</f>
        <v>0</v>
      </c>
      <c r="Y54" s="13">
        <f>CHOOSE(TM1Live,TM1Live!Y54,TM1data!Y54)</f>
        <v>387.66181660899645</v>
      </c>
      <c r="Z54" s="14">
        <f>CHOOSE(TM1Live,TM1Live!Z54,TM1data!Z54)</f>
        <v>340.02599999999995</v>
      </c>
      <c r="AA54" s="13"/>
      <c r="AB54" s="12">
        <f>CHOOSE(TM1Live,TM1Live!AB54,TM1data!AB54)</f>
        <v>0</v>
      </c>
      <c r="AC54" s="13">
        <f>CHOOSE(TM1Live,TM1Live!AC54,TM1data!AC54)</f>
        <v>0</v>
      </c>
      <c r="AD54" s="13">
        <f>CHOOSE(TM1Live,TM1Live!AD54,TM1data!AD54)</f>
        <v>0</v>
      </c>
      <c r="AE54" s="14">
        <f>CHOOSE(TM1Live,TM1Live!AE54,TM1data!AE54)</f>
        <v>0</v>
      </c>
      <c r="AF54" s="13"/>
      <c r="AG54" s="12">
        <f>CHOOSE(TM1Live,TM1Live!AG54,TM1data!AG54)</f>
        <v>0</v>
      </c>
      <c r="AH54" s="13">
        <f>CHOOSE(TM1Live,TM1Live!AH54,TM1data!AH54)</f>
        <v>0</v>
      </c>
      <c r="AI54" s="13">
        <f>CHOOSE(TM1Live,TM1Live!AI54,TM1data!AI54)</f>
        <v>0</v>
      </c>
      <c r="AJ54" s="14">
        <f>CHOOSE(TM1Live,TM1Live!AJ54,TM1data!AJ54)</f>
        <v>0</v>
      </c>
    </row>
    <row r="55" spans="12:36" x14ac:dyDescent="0.25">
      <c r="L55" s="1" t="s">
        <v>769</v>
      </c>
      <c r="V55" s="11" t="s">
        <v>770</v>
      </c>
      <c r="W55" s="12">
        <f>CHOOSE(TM1Live,TM1Live!W55,TM1data!W55)</f>
        <v>0</v>
      </c>
      <c r="X55" s="13">
        <f>CHOOSE(TM1Live,TM1Live!X55,TM1data!X55)</f>
        <v>0</v>
      </c>
      <c r="Y55" s="13">
        <f>CHOOSE(TM1Live,TM1Live!Y55,TM1data!Y55)</f>
        <v>362.1350109079242</v>
      </c>
      <c r="Z55" s="14">
        <f>CHOOSE(TM1Live,TM1Live!Z55,TM1data!Z55)</f>
        <v>0</v>
      </c>
      <c r="AA55" s="13"/>
      <c r="AB55" s="12">
        <f>CHOOSE(TM1Live,TM1Live!AB55,TM1data!AB55)</f>
        <v>0</v>
      </c>
      <c r="AC55" s="13">
        <f>CHOOSE(TM1Live,TM1Live!AC55,TM1data!AC55)</f>
        <v>0</v>
      </c>
      <c r="AD55" s="13">
        <f>CHOOSE(TM1Live,TM1Live!AD55,TM1data!AD55)</f>
        <v>0</v>
      </c>
      <c r="AE55" s="14">
        <f>CHOOSE(TM1Live,TM1Live!AE55,TM1data!AE55)</f>
        <v>0</v>
      </c>
      <c r="AF55" s="13"/>
      <c r="AG55" s="12">
        <f>CHOOSE(TM1Live,TM1Live!AG55,TM1data!AG55)</f>
        <v>0</v>
      </c>
      <c r="AH55" s="13">
        <f>CHOOSE(TM1Live,TM1Live!AH55,TM1data!AH55)</f>
        <v>0</v>
      </c>
      <c r="AI55" s="13">
        <f>CHOOSE(TM1Live,TM1Live!AI55,TM1data!AI55)</f>
        <v>0</v>
      </c>
      <c r="AJ55" s="14">
        <f>CHOOSE(TM1Live,TM1Live!AJ55,TM1data!AJ55)</f>
        <v>0</v>
      </c>
    </row>
    <row r="56" spans="12:36" x14ac:dyDescent="0.25">
      <c r="L56" s="1" t="s">
        <v>771</v>
      </c>
      <c r="V56" s="15" t="s">
        <v>640</v>
      </c>
      <c r="W56" s="16">
        <f>CHOOSE(TM1Live,TM1Live!W56,TM1data!W56)</f>
        <v>0</v>
      </c>
      <c r="X56" s="17">
        <f>CHOOSE(TM1Live,TM1Live!X56,TM1data!X56)</f>
        <v>0</v>
      </c>
      <c r="Y56" s="17">
        <f>CHOOSE(TM1Live,TM1Live!Y56,TM1data!Y56)</f>
        <v>378.39901748792801</v>
      </c>
      <c r="Z56" s="18">
        <f>CHOOSE(TM1Live,TM1Live!Z56,TM1data!Z56)</f>
        <v>376.40690928495195</v>
      </c>
      <c r="AA56" s="17"/>
      <c r="AB56" s="16">
        <f>CHOOSE(TM1Live,TM1Live!AB56,TM1data!AB56)</f>
        <v>0</v>
      </c>
      <c r="AC56" s="17">
        <f>CHOOSE(TM1Live,TM1Live!AC56,TM1data!AC56)</f>
        <v>0</v>
      </c>
      <c r="AD56" s="17">
        <f>CHOOSE(TM1Live,TM1Live!AD56,TM1data!AD56)</f>
        <v>0</v>
      </c>
      <c r="AE56" s="18">
        <f>CHOOSE(TM1Live,TM1Live!AE56,TM1data!AE56)</f>
        <v>0</v>
      </c>
      <c r="AF56" s="17"/>
      <c r="AG56" s="16">
        <f>CHOOSE(TM1Live,TM1Live!AG56,TM1data!AG56)</f>
        <v>0</v>
      </c>
      <c r="AH56" s="17">
        <f>CHOOSE(TM1Live,TM1Live!AH56,TM1data!AH56)</f>
        <v>0</v>
      </c>
      <c r="AI56" s="17">
        <f>CHOOSE(TM1Live,TM1Live!AI56,TM1data!AI56)</f>
        <v>0</v>
      </c>
      <c r="AJ56" s="18">
        <f>CHOOSE(TM1Live,TM1Live!AJ56,TM1data!AJ56)</f>
        <v>0</v>
      </c>
    </row>
    <row r="57" spans="12:36" x14ac:dyDescent="0.25">
      <c r="L57" s="1" t="s">
        <v>772</v>
      </c>
    </row>
    <row r="58" spans="12:36" x14ac:dyDescent="0.25">
      <c r="L58" s="1" t="s">
        <v>773</v>
      </c>
    </row>
    <row r="59" spans="12:36" x14ac:dyDescent="0.25">
      <c r="L59" s="1" t="s">
        <v>774</v>
      </c>
    </row>
    <row r="60" spans="12:36" x14ac:dyDescent="0.25">
      <c r="L60" s="1" t="s">
        <v>775</v>
      </c>
      <c r="U60" s="6" t="s">
        <v>776</v>
      </c>
    </row>
    <row r="61" spans="12:36" x14ac:dyDescent="0.25">
      <c r="L61" s="1" t="s">
        <v>777</v>
      </c>
      <c r="V61" s="19" t="s">
        <v>47</v>
      </c>
      <c r="W61" s="20">
        <f>CHOOSE(TM1Live,TM1Live!W61,TM1data!W61)</f>
        <v>0</v>
      </c>
      <c r="X61" s="21">
        <f>CHOOSE(TM1Live,TM1Live!X61,TM1data!X61)</f>
        <v>0</v>
      </c>
      <c r="Y61" s="21">
        <f>CHOOSE(TM1Live,TM1Live!Y61,TM1data!Y61)</f>
        <v>2.0415012025281055E-2</v>
      </c>
      <c r="Z61" s="22">
        <f>CHOOSE(TM1Live,TM1Live!Z61,TM1data!Z61)</f>
        <v>0</v>
      </c>
      <c r="AA61" s="23"/>
      <c r="AB61" s="20">
        <f>CHOOSE(TM1Live,TM1Live!AB61,TM1data!AB61)</f>
        <v>0</v>
      </c>
      <c r="AC61" s="21">
        <f>CHOOSE(TM1Live,TM1Live!AC61,TM1data!AC61)</f>
        <v>0</v>
      </c>
      <c r="AD61" s="21">
        <f>CHOOSE(TM1Live,TM1Live!AD61,TM1data!AD61)</f>
        <v>0</v>
      </c>
      <c r="AE61" s="22">
        <f>CHOOSE(TM1Live,TM1Live!AE61,TM1data!AE61)</f>
        <v>0</v>
      </c>
      <c r="AF61" s="23"/>
      <c r="AG61" s="20">
        <f>CHOOSE(TM1Live,TM1Live!AG61,TM1data!AG61)</f>
        <v>0</v>
      </c>
      <c r="AH61" s="21">
        <f>CHOOSE(TM1Live,TM1Live!AH61,TM1data!AH61)</f>
        <v>0</v>
      </c>
      <c r="AI61" s="21">
        <f>CHOOSE(TM1Live,TM1Live!AI61,TM1data!AI61)</f>
        <v>0</v>
      </c>
      <c r="AJ61" s="22">
        <f>CHOOSE(TM1Live,TM1Live!AJ61,TM1data!AJ61)</f>
        <v>0</v>
      </c>
    </row>
    <row r="62" spans="12:36" x14ac:dyDescent="0.25">
      <c r="L62" s="1" t="s">
        <v>778</v>
      </c>
      <c r="V62" s="11" t="s">
        <v>766</v>
      </c>
      <c r="W62" s="24">
        <f>CHOOSE(TM1Live,TM1Live!W62,TM1data!W62)</f>
        <v>0</v>
      </c>
      <c r="X62" s="25">
        <f>CHOOSE(TM1Live,TM1Live!X62,TM1data!X62)</f>
        <v>0</v>
      </c>
      <c r="Y62" s="25">
        <f>CHOOSE(TM1Live,TM1Live!Y62,TM1data!Y62)</f>
        <v>0.17154203255215617</v>
      </c>
      <c r="Z62" s="26">
        <f>CHOOSE(TM1Live,TM1Live!Z62,TM1data!Z62)</f>
        <v>0</v>
      </c>
      <c r="AB62" s="24">
        <f>CHOOSE(TM1Live,TM1Live!AB62,TM1data!AB62)</f>
        <v>0</v>
      </c>
      <c r="AC62" s="25">
        <f>CHOOSE(TM1Live,TM1Live!AC62,TM1data!AC62)</f>
        <v>0</v>
      </c>
      <c r="AD62" s="25">
        <f>CHOOSE(TM1Live,TM1Live!AD62,TM1data!AD62)</f>
        <v>0</v>
      </c>
      <c r="AE62" s="26">
        <f>CHOOSE(TM1Live,TM1Live!AE62,TM1data!AE62)</f>
        <v>0</v>
      </c>
      <c r="AG62" s="24">
        <f>CHOOSE(TM1Live,TM1Live!AG62,TM1data!AG62)</f>
        <v>0</v>
      </c>
      <c r="AH62" s="25">
        <f>CHOOSE(TM1Live,TM1Live!AH62,TM1data!AH62)</f>
        <v>0</v>
      </c>
      <c r="AI62" s="25">
        <f>CHOOSE(TM1Live,TM1Live!AI62,TM1data!AI62)</f>
        <v>0</v>
      </c>
      <c r="AJ62" s="26">
        <f>CHOOSE(TM1Live,TM1Live!AJ62,TM1data!AJ62)</f>
        <v>0</v>
      </c>
    </row>
    <row r="63" spans="12:36" x14ac:dyDescent="0.25">
      <c r="L63" s="1" t="s">
        <v>779</v>
      </c>
      <c r="V63" s="11" t="s">
        <v>768</v>
      </c>
      <c r="W63" s="24">
        <f>CHOOSE(TM1Live,TM1Live!W63,TM1data!W63)</f>
        <v>0</v>
      </c>
      <c r="X63" s="25">
        <f>CHOOSE(TM1Live,TM1Live!X63,TM1data!X63)</f>
        <v>0</v>
      </c>
      <c r="Y63" s="25">
        <f>CHOOSE(TM1Live,TM1Live!Y63,TM1data!Y63)</f>
        <v>1.6164215000838974E-2</v>
      </c>
      <c r="Z63" s="26">
        <f>CHOOSE(TM1Live,TM1Live!Z63,TM1data!Z63)</f>
        <v>1.6008537886872998E-2</v>
      </c>
      <c r="AB63" s="24">
        <f>CHOOSE(TM1Live,TM1Live!AB63,TM1data!AB63)</f>
        <v>0</v>
      </c>
      <c r="AC63" s="25">
        <f>CHOOSE(TM1Live,TM1Live!AC63,TM1data!AC63)</f>
        <v>0</v>
      </c>
      <c r="AD63" s="25">
        <f>CHOOSE(TM1Live,TM1Live!AD63,TM1data!AD63)</f>
        <v>0</v>
      </c>
      <c r="AE63" s="26">
        <f>CHOOSE(TM1Live,TM1Live!AE63,TM1data!AE63)</f>
        <v>0</v>
      </c>
      <c r="AG63" s="24">
        <f>CHOOSE(TM1Live,TM1Live!AG63,TM1data!AG63)</f>
        <v>0</v>
      </c>
      <c r="AH63" s="25">
        <f>CHOOSE(TM1Live,TM1Live!AH63,TM1data!AH63)</f>
        <v>0</v>
      </c>
      <c r="AI63" s="25">
        <f>CHOOSE(TM1Live,TM1Live!AI63,TM1data!AI63)</f>
        <v>0</v>
      </c>
      <c r="AJ63" s="26">
        <f>CHOOSE(TM1Live,TM1Live!AJ63,TM1data!AJ63)</f>
        <v>0</v>
      </c>
    </row>
    <row r="64" spans="12:36" x14ac:dyDescent="0.25">
      <c r="L64" s="1" t="s">
        <v>780</v>
      </c>
      <c r="V64" s="11" t="s">
        <v>48</v>
      </c>
      <c r="W64" s="24">
        <f>CHOOSE(TM1Live,TM1Live!W64,TM1data!W64)</f>
        <v>0</v>
      </c>
      <c r="X64" s="25">
        <f>CHOOSE(TM1Live,TM1Live!X64,TM1data!X64)</f>
        <v>0</v>
      </c>
      <c r="Y64" s="25">
        <f>CHOOSE(TM1Live,TM1Live!Y64,TM1data!Y64)</f>
        <v>0.5187091000615246</v>
      </c>
      <c r="Z64" s="26">
        <f>CHOOSE(TM1Live,TM1Live!Z64,TM1data!Z64)</f>
        <v>0.96584845250800422</v>
      </c>
      <c r="AB64" s="24">
        <f>CHOOSE(TM1Live,TM1Live!AB64,TM1data!AB64)</f>
        <v>0</v>
      </c>
      <c r="AC64" s="25">
        <f>CHOOSE(TM1Live,TM1Live!AC64,TM1data!AC64)</f>
        <v>0</v>
      </c>
      <c r="AD64" s="25">
        <f>CHOOSE(TM1Live,TM1Live!AD64,TM1data!AD64)</f>
        <v>0</v>
      </c>
      <c r="AE64" s="26">
        <f>CHOOSE(TM1Live,TM1Live!AE64,TM1data!AE64)</f>
        <v>0</v>
      </c>
      <c r="AG64" s="24">
        <f>CHOOSE(TM1Live,TM1Live!AG64,TM1data!AG64)</f>
        <v>0</v>
      </c>
      <c r="AH64" s="25">
        <f>CHOOSE(TM1Live,TM1Live!AH64,TM1data!AH64)</f>
        <v>0</v>
      </c>
      <c r="AI64" s="25">
        <f>CHOOSE(TM1Live,TM1Live!AI64,TM1data!AI64)</f>
        <v>0</v>
      </c>
      <c r="AJ64" s="26">
        <f>CHOOSE(TM1Live,TM1Live!AJ64,TM1data!AJ64)</f>
        <v>0</v>
      </c>
    </row>
    <row r="65" spans="12:36" x14ac:dyDescent="0.25">
      <c r="L65" s="1" t="s">
        <v>781</v>
      </c>
      <c r="V65" s="11" t="s">
        <v>49</v>
      </c>
      <c r="W65" s="24">
        <f>CHOOSE(TM1Live,TM1Live!W65,TM1data!W65)</f>
        <v>0</v>
      </c>
      <c r="X65" s="25">
        <f>CHOOSE(TM1Live,TM1Live!X65,TM1data!X65)</f>
        <v>0</v>
      </c>
      <c r="Y65" s="25">
        <f>CHOOSE(TM1Live,TM1Live!Y65,TM1data!Y65)</f>
        <v>0.21505677051289218</v>
      </c>
      <c r="Z65" s="26">
        <f>CHOOSE(TM1Live,TM1Live!Z65,TM1data!Z65)</f>
        <v>1.8143009605122731E-2</v>
      </c>
      <c r="AB65" s="24">
        <f>CHOOSE(TM1Live,TM1Live!AB65,TM1data!AB65)</f>
        <v>0</v>
      </c>
      <c r="AC65" s="25">
        <f>CHOOSE(TM1Live,TM1Live!AC65,TM1data!AC65)</f>
        <v>0</v>
      </c>
      <c r="AD65" s="25">
        <f>CHOOSE(TM1Live,TM1Live!AD65,TM1data!AD65)</f>
        <v>0</v>
      </c>
      <c r="AE65" s="26">
        <f>CHOOSE(TM1Live,TM1Live!AE65,TM1data!AE65)</f>
        <v>0</v>
      </c>
      <c r="AG65" s="24">
        <f>CHOOSE(TM1Live,TM1Live!AG65,TM1data!AG65)</f>
        <v>0</v>
      </c>
      <c r="AH65" s="25">
        <f>CHOOSE(TM1Live,TM1Live!AH65,TM1data!AH65)</f>
        <v>0</v>
      </c>
      <c r="AI65" s="25">
        <f>CHOOSE(TM1Live,TM1Live!AI65,TM1data!AI65)</f>
        <v>0</v>
      </c>
      <c r="AJ65" s="26">
        <f>CHOOSE(TM1Live,TM1Live!AJ65,TM1data!AJ65)</f>
        <v>0</v>
      </c>
    </row>
    <row r="66" spans="12:36" x14ac:dyDescent="0.25">
      <c r="L66" s="1" t="s">
        <v>782</v>
      </c>
      <c r="V66" s="11" t="s">
        <v>770</v>
      </c>
      <c r="W66" s="24">
        <f>CHOOSE(TM1Live,TM1Live!W66,TM1data!W66)</f>
        <v>0</v>
      </c>
      <c r="X66" s="25">
        <f>CHOOSE(TM1Live,TM1Live!X66,TM1data!X66)</f>
        <v>0</v>
      </c>
      <c r="Y66" s="25">
        <f>CHOOSE(TM1Live,TM1Live!Y66,TM1data!Y66)</f>
        <v>5.8112869847306896E-2</v>
      </c>
      <c r="Z66" s="26">
        <f>CHOOSE(TM1Live,TM1Live!Z66,TM1data!Z66)</f>
        <v>0</v>
      </c>
      <c r="AB66" s="24">
        <f>CHOOSE(TM1Live,TM1Live!AB66,TM1data!AB66)</f>
        <v>0</v>
      </c>
      <c r="AC66" s="25">
        <f>CHOOSE(TM1Live,TM1Live!AC66,TM1data!AC66)</f>
        <v>0</v>
      </c>
      <c r="AD66" s="25">
        <f>CHOOSE(TM1Live,TM1Live!AD66,TM1data!AD66)</f>
        <v>0</v>
      </c>
      <c r="AE66" s="26">
        <f>CHOOSE(TM1Live,TM1Live!AE66,TM1data!AE66)</f>
        <v>0</v>
      </c>
      <c r="AG66" s="24">
        <f>CHOOSE(TM1Live,TM1Live!AG66,TM1data!AG66)</f>
        <v>0</v>
      </c>
      <c r="AH66" s="25">
        <f>CHOOSE(TM1Live,TM1Live!AH66,TM1data!AH66)</f>
        <v>0</v>
      </c>
      <c r="AI66" s="25">
        <f>CHOOSE(TM1Live,TM1Live!AI66,TM1data!AI66)</f>
        <v>0</v>
      </c>
      <c r="AJ66" s="26">
        <f>CHOOSE(TM1Live,TM1Live!AJ66,TM1data!AJ66)</f>
        <v>0</v>
      </c>
    </row>
    <row r="67" spans="12:36" x14ac:dyDescent="0.25">
      <c r="L67" s="1" t="s">
        <v>783</v>
      </c>
      <c r="V67" s="15" t="s">
        <v>640</v>
      </c>
      <c r="W67" s="27">
        <f>CHOOSE(TM1Live,TM1Live!W67,TM1data!W67)</f>
        <v>0</v>
      </c>
      <c r="X67" s="28">
        <f>CHOOSE(TM1Live,TM1Live!X67,TM1data!X67)</f>
        <v>0</v>
      </c>
      <c r="Y67" s="28">
        <f>CHOOSE(TM1Live,TM1Live!Y67,TM1data!Y67)</f>
        <v>1</v>
      </c>
      <c r="Z67" s="29">
        <f>CHOOSE(TM1Live,TM1Live!Z67,TM1data!Z67)</f>
        <v>1</v>
      </c>
      <c r="AA67" s="30"/>
      <c r="AB67" s="27">
        <f>CHOOSE(TM1Live,TM1Live!AB67,TM1data!AB67)</f>
        <v>0</v>
      </c>
      <c r="AC67" s="28">
        <f>CHOOSE(TM1Live,TM1Live!AC67,TM1data!AC67)</f>
        <v>0</v>
      </c>
      <c r="AD67" s="28">
        <f>CHOOSE(TM1Live,TM1Live!AD67,TM1data!AD67)</f>
        <v>0</v>
      </c>
      <c r="AE67" s="29">
        <f>CHOOSE(TM1Live,TM1Live!AE67,TM1data!AE67)</f>
        <v>0</v>
      </c>
      <c r="AF67" s="30"/>
      <c r="AG67" s="27">
        <f>CHOOSE(TM1Live,TM1Live!AG67,TM1data!AG67)</f>
        <v>0</v>
      </c>
      <c r="AH67" s="28">
        <f>CHOOSE(TM1Live,TM1Live!AH67,TM1data!AH67)</f>
        <v>0</v>
      </c>
      <c r="AI67" s="28">
        <f>CHOOSE(TM1Live,TM1Live!AI67,TM1data!AI67)</f>
        <v>0</v>
      </c>
      <c r="AJ67" s="29">
        <f>CHOOSE(TM1Live,TM1Live!AJ67,TM1data!AJ67)</f>
        <v>0</v>
      </c>
    </row>
    <row r="68" spans="12:36" x14ac:dyDescent="0.25">
      <c r="L68" s="1" t="s">
        <v>784</v>
      </c>
      <c r="V68" s="4"/>
      <c r="W68" s="25"/>
      <c r="X68" s="25"/>
      <c r="Y68" s="25"/>
      <c r="Z68" s="25"/>
      <c r="AB68" s="25"/>
      <c r="AC68" s="25"/>
      <c r="AD68" s="25"/>
      <c r="AE68" s="25"/>
      <c r="AG68" s="25"/>
      <c r="AH68" s="25"/>
      <c r="AI68" s="25"/>
      <c r="AJ68" s="25"/>
    </row>
    <row r="69" spans="12:36" x14ac:dyDescent="0.25">
      <c r="L69" s="1" t="s">
        <v>785</v>
      </c>
    </row>
    <row r="70" spans="12:36" x14ac:dyDescent="0.25">
      <c r="L70" s="1" t="s">
        <v>786</v>
      </c>
    </row>
    <row r="71" spans="12:36" x14ac:dyDescent="0.25">
      <c r="L71" s="1" t="s">
        <v>787</v>
      </c>
      <c r="U71" s="6" t="s">
        <v>788</v>
      </c>
    </row>
    <row r="72" spans="12:36" x14ac:dyDescent="0.25">
      <c r="L72" s="1" t="s">
        <v>789</v>
      </c>
      <c r="V72" s="31" t="s">
        <v>790</v>
      </c>
      <c r="W72" s="32">
        <f>CHOOSE(TM1Live,TM1Live!W72,TM1data!W72)</f>
        <v>0</v>
      </c>
      <c r="X72" s="32">
        <f>CHOOSE(TM1Live,TM1Live!X72,TM1data!X72)</f>
        <v>0</v>
      </c>
      <c r="Y72" s="32">
        <f>CHOOSE(TM1Live,TM1Live!Y72,TM1data!Y72)</f>
        <v>12.49988347704498</v>
      </c>
      <c r="Z72" s="33">
        <f>CHOOSE(TM1Live,TM1Live!Z72,TM1data!Z72)</f>
        <v>16.438596491228068</v>
      </c>
      <c r="AA72" s="34"/>
      <c r="AB72" s="35">
        <f>CHOOSE(TM1Live,TM1Live!AB72,TM1data!AB72)</f>
        <v>0</v>
      </c>
      <c r="AC72" s="32">
        <f>CHOOSE(TM1Live,TM1Live!AC72,TM1data!AC72)</f>
        <v>0</v>
      </c>
      <c r="AD72" s="32">
        <f>CHOOSE(TM1Live,TM1Live!AD72,TM1data!AD72)</f>
        <v>0</v>
      </c>
      <c r="AE72" s="33">
        <f>CHOOSE(TM1Live,TM1Live!AE72,TM1data!AE72)</f>
        <v>0</v>
      </c>
      <c r="AF72" s="34"/>
      <c r="AG72" s="35">
        <f>CHOOSE(TM1Live,TM1Live!AG72,TM1data!AG72)</f>
        <v>0</v>
      </c>
      <c r="AH72" s="32">
        <f>CHOOSE(TM1Live,TM1Live!AH72,TM1data!AH72)</f>
        <v>0</v>
      </c>
      <c r="AI72" s="32">
        <f>CHOOSE(TM1Live,TM1Live!AI72,TM1data!AI72)</f>
        <v>0</v>
      </c>
      <c r="AJ72" s="33">
        <f>CHOOSE(TM1Live,TM1Live!AJ72,TM1data!AJ72)</f>
        <v>0</v>
      </c>
    </row>
    <row r="73" spans="12:36" x14ac:dyDescent="0.25">
      <c r="L73" s="1" t="s">
        <v>791</v>
      </c>
      <c r="V73" s="4"/>
      <c r="W73" s="36"/>
      <c r="X73" s="36"/>
      <c r="Y73" s="36"/>
      <c r="Z73" s="36"/>
      <c r="AB73" s="36"/>
      <c r="AC73" s="36"/>
      <c r="AD73" s="36"/>
      <c r="AE73" s="36"/>
      <c r="AG73" s="36"/>
      <c r="AH73" s="36"/>
      <c r="AI73" s="36"/>
      <c r="AJ73" s="36"/>
    </row>
    <row r="74" spans="12:36" x14ac:dyDescent="0.25">
      <c r="L74" s="1" t="s">
        <v>792</v>
      </c>
      <c r="V74" s="4"/>
    </row>
    <row r="75" spans="12:36" x14ac:dyDescent="0.25">
      <c r="L75" s="1" t="s">
        <v>793</v>
      </c>
      <c r="U75" s="6" t="s">
        <v>794</v>
      </c>
    </row>
    <row r="76" spans="12:36" x14ac:dyDescent="0.25">
      <c r="L76" s="1" t="s">
        <v>795</v>
      </c>
      <c r="V76" s="19" t="s">
        <v>49</v>
      </c>
      <c r="W76" s="37">
        <f>CHOOSE(TM1Live,TM1Live!W76,TM1data!W76)</f>
        <v>0</v>
      </c>
      <c r="X76" s="38">
        <f>CHOOSE(TM1Live,TM1Live!X76,TM1data!X76)</f>
        <v>0</v>
      </c>
      <c r="Y76" s="38">
        <f>CHOOSE(TM1Live,TM1Live!Y76,TM1data!Y76)</f>
        <v>170.64324162982226</v>
      </c>
      <c r="Z76" s="39">
        <f>CHOOSE(TM1Live,TM1Live!Z76,TM1data!Z76)</f>
        <v>161.26529411764704</v>
      </c>
      <c r="AA76" s="38"/>
      <c r="AB76" s="37">
        <f>CHOOSE(TM1Live,TM1Live!AB76,TM1data!AB76)</f>
        <v>0</v>
      </c>
      <c r="AC76" s="38">
        <f>CHOOSE(TM1Live,TM1Live!AC76,TM1data!AC76)</f>
        <v>0</v>
      </c>
      <c r="AD76" s="38">
        <f>CHOOSE(TM1Live,TM1Live!AD76,TM1data!AD76)</f>
        <v>0</v>
      </c>
      <c r="AE76" s="39">
        <f>CHOOSE(TM1Live,TM1Live!AE76,TM1data!AE76)</f>
        <v>0</v>
      </c>
      <c r="AF76" s="38"/>
      <c r="AG76" s="37">
        <f>CHOOSE(TM1Live,TM1Live!AG76,TM1data!AG76)</f>
        <v>0</v>
      </c>
      <c r="AH76" s="38">
        <f>CHOOSE(TM1Live,TM1Live!AH76,TM1data!AH76)</f>
        <v>0</v>
      </c>
      <c r="AI76" s="38">
        <f>CHOOSE(TM1Live,TM1Live!AI76,TM1data!AI76)</f>
        <v>0</v>
      </c>
      <c r="AJ76" s="39">
        <f>CHOOSE(TM1Live,TM1Live!AJ76,TM1data!AJ76)</f>
        <v>0</v>
      </c>
    </row>
    <row r="77" spans="12:36" x14ac:dyDescent="0.25">
      <c r="L77" s="1" t="s">
        <v>796</v>
      </c>
      <c r="V77" s="11" t="s">
        <v>797</v>
      </c>
      <c r="W77" s="40">
        <f>CHOOSE(TM1Live,TM1Live!W77,TM1data!W77)</f>
        <v>0</v>
      </c>
      <c r="X77" s="41">
        <f>CHOOSE(TM1Live,TM1Live!X77,TM1data!X77)</f>
        <v>0</v>
      </c>
      <c r="Y77" s="41">
        <f>CHOOSE(TM1Live,TM1Live!Y77,TM1data!Y77)</f>
        <v>334.03635659353108</v>
      </c>
      <c r="Z77" s="42">
        <f>CHOOSE(TM1Live,TM1Live!Z77,TM1data!Z77)</f>
        <v>334.03635659353108</v>
      </c>
      <c r="AA77" s="41"/>
      <c r="AB77" s="40">
        <f>CHOOSE(TM1Live,TM1Live!AB77,TM1data!AB77)</f>
        <v>0</v>
      </c>
      <c r="AC77" s="41">
        <f>CHOOSE(TM1Live,TM1Live!AC77,TM1data!AC77)</f>
        <v>0</v>
      </c>
      <c r="AD77" s="41">
        <f>CHOOSE(TM1Live,TM1Live!AD77,TM1data!AD77)</f>
        <v>0</v>
      </c>
      <c r="AE77" s="42">
        <f>CHOOSE(TM1Live,TM1Live!AE77,TM1data!AE77)</f>
        <v>0</v>
      </c>
      <c r="AF77" s="41"/>
      <c r="AG77" s="40">
        <f>CHOOSE(TM1Live,TM1Live!AG77,TM1data!AG77)</f>
        <v>0</v>
      </c>
      <c r="AH77" s="41">
        <f>CHOOSE(TM1Live,TM1Live!AH77,TM1data!AH77)</f>
        <v>0</v>
      </c>
      <c r="AI77" s="41">
        <f>CHOOSE(TM1Live,TM1Live!AI77,TM1data!AI77)</f>
        <v>0</v>
      </c>
      <c r="AJ77" s="42">
        <f>CHOOSE(TM1Live,TM1Live!AJ77,TM1data!AJ77)</f>
        <v>0</v>
      </c>
    </row>
    <row r="78" spans="12:36" x14ac:dyDescent="0.25">
      <c r="L78" s="1" t="s">
        <v>798</v>
      </c>
      <c r="V78" s="11" t="s">
        <v>799</v>
      </c>
      <c r="W78" s="40">
        <f>CHOOSE(TM1Live,TM1Live!W78,TM1data!W78)</f>
        <v>0</v>
      </c>
      <c r="X78" s="41">
        <f>CHOOSE(TM1Live,TM1Live!X78,TM1data!X78)</f>
        <v>0</v>
      </c>
      <c r="Y78" s="41">
        <f>CHOOSE(TM1Live,TM1Live!Y78,TM1data!Y78)</f>
        <v>69.554731395611896</v>
      </c>
      <c r="Z78" s="42">
        <f>CHOOSE(TM1Live,TM1Live!Z78,TM1data!Z78)</f>
        <v>69.554731395611896</v>
      </c>
      <c r="AA78" s="41"/>
      <c r="AB78" s="40">
        <f>CHOOSE(TM1Live,TM1Live!AB78,TM1data!AB78)</f>
        <v>0</v>
      </c>
      <c r="AC78" s="41">
        <f>CHOOSE(TM1Live,TM1Live!AC78,TM1data!AC78)</f>
        <v>40</v>
      </c>
      <c r="AD78" s="41">
        <f>CHOOSE(TM1Live,TM1Live!AD78,TM1data!AD78)</f>
        <v>0</v>
      </c>
      <c r="AE78" s="42">
        <f>CHOOSE(TM1Live,TM1Live!AE78,TM1data!AE78)</f>
        <v>0</v>
      </c>
      <c r="AF78" s="41"/>
      <c r="AG78" s="40">
        <f>CHOOSE(TM1Live,TM1Live!AG78,TM1data!AG78)</f>
        <v>0</v>
      </c>
      <c r="AH78" s="41">
        <f>CHOOSE(TM1Live,TM1Live!AH78,TM1data!AH78)</f>
        <v>0</v>
      </c>
      <c r="AI78" s="41">
        <f>CHOOSE(TM1Live,TM1Live!AI78,TM1data!AI78)</f>
        <v>0</v>
      </c>
      <c r="AJ78" s="42">
        <f>CHOOSE(TM1Live,TM1Live!AJ78,TM1data!AJ78)</f>
        <v>0</v>
      </c>
    </row>
    <row r="79" spans="12:36" x14ac:dyDescent="0.25">
      <c r="L79" s="1" t="s">
        <v>800</v>
      </c>
      <c r="V79" s="11" t="s">
        <v>697</v>
      </c>
      <c r="W79" s="40">
        <f>CHOOSE(TM1Live,TM1Live!W79,TM1data!W79)</f>
        <v>0</v>
      </c>
      <c r="X79" s="41">
        <f>CHOOSE(TM1Live,TM1Live!X79,TM1data!X79)</f>
        <v>0</v>
      </c>
      <c r="Y79" s="41">
        <f>CHOOSE(TM1Live,TM1Live!Y79,TM1data!Y79)</f>
        <v>415.64480943225504</v>
      </c>
      <c r="Z79" s="42">
        <f>CHOOSE(TM1Live,TM1Live!Z79,TM1data!Z79)</f>
        <v>415.64480943225504</v>
      </c>
      <c r="AA79" s="41"/>
      <c r="AB79" s="40">
        <f>CHOOSE(TM1Live,TM1Live!AB79,TM1data!AB79)</f>
        <v>0</v>
      </c>
      <c r="AC79" s="41">
        <f>CHOOSE(TM1Live,TM1Live!AC79,TM1data!AC79)</f>
        <v>0</v>
      </c>
      <c r="AD79" s="41">
        <f>CHOOSE(TM1Live,TM1Live!AD79,TM1data!AD79)</f>
        <v>0</v>
      </c>
      <c r="AE79" s="42">
        <f>CHOOSE(TM1Live,TM1Live!AE79,TM1data!AE79)</f>
        <v>0</v>
      </c>
      <c r="AF79" s="41"/>
      <c r="AG79" s="40">
        <f>CHOOSE(TM1Live,TM1Live!AG79,TM1data!AG79)</f>
        <v>0</v>
      </c>
      <c r="AH79" s="41">
        <f>CHOOSE(TM1Live,TM1Live!AH79,TM1data!AH79)</f>
        <v>0</v>
      </c>
      <c r="AI79" s="41">
        <f>CHOOSE(TM1Live,TM1Live!AI79,TM1data!AI79)</f>
        <v>0</v>
      </c>
      <c r="AJ79" s="42">
        <f>CHOOSE(TM1Live,TM1Live!AJ79,TM1data!AJ79)</f>
        <v>0</v>
      </c>
    </row>
    <row r="80" spans="12:36" x14ac:dyDescent="0.25">
      <c r="L80" s="1" t="s">
        <v>801</v>
      </c>
      <c r="V80" s="15" t="s">
        <v>802</v>
      </c>
      <c r="W80" s="43">
        <f>CHOOSE(TM1Live,TM1Live!W80,TM1data!W80)</f>
        <v>0</v>
      </c>
      <c r="X80" s="44">
        <f>CHOOSE(TM1Live,TM1Live!X80,TM1data!X80)</f>
        <v>0</v>
      </c>
      <c r="Y80" s="44">
        <f>CHOOSE(TM1Live,TM1Live!Y80,TM1data!Y80)</f>
        <v>8.8477588778083968E-2</v>
      </c>
      <c r="Z80" s="45">
        <f>CHOOSE(TM1Live,TM1Live!Z80,TM1data!Z80)</f>
        <v>8.8477588778083968E-2</v>
      </c>
      <c r="AA80" s="46"/>
      <c r="AB80" s="43">
        <f>CHOOSE(TM1Live,TM1Live!AB80,TM1data!AB80)</f>
        <v>0</v>
      </c>
      <c r="AC80" s="44">
        <f>CHOOSE(TM1Live,TM1Live!AC80,TM1data!AC80)</f>
        <v>0</v>
      </c>
      <c r="AD80" s="44">
        <f>CHOOSE(TM1Live,TM1Live!AD80,TM1data!AD80)</f>
        <v>0</v>
      </c>
      <c r="AE80" s="45">
        <f>CHOOSE(TM1Live,TM1Live!AE80,TM1data!AE80)</f>
        <v>0</v>
      </c>
      <c r="AF80" s="46"/>
      <c r="AG80" s="43">
        <f>CHOOSE(TM1Live,TM1Live!AG80,TM1data!AG80)</f>
        <v>0</v>
      </c>
      <c r="AH80" s="44">
        <f>CHOOSE(TM1Live,TM1Live!AH80,TM1data!AH80)</f>
        <v>0</v>
      </c>
      <c r="AI80" s="44">
        <f>CHOOSE(TM1Live,TM1Live!AI80,TM1data!AI80)</f>
        <v>0</v>
      </c>
      <c r="AJ80" s="45">
        <f>CHOOSE(TM1Live,TM1Live!AJ80,TM1data!AJ80)</f>
        <v>0</v>
      </c>
    </row>
    <row r="81" spans="12:40" x14ac:dyDescent="0.25">
      <c r="L81" s="1" t="s">
        <v>803</v>
      </c>
    </row>
    <row r="82" spans="12:40" x14ac:dyDescent="0.25">
      <c r="L82" s="1" t="s">
        <v>804</v>
      </c>
      <c r="V82" s="4"/>
      <c r="W82" s="25"/>
      <c r="X82" s="25"/>
      <c r="Y82" s="25"/>
      <c r="Z82" s="25"/>
      <c r="AB82" s="25"/>
      <c r="AC82" s="25"/>
      <c r="AD82" s="25"/>
      <c r="AE82" s="25"/>
      <c r="AG82" s="25"/>
      <c r="AH82" s="25"/>
      <c r="AI82" s="25"/>
      <c r="AJ82" s="25"/>
      <c r="AL82" s="962" t="s">
        <v>870</v>
      </c>
      <c r="AM82" s="962" t="s">
        <v>869</v>
      </c>
      <c r="AN82" s="962" t="s">
        <v>868</v>
      </c>
    </row>
    <row r="83" spans="12:40" x14ac:dyDescent="0.25">
      <c r="L83" s="1" t="s">
        <v>805</v>
      </c>
      <c r="U83" s="6" t="s">
        <v>806</v>
      </c>
      <c r="AK83" s="1" t="s">
        <v>872</v>
      </c>
      <c r="AL83" s="966">
        <f>CHOOSE(TM1Live,TM1Live!AL83,TM1data!AL83)</f>
        <v>0</v>
      </c>
      <c r="AM83" s="966">
        <f>CHOOSE(TM1Live,TM1Live!AM83,TM1data!AM83)</f>
        <v>0</v>
      </c>
      <c r="AN83" s="966">
        <f>CHOOSE(TM1Live,TM1Live!AN83,TM1data!AN83)</f>
        <v>0</v>
      </c>
    </row>
    <row r="84" spans="12:40" x14ac:dyDescent="0.25">
      <c r="L84" s="1" t="s">
        <v>807</v>
      </c>
      <c r="V84" s="19" t="s">
        <v>712</v>
      </c>
      <c r="W84" s="47">
        <f>CHOOSE(TM1Live,TM1Live!W84,TM1data!W84)</f>
        <v>0</v>
      </c>
      <c r="X84" s="48">
        <f>CHOOSE(TM1Live,TM1Live!X84,TM1data!X84)</f>
        <v>0</v>
      </c>
      <c r="Y84" s="48">
        <f>CHOOSE(TM1Live,TM1Live!Y84,TM1data!Y84)</f>
        <v>5.8832639782239902</v>
      </c>
      <c r="Z84" s="49">
        <f>CHOOSE(TM1Live,TM1Live!Z84,TM1data!Z84)</f>
        <v>0</v>
      </c>
      <c r="AA84" s="23"/>
      <c r="AB84" s="47">
        <f>CHOOSE(TM1Live,TM1Live!AB84,TM1data!AB84)</f>
        <v>0</v>
      </c>
      <c r="AC84" s="48">
        <f>CHOOSE(TM1Live,TM1Live!AC84,TM1data!AC84)</f>
        <v>2.1</v>
      </c>
      <c r="AD84" s="48">
        <f>CHOOSE(TM1Live,TM1Live!AD84,TM1data!AD84)</f>
        <v>0</v>
      </c>
      <c r="AE84" s="49">
        <f>CHOOSE(TM1Live,TM1Live!AE84,TM1data!AE84)</f>
        <v>0</v>
      </c>
      <c r="AF84" s="23"/>
      <c r="AG84" s="47">
        <f>CHOOSE(TM1Live,TM1Live!AG84,TM1data!AG84)</f>
        <v>0</v>
      </c>
      <c r="AH84" s="48">
        <f>CHOOSE(TM1Live,TM1Live!AH84,TM1data!AH84)</f>
        <v>0</v>
      </c>
      <c r="AI84" s="48">
        <f>CHOOSE(TM1Live,TM1Live!AI84,TM1data!AI84)</f>
        <v>0</v>
      </c>
      <c r="AJ84" s="49">
        <f>CHOOSE(TM1Live,TM1Live!AJ84,TM1data!AJ84)</f>
        <v>0</v>
      </c>
      <c r="AL84" s="47">
        <f>CHOOSE(TM1Live,TM1Live!AL84,TM1data!AL84)</f>
        <v>0</v>
      </c>
      <c r="AM84" s="47">
        <f>CHOOSE(TM1Live,TM1Live!AM84,TM1data!AM84)</f>
        <v>0</v>
      </c>
      <c r="AN84" s="965">
        <f>CHOOSE(TM1Live,TM1Live!AN84,TM1data!AN84)</f>
        <v>0</v>
      </c>
    </row>
    <row r="85" spans="12:40" x14ac:dyDescent="0.25">
      <c r="L85" s="1" t="s">
        <v>808</v>
      </c>
      <c r="V85" s="11" t="s">
        <v>715</v>
      </c>
      <c r="W85" s="50">
        <f>CHOOSE(TM1Live,TM1Live!W85,TM1data!W85)</f>
        <v>0</v>
      </c>
      <c r="X85" s="36">
        <f>CHOOSE(TM1Live,TM1Live!X85,TM1data!X85)</f>
        <v>0</v>
      </c>
      <c r="Y85" s="36">
        <f>CHOOSE(TM1Live,TM1Live!Y85,TM1data!Y85)</f>
        <v>118</v>
      </c>
      <c r="Z85" s="51">
        <f>CHOOSE(TM1Live,TM1Live!Z85,TM1data!Z85)</f>
        <v>120</v>
      </c>
      <c r="AB85" s="50">
        <f>CHOOSE(TM1Live,TM1Live!AB85,TM1data!AB85)</f>
        <v>0</v>
      </c>
      <c r="AC85" s="36">
        <f>CHOOSE(TM1Live,TM1Live!AC85,TM1data!AC85)</f>
        <v>8</v>
      </c>
      <c r="AD85" s="36">
        <f>CHOOSE(TM1Live,TM1Live!AD85,TM1data!AD85)</f>
        <v>0</v>
      </c>
      <c r="AE85" s="51">
        <f>CHOOSE(TM1Live,TM1Live!AE85,TM1data!AE85)</f>
        <v>0</v>
      </c>
      <c r="AG85" s="50">
        <f>CHOOSE(TM1Live,TM1Live!AG85,TM1data!AG85)</f>
        <v>0</v>
      </c>
      <c r="AH85" s="36">
        <f>CHOOSE(TM1Live,TM1Live!AH85,TM1data!AH85)</f>
        <v>0</v>
      </c>
      <c r="AI85" s="36">
        <f>CHOOSE(TM1Live,TM1Live!AI85,TM1data!AI85)</f>
        <v>0</v>
      </c>
      <c r="AJ85" s="51">
        <f>CHOOSE(TM1Live,TM1Live!AJ85,TM1data!AJ85)</f>
        <v>0</v>
      </c>
      <c r="AL85" s="50">
        <f>CHOOSE(TM1Live,TM1Live!AL85,TM1data!AL85)</f>
        <v>0</v>
      </c>
      <c r="AM85" s="50">
        <f>CHOOSE(TM1Live,TM1Live!AM85,TM1data!AM85)</f>
        <v>0</v>
      </c>
      <c r="AN85" s="964">
        <f>CHOOSE(TM1Live,TM1Live!AN85,TM1data!AN85)</f>
        <v>0</v>
      </c>
    </row>
    <row r="86" spans="12:40" x14ac:dyDescent="0.25">
      <c r="L86" s="1" t="s">
        <v>809</v>
      </c>
      <c r="V86" s="11" t="s">
        <v>719</v>
      </c>
      <c r="W86" s="50">
        <f>CHOOSE(TM1Live,TM1Live!W86,TM1data!W86)</f>
        <v>0</v>
      </c>
      <c r="X86" s="36">
        <f>CHOOSE(TM1Live,TM1Live!X86,TM1data!X86)</f>
        <v>0</v>
      </c>
      <c r="Y86" s="36">
        <f>CHOOSE(TM1Live,TM1Live!Y86,TM1data!Y86)</f>
        <v>0.32476518075209276</v>
      </c>
      <c r="Z86" s="51">
        <f>CHOOSE(TM1Live,TM1Live!Z86,TM1data!Z86)</f>
        <v>0</v>
      </c>
      <c r="AB86" s="50">
        <f>CHOOSE(TM1Live,TM1Live!AB86,TM1data!AB86)</f>
        <v>0</v>
      </c>
      <c r="AC86" s="36">
        <f>CHOOSE(TM1Live,TM1Live!AC86,TM1data!AC86)</f>
        <v>0</v>
      </c>
      <c r="AD86" s="36">
        <f>CHOOSE(TM1Live,TM1Live!AD86,TM1data!AD86)</f>
        <v>0</v>
      </c>
      <c r="AE86" s="51">
        <f>CHOOSE(TM1Live,TM1Live!AE86,TM1data!AE86)</f>
        <v>0</v>
      </c>
      <c r="AG86" s="50">
        <f>CHOOSE(TM1Live,TM1Live!AG86,TM1data!AG86)</f>
        <v>0</v>
      </c>
      <c r="AH86" s="36">
        <f>CHOOSE(TM1Live,TM1Live!AH86,TM1data!AH86)</f>
        <v>0</v>
      </c>
      <c r="AI86" s="36">
        <f>CHOOSE(TM1Live,TM1Live!AI86,TM1data!AI86)</f>
        <v>0</v>
      </c>
      <c r="AJ86" s="51">
        <f>CHOOSE(TM1Live,TM1Live!AJ86,TM1data!AJ86)</f>
        <v>0</v>
      </c>
      <c r="AL86" s="50">
        <f>CHOOSE(TM1Live,TM1Live!AL86,TM1data!AL86)</f>
        <v>0</v>
      </c>
      <c r="AM86" s="50">
        <f>CHOOSE(TM1Live,TM1Live!AM86,TM1data!AM86)</f>
        <v>0</v>
      </c>
      <c r="AN86" s="964">
        <f>CHOOSE(TM1Live,TM1Live!AN86,TM1data!AN86)</f>
        <v>0</v>
      </c>
    </row>
    <row r="87" spans="12:40" x14ac:dyDescent="0.25">
      <c r="L87" s="1" t="s">
        <v>810</v>
      </c>
      <c r="V87" s="15" t="s">
        <v>722</v>
      </c>
      <c r="W87" s="52">
        <f>CHOOSE(TM1Live,TM1Live!W87,TM1data!W87)</f>
        <v>0</v>
      </c>
      <c r="X87" s="53">
        <f>CHOOSE(TM1Live,TM1Live!X87,TM1data!X87)</f>
        <v>0</v>
      </c>
      <c r="Y87" s="53">
        <f>CHOOSE(TM1Live,TM1Live!Y87,TM1data!Y87)</f>
        <v>5.7341193579059233</v>
      </c>
      <c r="Z87" s="54">
        <f>CHOOSE(TM1Live,TM1Live!Z87,TM1data!Z87)</f>
        <v>0</v>
      </c>
      <c r="AA87" s="46"/>
      <c r="AB87" s="52">
        <f>CHOOSE(TM1Live,TM1Live!AB87,TM1data!AB87)</f>
        <v>0</v>
      </c>
      <c r="AC87" s="53">
        <f>CHOOSE(TM1Live,TM1Live!AC87,TM1data!AC87)</f>
        <v>0</v>
      </c>
      <c r="AD87" s="53">
        <f>CHOOSE(TM1Live,TM1Live!AD87,TM1data!AD87)</f>
        <v>0</v>
      </c>
      <c r="AE87" s="54">
        <f>CHOOSE(TM1Live,TM1Live!AE87,TM1data!AE87)</f>
        <v>0</v>
      </c>
      <c r="AF87" s="46"/>
      <c r="AG87" s="52">
        <f>CHOOSE(TM1Live,TM1Live!AG87,TM1data!AG87)</f>
        <v>0</v>
      </c>
      <c r="AH87" s="53">
        <f>CHOOSE(TM1Live,TM1Live!AH87,TM1data!AH87)</f>
        <v>0</v>
      </c>
      <c r="AI87" s="53">
        <f>CHOOSE(TM1Live,TM1Live!AI87,TM1data!AI87)</f>
        <v>0</v>
      </c>
      <c r="AJ87" s="54">
        <f>CHOOSE(TM1Live,TM1Live!AJ87,TM1data!AJ87)</f>
        <v>0</v>
      </c>
      <c r="AL87" s="52">
        <f>CHOOSE(TM1Live,TM1Live!AL87,TM1data!AL87)</f>
        <v>0</v>
      </c>
      <c r="AM87" s="52">
        <f>CHOOSE(TM1Live,TM1Live!AM87,TM1data!AM87)</f>
        <v>0</v>
      </c>
      <c r="AN87" s="963">
        <f>CHOOSE(TM1Live,TM1Live!AN87,TM1data!AN87)</f>
        <v>0</v>
      </c>
    </row>
    <row r="88" spans="12:40" x14ac:dyDescent="0.25">
      <c r="L88" s="1" t="s">
        <v>811</v>
      </c>
      <c r="V88" s="4"/>
    </row>
    <row r="89" spans="12:40" x14ac:dyDescent="0.25">
      <c r="L89" s="1" t="s">
        <v>812</v>
      </c>
    </row>
    <row r="90" spans="12:40" x14ac:dyDescent="0.25">
      <c r="L90" s="1" t="s">
        <v>813</v>
      </c>
    </row>
    <row r="91" spans="12:40" x14ac:dyDescent="0.25">
      <c r="L91" s="1" t="s">
        <v>814</v>
      </c>
    </row>
    <row r="92" spans="12:40" x14ac:dyDescent="0.25">
      <c r="U92" s="6" t="s">
        <v>816</v>
      </c>
    </row>
    <row r="93" spans="12:40" ht="42.75" x14ac:dyDescent="0.25">
      <c r="L93" s="1" t="s">
        <v>815</v>
      </c>
      <c r="V93" s="55"/>
      <c r="W93" s="8" t="s">
        <v>250</v>
      </c>
      <c r="X93" s="9" t="s">
        <v>288</v>
      </c>
      <c r="Y93" s="9" t="s">
        <v>248</v>
      </c>
      <c r="Z93" s="9" t="s">
        <v>232</v>
      </c>
      <c r="AA93" s="9" t="s">
        <v>235</v>
      </c>
      <c r="AB93" s="9" t="s">
        <v>236</v>
      </c>
      <c r="AC93" s="9" t="s">
        <v>237</v>
      </c>
      <c r="AD93" s="9" t="s">
        <v>238</v>
      </c>
      <c r="AE93" s="10" t="s">
        <v>239</v>
      </c>
      <c r="AG93" s="56"/>
      <c r="AH93" s="56"/>
      <c r="AI93" s="56"/>
      <c r="AJ93" s="56"/>
    </row>
    <row r="94" spans="12:40" x14ac:dyDescent="0.25">
      <c r="L94" s="1" t="s">
        <v>817</v>
      </c>
      <c r="V94" s="19" t="str">
        <f>CHOOSE(TM1Live,TM1Live!V94,TM1data!V94)</f>
        <v>95076 - WB Santa Cruz</v>
      </c>
      <c r="W94" s="56">
        <f>CHOOSE(TM1Live,TM1Live!W94,TM1data!W94)</f>
        <v>67.251505786676844</v>
      </c>
      <c r="X94" s="56">
        <f>CHOOSE(TM1Live,TM1Live!X94,TM1data!X94)</f>
        <v>0</v>
      </c>
      <c r="Y94" s="56">
        <f>CHOOSE(TM1Live,TM1Live!Y94,TM1data!Y94)</f>
        <v>0</v>
      </c>
      <c r="Z94" s="56">
        <f>CHOOSE(TM1Live,TM1Live!Z94,TM1data!Z94)</f>
        <v>51.264150080956092</v>
      </c>
      <c r="AA94" s="56">
        <f>CHOOSE(TM1Live,TM1Live!AA94,TM1data!AA94)</f>
        <v>45.019197207678879</v>
      </c>
      <c r="AB94" s="56">
        <f>CHOOSE(TM1Live,TM1Live!AB94,TM1data!AB94)</f>
        <v>25.94099774585996</v>
      </c>
      <c r="AC94" s="56">
        <f>CHOOSE(TM1Live,TM1Live!AC94,TM1data!AC94)</f>
        <v>44.704866716111866</v>
      </c>
      <c r="AD94" s="56">
        <f>CHOOSE(TM1Live,TM1Live!AD94,TM1data!AD94)</f>
        <v>43.41810080696937</v>
      </c>
      <c r="AE94" s="57">
        <f>CHOOSE(TM1Live,TM1Live!AE94,TM1data!AE94)</f>
        <v>28.315270321348759</v>
      </c>
      <c r="AG94" s="56"/>
      <c r="AH94" s="56"/>
      <c r="AI94" s="56"/>
      <c r="AJ94" s="56"/>
    </row>
    <row r="95" spans="12:40" x14ac:dyDescent="0.25">
      <c r="L95" s="1" t="s">
        <v>838</v>
      </c>
      <c r="V95" s="11">
        <f>CHOOSE(TM1Live,TM1Live!V95,TM1data!V95)</f>
        <v>0</v>
      </c>
      <c r="W95" s="56">
        <f>CHOOSE(TM1Live,TM1Live!W95,TM1data!W95)</f>
        <v>0</v>
      </c>
      <c r="X95" s="56">
        <f>CHOOSE(TM1Live,TM1Live!X95,TM1data!X95)</f>
        <v>0</v>
      </c>
      <c r="Y95" s="56">
        <f>CHOOSE(TM1Live,TM1Live!Y95,TM1data!Y95)</f>
        <v>0</v>
      </c>
      <c r="Z95" s="56">
        <f>CHOOSE(TM1Live,TM1Live!Z95,TM1data!Z95)</f>
        <v>0</v>
      </c>
      <c r="AA95" s="56">
        <f>CHOOSE(TM1Live,TM1Live!AA95,TM1data!AA95)</f>
        <v>0</v>
      </c>
      <c r="AB95" s="56">
        <f>CHOOSE(TM1Live,TM1Live!AB95,TM1data!AB95)</f>
        <v>0</v>
      </c>
      <c r="AC95" s="56">
        <f>CHOOSE(TM1Live,TM1Live!AC95,TM1data!AC95)</f>
        <v>0</v>
      </c>
      <c r="AD95" s="56">
        <f>CHOOSE(TM1Live,TM1Live!AD95,TM1data!AD95)</f>
        <v>0</v>
      </c>
      <c r="AE95" s="57">
        <f>CHOOSE(TM1Live,TM1Live!AE95,TM1data!AE95)</f>
        <v>0</v>
      </c>
      <c r="AG95" s="56"/>
      <c r="AH95" s="56"/>
      <c r="AI95" s="56"/>
      <c r="AJ95" s="56"/>
    </row>
    <row r="96" spans="12:40" x14ac:dyDescent="0.25">
      <c r="L96" s="1" t="s">
        <v>839</v>
      </c>
      <c r="V96" s="11">
        <f>CHOOSE(TM1Live,TM1Live!V96,TM1data!V96)</f>
        <v>0</v>
      </c>
      <c r="W96" s="56">
        <f>CHOOSE(TM1Live,TM1Live!W96,TM1data!W96)</f>
        <v>0</v>
      </c>
      <c r="X96" s="56">
        <f>CHOOSE(TM1Live,TM1Live!X96,TM1data!X96)</f>
        <v>0</v>
      </c>
      <c r="Y96" s="56">
        <f>CHOOSE(TM1Live,TM1Live!Y96,TM1data!Y96)</f>
        <v>0</v>
      </c>
      <c r="Z96" s="56">
        <f>CHOOSE(TM1Live,TM1Live!Z96,TM1data!Z96)</f>
        <v>0</v>
      </c>
      <c r="AA96" s="56">
        <f>CHOOSE(TM1Live,TM1Live!AA96,TM1data!AA96)</f>
        <v>0</v>
      </c>
      <c r="AB96" s="56">
        <f>CHOOSE(TM1Live,TM1Live!AB96,TM1data!AB96)</f>
        <v>0</v>
      </c>
      <c r="AC96" s="56">
        <f>CHOOSE(TM1Live,TM1Live!AC96,TM1data!AC96)</f>
        <v>0</v>
      </c>
      <c r="AD96" s="56">
        <f>CHOOSE(TM1Live,TM1Live!AD96,TM1data!AD96)</f>
        <v>0</v>
      </c>
      <c r="AE96" s="57">
        <f>CHOOSE(TM1Live,TM1Live!AE96,TM1data!AE96)</f>
        <v>0</v>
      </c>
      <c r="AG96" s="56"/>
      <c r="AH96" s="56"/>
      <c r="AI96" s="56"/>
      <c r="AJ96" s="56"/>
    </row>
    <row r="97" spans="12:36" x14ac:dyDescent="0.25">
      <c r="L97" s="1" t="s">
        <v>840</v>
      </c>
      <c r="U97" s="962" t="s">
        <v>870</v>
      </c>
      <c r="V97" s="58">
        <f>CHOOSE(TM1Live,TM1Live!V97,TM1data!V97)</f>
        <v>0</v>
      </c>
      <c r="W97" s="59">
        <f>CHOOSE(TM1Live,TM1Live!W97,TM1data!W97)</f>
        <v>0</v>
      </c>
      <c r="X97" s="59">
        <f>CHOOSE(TM1Live,TM1Live!X97,TM1data!X97)</f>
        <v>0</v>
      </c>
      <c r="Y97" s="59">
        <f>CHOOSE(TM1Live,TM1Live!Y97,TM1data!Y97)</f>
        <v>0</v>
      </c>
      <c r="Z97" s="59">
        <f>CHOOSE(TM1Live,TM1Live!Z97,TM1data!Z97)</f>
        <v>0</v>
      </c>
      <c r="AA97" s="59">
        <f>CHOOSE(TM1Live,TM1Live!AA97,TM1data!AA97)</f>
        <v>0</v>
      </c>
      <c r="AB97" s="59">
        <f>CHOOSE(TM1Live,TM1Live!AB97,TM1data!AB97)</f>
        <v>0</v>
      </c>
      <c r="AC97" s="59">
        <f>CHOOSE(TM1Live,TM1Live!AC97,TM1data!AC97)</f>
        <v>0</v>
      </c>
      <c r="AD97" s="59">
        <f>CHOOSE(TM1Live,TM1Live!AD97,TM1data!AD97)</f>
        <v>0</v>
      </c>
      <c r="AE97" s="60">
        <f>CHOOSE(TM1Live,TM1Live!AE97,TM1data!AE97)</f>
        <v>0</v>
      </c>
      <c r="AF97" s="61"/>
      <c r="AG97" s="56"/>
      <c r="AH97" s="56"/>
      <c r="AI97" s="56"/>
      <c r="AJ97" s="56"/>
    </row>
    <row r="98" spans="12:36" x14ac:dyDescent="0.25">
      <c r="L98" s="1" t="s">
        <v>841</v>
      </c>
      <c r="U98" s="962" t="s">
        <v>869</v>
      </c>
      <c r="V98" s="58">
        <f>CHOOSE(TM1Live,TM1Live!V98,TM1data!V98)</f>
        <v>0</v>
      </c>
      <c r="W98" s="59">
        <f>CHOOSE(TM1Live,TM1Live!W98,TM1data!W98)</f>
        <v>0</v>
      </c>
      <c r="X98" s="59">
        <f>CHOOSE(TM1Live,TM1Live!X98,TM1data!X98)</f>
        <v>0</v>
      </c>
      <c r="Y98" s="59">
        <f>CHOOSE(TM1Live,TM1Live!Y98,TM1data!Y98)</f>
        <v>0</v>
      </c>
      <c r="Z98" s="59">
        <f>CHOOSE(TM1Live,TM1Live!Z98,TM1data!Z98)</f>
        <v>0</v>
      </c>
      <c r="AA98" s="59">
        <f>CHOOSE(TM1Live,TM1Live!AA98,TM1data!AA98)</f>
        <v>0</v>
      </c>
      <c r="AB98" s="59">
        <f>CHOOSE(TM1Live,TM1Live!AB98,TM1data!AB98)</f>
        <v>0</v>
      </c>
      <c r="AC98" s="59">
        <f>CHOOSE(TM1Live,TM1Live!AC98,TM1data!AC98)</f>
        <v>0</v>
      </c>
      <c r="AD98" s="59">
        <f>CHOOSE(TM1Live,TM1Live!AD98,TM1data!AD98)</f>
        <v>0</v>
      </c>
      <c r="AE98" s="60">
        <f>CHOOSE(TM1Live,TM1Live!AE98,TM1data!AE98)</f>
        <v>0</v>
      </c>
      <c r="AG98" s="56"/>
      <c r="AH98" s="56"/>
      <c r="AI98" s="56"/>
      <c r="AJ98" s="56"/>
    </row>
    <row r="99" spans="12:36" x14ac:dyDescent="0.25">
      <c r="L99" s="1" t="s">
        <v>842</v>
      </c>
      <c r="U99" s="962" t="s">
        <v>868</v>
      </c>
      <c r="V99" s="58">
        <f>CHOOSE(TM1Live,TM1Live!V99,TM1data!V99)</f>
        <v>0</v>
      </c>
      <c r="W99" s="59">
        <f>CHOOSE(TM1Live,TM1Live!W99,TM1data!W99)</f>
        <v>0</v>
      </c>
      <c r="X99" s="59">
        <f>CHOOSE(TM1Live,TM1Live!X99,TM1data!X99)</f>
        <v>0</v>
      </c>
      <c r="Y99" s="59">
        <f>CHOOSE(TM1Live,TM1Live!Y99,TM1data!Y99)</f>
        <v>0</v>
      </c>
      <c r="Z99" s="59">
        <f>CHOOSE(TM1Live,TM1Live!Z99,TM1data!Z99)</f>
        <v>0</v>
      </c>
      <c r="AA99" s="59">
        <f>CHOOSE(TM1Live,TM1Live!AA99,TM1data!AA99)</f>
        <v>0</v>
      </c>
      <c r="AB99" s="59">
        <f>CHOOSE(TM1Live,TM1Live!AB99,TM1data!AB99)</f>
        <v>0</v>
      </c>
      <c r="AC99" s="59">
        <f>CHOOSE(TM1Live,TM1Live!AC99,TM1data!AC99)</f>
        <v>0</v>
      </c>
      <c r="AD99" s="59">
        <f>CHOOSE(TM1Live,TM1Live!AD99,TM1data!AD99)</f>
        <v>0</v>
      </c>
      <c r="AE99" s="60">
        <f>CHOOSE(TM1Live,TM1Live!AE99,TM1data!AE99)</f>
        <v>0</v>
      </c>
      <c r="AG99" s="56"/>
      <c r="AH99" s="56"/>
      <c r="AI99" s="56"/>
      <c r="AJ99" s="56"/>
    </row>
    <row r="100" spans="12:36" x14ac:dyDescent="0.25">
      <c r="L100" s="1" t="s">
        <v>843</v>
      </c>
    </row>
    <row r="102" spans="12:36" x14ac:dyDescent="0.25">
      <c r="L102" s="1" t="s">
        <v>844</v>
      </c>
    </row>
    <row r="103" spans="12:36" ht="21" customHeight="1" x14ac:dyDescent="0.25">
      <c r="L103" s="1" t="s">
        <v>845</v>
      </c>
    </row>
    <row r="104" spans="12:36" x14ac:dyDescent="0.25">
      <c r="L104" s="1" t="s">
        <v>846</v>
      </c>
    </row>
    <row r="105" spans="12:36" x14ac:dyDescent="0.25">
      <c r="L105" s="1" t="s">
        <v>847</v>
      </c>
    </row>
    <row r="106" spans="12:36" x14ac:dyDescent="0.25">
      <c r="L106" s="1" t="s">
        <v>848</v>
      </c>
    </row>
    <row r="107" spans="12:36" x14ac:dyDescent="0.25">
      <c r="L107" s="1" t="s">
        <v>818</v>
      </c>
      <c r="U107" s="6" t="s">
        <v>864</v>
      </c>
    </row>
    <row r="108" spans="12:36" x14ac:dyDescent="0.25">
      <c r="L108" s="1" t="s">
        <v>819</v>
      </c>
      <c r="V108" s="69" t="s">
        <v>157</v>
      </c>
      <c r="W108" s="37">
        <f>CHOOSE(TM1Live,TM1Live!W108,TM1data!W108)</f>
        <v>23762.71</v>
      </c>
      <c r="X108" s="1678" t="s">
        <v>614</v>
      </c>
      <c r="Y108" s="1679"/>
      <c r="Z108" s="1680"/>
      <c r="AA108" s="38"/>
      <c r="AB108" s="37">
        <f>CHOOSE(TM1Live,TM1Live!AB108,TM1data!AB108)</f>
        <v>0</v>
      </c>
      <c r="AC108" s="1678" t="s">
        <v>614</v>
      </c>
      <c r="AD108" s="1679"/>
      <c r="AE108" s="1680"/>
      <c r="AF108" s="38"/>
      <c r="AG108" s="37">
        <f>CHOOSE(TM1Live,TM1Live!AG108,TM1data!AG108)</f>
        <v>0</v>
      </c>
      <c r="AH108" s="1678" t="s">
        <v>614</v>
      </c>
      <c r="AI108" s="1679"/>
      <c r="AJ108" s="1680"/>
    </row>
    <row r="109" spans="12:36" x14ac:dyDescent="0.25">
      <c r="L109" s="1" t="s">
        <v>820</v>
      </c>
      <c r="V109" s="70" t="s">
        <v>283</v>
      </c>
      <c r="W109" s="12">
        <f>CHOOSE(TM1Live,TM1Live!W109,TM1data!W109)</f>
        <v>9371.17</v>
      </c>
      <c r="X109" s="1681"/>
      <c r="Y109" s="1682"/>
      <c r="Z109" s="1683"/>
      <c r="AA109" s="13"/>
      <c r="AB109" s="12">
        <f>CHOOSE(TM1Live,TM1Live!AB109,TM1data!AB109)</f>
        <v>0</v>
      </c>
      <c r="AC109" s="1681"/>
      <c r="AD109" s="1682"/>
      <c r="AE109" s="1683"/>
      <c r="AF109" s="13"/>
      <c r="AG109" s="12">
        <f>CHOOSE(TM1Live,TM1Live!AG109,TM1data!AG109)</f>
        <v>0</v>
      </c>
      <c r="AH109" s="1681"/>
      <c r="AI109" s="1682"/>
      <c r="AJ109" s="1683"/>
    </row>
    <row r="110" spans="12:36" x14ac:dyDescent="0.25">
      <c r="L110" s="1" t="s">
        <v>821</v>
      </c>
      <c r="V110" s="70" t="s">
        <v>863</v>
      </c>
      <c r="W110" s="12">
        <f>CHOOSE(TM1Live,TM1Live!W110,TM1data!W110)</f>
        <v>26213.57</v>
      </c>
      <c r="X110" s="1681"/>
      <c r="Y110" s="1682"/>
      <c r="Z110" s="1683"/>
      <c r="AA110" s="13"/>
      <c r="AB110" s="12">
        <f>CHOOSE(TM1Live,TM1Live!AB110,TM1data!AB110)</f>
        <v>0</v>
      </c>
      <c r="AC110" s="1681"/>
      <c r="AD110" s="1682"/>
      <c r="AE110" s="1683"/>
      <c r="AF110" s="13"/>
      <c r="AG110" s="12">
        <f>CHOOSE(TM1Live,TM1Live!AG110,TM1data!AG110)</f>
        <v>0</v>
      </c>
      <c r="AH110" s="1681"/>
      <c r="AI110" s="1682"/>
      <c r="AJ110" s="1683"/>
    </row>
    <row r="111" spans="12:36" x14ac:dyDescent="0.25">
      <c r="L111" s="1" t="s">
        <v>849</v>
      </c>
      <c r="V111" s="71" t="s">
        <v>285</v>
      </c>
      <c r="W111" s="72">
        <f>CHOOSE(TM1Live,TM1Live!W111,TM1data!W111)</f>
        <v>83158.399999999994</v>
      </c>
      <c r="X111" s="1684"/>
      <c r="Y111" s="1685"/>
      <c r="Z111" s="1686"/>
      <c r="AA111" s="73"/>
      <c r="AB111" s="72">
        <f>CHOOSE(TM1Live,TM1Live!AB111,TM1data!AB111)</f>
        <v>0</v>
      </c>
      <c r="AC111" s="1684"/>
      <c r="AD111" s="1685"/>
      <c r="AE111" s="1686"/>
      <c r="AF111" s="73"/>
      <c r="AG111" s="72">
        <f>CHOOSE(TM1Live,TM1Live!AG111,TM1data!AG111)</f>
        <v>0</v>
      </c>
      <c r="AH111" s="1684"/>
      <c r="AI111" s="1685"/>
      <c r="AJ111" s="1686"/>
    </row>
    <row r="112" spans="12:36" x14ac:dyDescent="0.25">
      <c r="L112" s="1" t="s">
        <v>850</v>
      </c>
    </row>
    <row r="113" spans="12:29" x14ac:dyDescent="0.25">
      <c r="L113" s="1" t="s">
        <v>851</v>
      </c>
    </row>
    <row r="114" spans="12:29" x14ac:dyDescent="0.25">
      <c r="L114" s="1" t="s">
        <v>852</v>
      </c>
    </row>
    <row r="115" spans="12:29" x14ac:dyDescent="0.25">
      <c r="L115" s="1" t="s">
        <v>853</v>
      </c>
      <c r="U115" s="62" t="s">
        <v>871</v>
      </c>
    </row>
    <row r="116" spans="12:29" x14ac:dyDescent="0.25">
      <c r="L116" s="1" t="s">
        <v>854</v>
      </c>
      <c r="V116" s="63"/>
      <c r="W116" s="64" t="s">
        <v>827</v>
      </c>
      <c r="X116" s="64" t="s">
        <v>828</v>
      </c>
      <c r="Y116" s="64" t="s">
        <v>829</v>
      </c>
      <c r="Z116" s="64" t="s">
        <v>830</v>
      </c>
      <c r="AA116" s="64" t="s">
        <v>109</v>
      </c>
      <c r="AB116" s="64" t="s">
        <v>831</v>
      </c>
      <c r="AC116" s="65" t="s">
        <v>832</v>
      </c>
    </row>
    <row r="117" spans="12:29" x14ac:dyDescent="0.25">
      <c r="L117" s="1" t="s">
        <v>855</v>
      </c>
      <c r="U117" s="962" t="s">
        <v>870</v>
      </c>
      <c r="V117" s="66">
        <f>CHOOSE(TM1Live,TM1Live!V117,TM1data!V117)</f>
        <v>0</v>
      </c>
      <c r="W117" s="67">
        <f>CHOOSE(TM1Live,TM1Live!W117,TM1data!W117)</f>
        <v>0</v>
      </c>
      <c r="X117" s="67">
        <f>CHOOSE(TM1Live,TM1Live!X117,TM1data!X117)</f>
        <v>0</v>
      </c>
      <c r="Y117" s="67">
        <f>CHOOSE(TM1Live,TM1Live!Y117,TM1data!Y117)</f>
        <v>0</v>
      </c>
      <c r="Z117" s="67">
        <f>CHOOSE(TM1Live,TM1Live!Z117,TM1data!Z117)</f>
        <v>0</v>
      </c>
      <c r="AA117" s="67">
        <f>CHOOSE(TM1Live,TM1Live!AA117,TM1data!AA117)</f>
        <v>0</v>
      </c>
      <c r="AB117" s="67">
        <f>CHOOSE(TM1Live,TM1Live!AB117,TM1data!AB117)</f>
        <v>0</v>
      </c>
      <c r="AC117" s="68">
        <f>CHOOSE(TM1Live,TM1Live!AC117,TM1data!AC117)</f>
        <v>0</v>
      </c>
    </row>
    <row r="118" spans="12:29" x14ac:dyDescent="0.25">
      <c r="L118" s="1" t="s">
        <v>856</v>
      </c>
      <c r="U118" s="962" t="s">
        <v>869</v>
      </c>
      <c r="V118" s="66">
        <f>CHOOSE(TM1Live,TM1Live!V118,TM1data!V118)</f>
        <v>0</v>
      </c>
      <c r="W118" s="67">
        <f>CHOOSE(TM1Live,TM1Live!W118,TM1data!W118)</f>
        <v>0</v>
      </c>
      <c r="X118" s="67">
        <f>CHOOSE(TM1Live,TM1Live!X118,TM1data!X118)</f>
        <v>0</v>
      </c>
      <c r="Y118" s="67">
        <f>CHOOSE(TM1Live,TM1Live!Y118,TM1data!Y118)</f>
        <v>0</v>
      </c>
      <c r="Z118" s="67">
        <f>CHOOSE(TM1Live,TM1Live!Z118,TM1data!Z118)</f>
        <v>0</v>
      </c>
      <c r="AA118" s="67">
        <f>CHOOSE(TM1Live,TM1Live!AA118,TM1data!AA118)</f>
        <v>0</v>
      </c>
      <c r="AB118" s="67">
        <f>CHOOSE(TM1Live,TM1Live!AB118,TM1data!AB118)</f>
        <v>0</v>
      </c>
      <c r="AC118" s="68">
        <f>CHOOSE(TM1Live,TM1Live!AC118,TM1data!AC118)</f>
        <v>0</v>
      </c>
    </row>
    <row r="119" spans="12:29" x14ac:dyDescent="0.25">
      <c r="L119" s="1" t="s">
        <v>857</v>
      </c>
      <c r="U119" s="962" t="s">
        <v>868</v>
      </c>
      <c r="V119" s="66">
        <f>CHOOSE(TM1Live,TM1Live!V119,TM1data!V119)</f>
        <v>0</v>
      </c>
      <c r="W119" s="67">
        <f>CHOOSE(TM1Live,TM1Live!W119,TM1data!W119)</f>
        <v>0</v>
      </c>
      <c r="X119" s="67">
        <f>CHOOSE(TM1Live,TM1Live!X119,TM1data!X119)</f>
        <v>0</v>
      </c>
      <c r="Y119" s="67">
        <f>CHOOSE(TM1Live,TM1Live!Y119,TM1data!Y119)</f>
        <v>0</v>
      </c>
      <c r="Z119" s="67">
        <f>CHOOSE(TM1Live,TM1Live!Z119,TM1data!Z119)</f>
        <v>0</v>
      </c>
      <c r="AA119" s="67">
        <f>CHOOSE(TM1Live,TM1Live!AA119,TM1data!AA119)</f>
        <v>0</v>
      </c>
      <c r="AB119" s="67">
        <f>CHOOSE(TM1Live,TM1Live!AB119,TM1data!AB119)</f>
        <v>0</v>
      </c>
      <c r="AC119" s="68">
        <f>CHOOSE(TM1Live,TM1Live!AC119,TM1data!AC119)</f>
        <v>0</v>
      </c>
    </row>
    <row r="120" spans="12:29" x14ac:dyDescent="0.25">
      <c r="L120" s="1" t="s">
        <v>822</v>
      </c>
    </row>
    <row r="121" spans="12:29" x14ac:dyDescent="0.25">
      <c r="L121" s="1" t="s">
        <v>823</v>
      </c>
    </row>
    <row r="122" spans="12:29" x14ac:dyDescent="0.25">
      <c r="L122" s="1" t="s">
        <v>824</v>
      </c>
    </row>
    <row r="123" spans="12:29" x14ac:dyDescent="0.25">
      <c r="L123" s="1" t="s">
        <v>825</v>
      </c>
    </row>
    <row r="124" spans="12:29" x14ac:dyDescent="0.25">
      <c r="L124" s="1" t="s">
        <v>826</v>
      </c>
    </row>
    <row r="125" spans="12:29" x14ac:dyDescent="0.25">
      <c r="L125" s="1" t="s">
        <v>833</v>
      </c>
    </row>
    <row r="127" spans="12:29" x14ac:dyDescent="0.25">
      <c r="L127" s="1" t="s">
        <v>834</v>
      </c>
    </row>
    <row r="128" spans="12:29" x14ac:dyDescent="0.25">
      <c r="L128" s="1" t="s">
        <v>835</v>
      </c>
    </row>
    <row r="129" spans="12:12" x14ac:dyDescent="0.25">
      <c r="L129" s="1" t="s">
        <v>836</v>
      </c>
    </row>
    <row r="130" spans="12:12" x14ac:dyDescent="0.25">
      <c r="L130" s="1" t="s">
        <v>837</v>
      </c>
    </row>
    <row r="132" spans="12:12" x14ac:dyDescent="0.25">
      <c r="L132" s="1" t="s">
        <v>702</v>
      </c>
    </row>
    <row r="133" spans="12:12" x14ac:dyDescent="0.25">
      <c r="L133" s="1" t="s">
        <v>706</v>
      </c>
    </row>
    <row r="134" spans="12:12" x14ac:dyDescent="0.25">
      <c r="L134" s="1" t="s">
        <v>709</v>
      </c>
    </row>
    <row r="135" spans="12:12" x14ac:dyDescent="0.25">
      <c r="L135" s="1" t="s">
        <v>711</v>
      </c>
    </row>
  </sheetData>
  <mergeCells count="12">
    <mergeCell ref="AG47:AJ47"/>
    <mergeCell ref="Y42:Z42"/>
    <mergeCell ref="Y43:Z43"/>
    <mergeCell ref="Y44:Z44"/>
    <mergeCell ref="W47:Z47"/>
    <mergeCell ref="AB47:AE47"/>
    <mergeCell ref="W48:Z48"/>
    <mergeCell ref="AB48:AE48"/>
    <mergeCell ref="AG48:AJ48"/>
    <mergeCell ref="X108:Z111"/>
    <mergeCell ref="AC108:AE111"/>
    <mergeCell ref="AH108:AJ111"/>
  </mergeCells>
  <dataValidations count="1">
    <dataValidation type="list" allowBlank="1" showInputMessage="1" showErrorMessage="1" sqref="V42">
      <formula1>$L$2:$L$127</formula1>
    </dataValidation>
  </dataValidations>
  <pageMargins left="0.23" right="0.2" top="0.75" bottom="0.75" header="0.3" footer="0.3"/>
  <pageSetup scale="50" orientation="landscape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>
    <tabColor rgb="FFFFFF00"/>
  </sheetPr>
  <dimension ref="B3"/>
  <sheetViews>
    <sheetView workbookViewId="0"/>
  </sheetViews>
  <sheetFormatPr defaultColWidth="9.140625" defaultRowHeight="15" x14ac:dyDescent="0.25"/>
  <cols>
    <col min="1" max="1" width="5.42578125" style="1" customWidth="1"/>
    <col min="2" max="16384" width="9.140625" style="1"/>
  </cols>
  <sheetData>
    <row r="3" spans="2:2" x14ac:dyDescent="0.25">
      <c r="B3" s="1" t="s">
        <v>925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3" tint="-0.249977111117893"/>
  </sheetPr>
  <dimension ref="A1:L18"/>
  <sheetViews>
    <sheetView workbookViewId="0"/>
  </sheetViews>
  <sheetFormatPr defaultColWidth="9.42578125" defaultRowHeight="15" x14ac:dyDescent="0.25"/>
  <cols>
    <col min="1" max="1" width="9.42578125" style="1"/>
    <col min="2" max="2" width="12.140625" style="1" customWidth="1"/>
    <col min="3" max="3" width="13.42578125" style="1" customWidth="1"/>
    <col min="4" max="4" width="12.85546875" style="1" customWidth="1"/>
    <col min="5" max="5" width="10.42578125" style="1" customWidth="1"/>
    <col min="6" max="6" width="12.42578125" style="1" customWidth="1"/>
    <col min="7" max="7" width="11.42578125" style="1" customWidth="1"/>
    <col min="8" max="8" width="9.42578125" style="1"/>
    <col min="9" max="9" width="11.42578125" style="1" bestFit="1" customWidth="1"/>
    <col min="10" max="16384" width="9.42578125" style="1"/>
  </cols>
  <sheetData>
    <row r="1" spans="1:12" s="106" customFormat="1" ht="18.75" x14ac:dyDescent="0.3">
      <c r="A1" s="74" t="s">
        <v>391</v>
      </c>
    </row>
    <row r="3" spans="1:12" ht="17.25" x14ac:dyDescent="0.4">
      <c r="A3" s="106" t="s">
        <v>998</v>
      </c>
      <c r="E3" s="75"/>
      <c r="F3" s="291"/>
      <c r="J3" s="76"/>
    </row>
    <row r="4" spans="1:12" s="268" customFormat="1" ht="17.25" x14ac:dyDescent="0.4">
      <c r="B4" s="268" t="s">
        <v>997</v>
      </c>
      <c r="C4" s="291" t="s">
        <v>64</v>
      </c>
      <c r="D4" s="291" t="s">
        <v>1001</v>
      </c>
      <c r="F4" s="291" t="s">
        <v>392</v>
      </c>
      <c r="I4" s="291"/>
    </row>
    <row r="5" spans="1:12" x14ac:dyDescent="0.25">
      <c r="A5" s="1" t="s">
        <v>999</v>
      </c>
      <c r="B5" s="1292" t="str">
        <f>'D6'!$B$3</f>
        <v>Appendix D6</v>
      </c>
      <c r="C5" s="829">
        <f>'D6'!$K$27</f>
        <v>-192.68548072641931</v>
      </c>
      <c r="D5" s="77">
        <v>0.67828161320288327</v>
      </c>
      <c r="F5" s="1293">
        <f>D5</f>
        <v>0.67828161320288327</v>
      </c>
      <c r="I5" s="79"/>
      <c r="L5" s="76"/>
    </row>
    <row r="6" spans="1:12" x14ac:dyDescent="0.25">
      <c r="A6" s="1" t="s">
        <v>1000</v>
      </c>
      <c r="B6" s="1292" t="str">
        <f>'D7'!$B$3</f>
        <v>Appendix D7</v>
      </c>
      <c r="C6" s="829">
        <f>'D7'!$K$27</f>
        <v>0</v>
      </c>
      <c r="D6" s="77">
        <v>0.15</v>
      </c>
      <c r="E6" s="1" t="b">
        <f>'A1'!Q2</f>
        <v>0</v>
      </c>
      <c r="F6" s="1293" t="str">
        <f>IF(E6=TRUE,D6,"NMF")</f>
        <v>NMF</v>
      </c>
      <c r="L6" s="76"/>
    </row>
    <row r="7" spans="1:12" x14ac:dyDescent="0.25">
      <c r="C7" s="829">
        <f>ROUND(C5+C6,0)</f>
        <v>-193</v>
      </c>
      <c r="F7" s="7" t="str">
        <f>IF(C7=0,"","IRR not solved!")</f>
        <v>IRR not solved!</v>
      </c>
      <c r="G7" s="81"/>
    </row>
    <row r="8" spans="1:12" x14ac:dyDescent="0.25">
      <c r="G8" s="82"/>
      <c r="H8" s="83"/>
    </row>
    <row r="9" spans="1:12" x14ac:dyDescent="0.25">
      <c r="A9" s="1" t="s">
        <v>1012</v>
      </c>
    </row>
    <row r="10" spans="1:12" ht="15.75" thickBot="1" x14ac:dyDescent="0.3">
      <c r="B10" s="1" t="s">
        <v>432</v>
      </c>
      <c r="C10" s="1" t="s">
        <v>1014</v>
      </c>
      <c r="D10" s="1" t="s">
        <v>1013</v>
      </c>
    </row>
    <row r="11" spans="1:12" ht="15.75" thickTop="1" x14ac:dyDescent="0.25">
      <c r="A11" s="1069">
        <v>0.03</v>
      </c>
      <c r="B11" s="76">
        <v>-0.1</v>
      </c>
      <c r="C11" s="1296">
        <f>'A1'!Y9</f>
        <v>0</v>
      </c>
      <c r="D11" s="1297">
        <f>'A1'!Z9</f>
        <v>686.31464635768225</v>
      </c>
    </row>
    <row r="12" spans="1:12" x14ac:dyDescent="0.25">
      <c r="B12" s="76">
        <f>'A4'!E10</f>
        <v>0</v>
      </c>
      <c r="C12" s="371">
        <v>0</v>
      </c>
      <c r="D12" s="371">
        <v>-8753.8284449394341</v>
      </c>
      <c r="I12" s="84"/>
    </row>
    <row r="13" spans="1:12" x14ac:dyDescent="0.25">
      <c r="B13" s="76">
        <f>'A4'!E11</f>
        <v>0.03</v>
      </c>
      <c r="C13" s="371">
        <v>0</v>
      </c>
      <c r="D13" s="371">
        <v>-8127.0558097642861</v>
      </c>
    </row>
    <row r="14" spans="1:12" x14ac:dyDescent="0.25">
      <c r="B14" s="76">
        <f>'A4'!E12</f>
        <v>0.05</v>
      </c>
      <c r="C14" s="371">
        <v>0</v>
      </c>
      <c r="D14" s="371">
        <v>-7709.2073863141895</v>
      </c>
    </row>
    <row r="15" spans="1:12" x14ac:dyDescent="0.25">
      <c r="B15" s="76">
        <f>'A4'!E13</f>
        <v>0.1</v>
      </c>
      <c r="C15" s="371">
        <v>0</v>
      </c>
      <c r="D15" s="371">
        <v>-6664.5863276889413</v>
      </c>
    </row>
    <row r="16" spans="1:12" x14ac:dyDescent="0.25">
      <c r="B16" s="76">
        <f>'A4'!E14</f>
        <v>-0.03</v>
      </c>
      <c r="C16" s="371">
        <v>0</v>
      </c>
      <c r="D16" s="371">
        <v>-9380.6010801145821</v>
      </c>
    </row>
    <row r="17" spans="2:4" x14ac:dyDescent="0.25">
      <c r="B17" s="76">
        <f>'A4'!E15</f>
        <v>-0.05</v>
      </c>
      <c r="C17" s="371">
        <v>0</v>
      </c>
      <c r="D17" s="371">
        <v>-9798.4495035646833</v>
      </c>
    </row>
    <row r="18" spans="2:4" x14ac:dyDescent="0.25">
      <c r="B18" s="76">
        <f>'A4'!E16</f>
        <v>-0.1</v>
      </c>
      <c r="C18" s="371">
        <v>0</v>
      </c>
      <c r="D18" s="371">
        <v>-10878.648241590396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1"/>
    <pageSetUpPr fitToPage="1"/>
  </sheetPr>
  <dimension ref="B6:F19"/>
  <sheetViews>
    <sheetView showGridLines="0" view="pageBreakPreview" zoomScale="80" zoomScaleNormal="100" zoomScaleSheetLayoutView="80" workbookViewId="0"/>
  </sheetViews>
  <sheetFormatPr defaultColWidth="9.42578125" defaultRowHeight="15" x14ac:dyDescent="0.25"/>
  <cols>
    <col min="1" max="1" width="3" style="1" customWidth="1"/>
    <col min="2" max="2" width="3.42578125" style="1" customWidth="1"/>
    <col min="3" max="3" width="9.42578125" style="1"/>
    <col min="4" max="4" width="81.5703125" style="173" customWidth="1"/>
    <col min="5" max="5" width="8.5703125" style="1" customWidth="1"/>
    <col min="6" max="6" width="3.42578125" style="1" customWidth="1"/>
    <col min="7" max="7" width="2.5703125" style="1" customWidth="1"/>
    <col min="8" max="16384" width="9.42578125" style="1"/>
  </cols>
  <sheetData>
    <row r="6" spans="2:6" ht="15.75" thickBot="1" x14ac:dyDescent="0.3">
      <c r="B6" s="85"/>
      <c r="C6" s="86"/>
      <c r="D6" s="87"/>
      <c r="E6" s="86"/>
      <c r="F6" s="86"/>
    </row>
    <row r="7" spans="2:6" ht="15.75" thickTop="1" x14ac:dyDescent="0.25">
      <c r="B7" s="88"/>
      <c r="C7" s="89"/>
      <c r="D7" s="90"/>
      <c r="E7" s="89"/>
      <c r="F7" s="89"/>
    </row>
    <row r="8" spans="2:6" s="94" customFormat="1" ht="49.5" x14ac:dyDescent="0.65">
      <c r="B8" s="91"/>
      <c r="C8" s="92"/>
      <c r="D8" s="93" t="s">
        <v>11</v>
      </c>
      <c r="E8" s="92"/>
      <c r="F8" s="92"/>
    </row>
    <row r="9" spans="2:6" x14ac:dyDescent="0.25">
      <c r="B9" s="88"/>
      <c r="C9" s="89"/>
      <c r="D9" s="90"/>
      <c r="E9" s="89"/>
      <c r="F9" s="89"/>
    </row>
    <row r="10" spans="2:6" x14ac:dyDescent="0.25">
      <c r="B10" s="88"/>
      <c r="C10" s="89"/>
      <c r="D10" s="90"/>
      <c r="E10" s="89"/>
      <c r="F10" s="89"/>
    </row>
    <row r="11" spans="2:6" x14ac:dyDescent="0.25">
      <c r="B11" s="88"/>
      <c r="C11" s="89"/>
      <c r="D11" s="90"/>
      <c r="E11" s="89"/>
      <c r="F11" s="89"/>
    </row>
    <row r="12" spans="2:6" ht="38.25" x14ac:dyDescent="0.55000000000000004">
      <c r="B12" s="88"/>
      <c r="C12" s="89"/>
      <c r="D12" s="95" t="str">
        <f>"Project: "&amp;'A1'!F3</f>
        <v>Project: WB Santa Cruz</v>
      </c>
      <c r="E12" s="89"/>
      <c r="F12" s="89"/>
    </row>
    <row r="13" spans="2:6" x14ac:dyDescent="0.25">
      <c r="B13" s="88"/>
      <c r="C13" s="89"/>
      <c r="D13" s="90"/>
      <c r="E13" s="89"/>
      <c r="F13" s="89"/>
    </row>
    <row r="14" spans="2:6" ht="15.75" thickBot="1" x14ac:dyDescent="0.3">
      <c r="B14" s="96"/>
      <c r="C14" s="97"/>
      <c r="D14" s="98"/>
      <c r="E14" s="97"/>
      <c r="F14" s="97"/>
    </row>
    <row r="15" spans="2:6" ht="15.75" thickTop="1" x14ac:dyDescent="0.25"/>
    <row r="18" spans="4:4" ht="26.25" x14ac:dyDescent="0.4">
      <c r="D18" s="99" t="s">
        <v>12</v>
      </c>
    </row>
    <row r="19" spans="4:4" ht="26.25" x14ac:dyDescent="0.4">
      <c r="D19" s="100">
        <f ca="1">NOW()</f>
        <v>43599.529573611107</v>
      </c>
    </row>
  </sheetData>
  <printOptions horizontalCentered="1" verticalCentered="1"/>
  <pageMargins left="0.7" right="0.7" top="0.75" bottom="0.75" header="0.3" footer="0.3"/>
  <pageSetup orientation="landscape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1"/>
    <pageSetUpPr fitToPage="1"/>
  </sheetPr>
  <dimension ref="B1:U72"/>
  <sheetViews>
    <sheetView showGridLines="0" view="pageBreakPreview" zoomScale="80" zoomScaleNormal="90" zoomScaleSheetLayoutView="80" workbookViewId="0"/>
  </sheetViews>
  <sheetFormatPr defaultColWidth="9.42578125" defaultRowHeight="15" x14ac:dyDescent="0.25"/>
  <cols>
    <col min="1" max="1" width="2.42578125" style="1" customWidth="1"/>
    <col min="2" max="2" width="5.42578125" style="1" customWidth="1"/>
    <col min="3" max="3" width="13" style="1" customWidth="1"/>
    <col min="4" max="6" width="9.42578125" style="1"/>
    <col min="7" max="7" width="24.5703125" style="1" customWidth="1"/>
    <col min="8" max="8" width="4.42578125" style="1" customWidth="1"/>
    <col min="9" max="10" width="12.42578125" style="1" customWidth="1"/>
    <col min="11" max="12" width="7" style="1" customWidth="1"/>
    <col min="13" max="18" width="9.42578125" style="1"/>
    <col min="19" max="21" width="12.5703125" style="1" customWidth="1"/>
    <col min="22" max="16384" width="9.42578125" style="1"/>
  </cols>
  <sheetData>
    <row r="1" spans="2:21" ht="9.6" customHeight="1" thickBot="1" x14ac:dyDescent="0.45">
      <c r="B1" s="85"/>
      <c r="C1" s="86"/>
      <c r="D1" s="85"/>
      <c r="E1" s="85"/>
      <c r="F1" s="85"/>
      <c r="G1" s="85"/>
      <c r="H1" s="85"/>
      <c r="I1" s="85"/>
      <c r="J1" s="85"/>
      <c r="K1" s="85"/>
      <c r="L1" s="85"/>
      <c r="M1" s="101"/>
      <c r="N1" s="101"/>
    </row>
    <row r="2" spans="2:21" ht="18.75" thickTop="1" x14ac:dyDescent="0.4">
      <c r="B2" s="102" t="str">
        <f>'A1'!F3</f>
        <v>WB Santa Cruz</v>
      </c>
      <c r="C2" s="89"/>
      <c r="D2" s="89"/>
      <c r="E2" s="89"/>
      <c r="F2" s="89"/>
      <c r="G2" s="89"/>
      <c r="H2" s="103">
        <v>1</v>
      </c>
      <c r="I2" s="89" t="s">
        <v>18</v>
      </c>
      <c r="J2" s="89"/>
      <c r="K2" s="89"/>
      <c r="L2" s="89"/>
      <c r="M2" s="101"/>
      <c r="N2" s="101"/>
    </row>
    <row r="3" spans="2:21" ht="18" x14ac:dyDescent="0.4">
      <c r="B3" s="102"/>
      <c r="C3" s="89"/>
      <c r="D3" s="89"/>
      <c r="E3" s="89"/>
      <c r="F3" s="89"/>
      <c r="G3" s="89"/>
      <c r="H3" s="89"/>
      <c r="I3" s="89" t="s">
        <v>0</v>
      </c>
      <c r="J3" s="89"/>
      <c r="K3" s="89"/>
      <c r="L3" s="89"/>
      <c r="M3" s="101"/>
      <c r="N3" s="101"/>
    </row>
    <row r="4" spans="2:21" ht="18.75" thickBot="1" x14ac:dyDescent="0.45">
      <c r="B4" s="104" t="s">
        <v>17</v>
      </c>
      <c r="C4" s="97"/>
      <c r="D4" s="97"/>
      <c r="E4" s="97"/>
      <c r="F4" s="97"/>
      <c r="G4" s="97"/>
      <c r="H4" s="97"/>
      <c r="I4" s="97" t="s">
        <v>1</v>
      </c>
      <c r="J4" s="97"/>
      <c r="K4" s="97"/>
      <c r="L4" s="97"/>
      <c r="M4" s="101"/>
      <c r="N4" s="101"/>
    </row>
    <row r="5" spans="2:21" ht="9" customHeight="1" thickTop="1" x14ac:dyDescent="0.4">
      <c r="B5" s="105"/>
      <c r="M5" s="101"/>
      <c r="N5" s="101"/>
    </row>
    <row r="6" spans="2:21" s="101" customFormat="1" ht="51.75" x14ac:dyDescent="0.4">
      <c r="I6" s="101" t="s">
        <v>6</v>
      </c>
      <c r="J6" s="101" t="s">
        <v>14</v>
      </c>
      <c r="S6" s="101" t="s">
        <v>9</v>
      </c>
      <c r="T6" s="101" t="s">
        <v>0</v>
      </c>
      <c r="U6" s="101" t="s">
        <v>1</v>
      </c>
    </row>
    <row r="7" spans="2:21" x14ac:dyDescent="0.25">
      <c r="B7" s="106" t="str">
        <f>"Section " &amp; P7</f>
        <v>Section A</v>
      </c>
      <c r="C7" s="106"/>
      <c r="D7" s="107" t="s">
        <v>190</v>
      </c>
      <c r="E7" s="106"/>
      <c r="F7" s="106"/>
      <c r="P7" s="173" t="str">
        <f>CHOOSE($H$2,S7,T7,U7)</f>
        <v>A</v>
      </c>
      <c r="Q7" s="173"/>
      <c r="R7" s="173"/>
      <c r="S7" s="173" t="s">
        <v>2</v>
      </c>
      <c r="T7" s="3" t="s">
        <v>3</v>
      </c>
      <c r="U7" s="3" t="s">
        <v>3</v>
      </c>
    </row>
    <row r="8" spans="2:21" x14ac:dyDescent="0.25">
      <c r="B8" s="1116">
        <f t="shared" ref="B8:B13" si="0">I8</f>
        <v>1</v>
      </c>
      <c r="C8" s="1" t="str">
        <f t="shared" ref="C8:C13" si="1">"Exhibit " &amp;P8&amp;Q8</f>
        <v>Exhibit A1</v>
      </c>
      <c r="D8" s="81" t="str">
        <f>'A1'!$B$4</f>
        <v>Key Inputs and Assumptions</v>
      </c>
      <c r="I8" s="173">
        <v>1</v>
      </c>
      <c r="J8" s="173">
        <v>1</v>
      </c>
      <c r="P8" s="173" t="str">
        <f t="shared" ref="P8:P13" si="2">P7</f>
        <v>A</v>
      </c>
      <c r="Q8" s="173">
        <v>1</v>
      </c>
      <c r="R8" s="173"/>
      <c r="S8" s="173"/>
      <c r="T8" s="173"/>
      <c r="U8" s="173"/>
    </row>
    <row r="9" spans="2:21" x14ac:dyDescent="0.25">
      <c r="B9" s="1116">
        <f t="shared" si="0"/>
        <v>2</v>
      </c>
      <c r="C9" s="1" t="str">
        <f t="shared" si="1"/>
        <v>Exhibit A2</v>
      </c>
      <c r="D9" s="81" t="str">
        <f>'A2'!$B$4</f>
        <v>TM1 Data Link</v>
      </c>
      <c r="I9" s="173">
        <f>I8+J8</f>
        <v>2</v>
      </c>
      <c r="J9" s="173">
        <v>1</v>
      </c>
      <c r="P9" s="173" t="str">
        <f t="shared" si="2"/>
        <v>A</v>
      </c>
      <c r="Q9" s="173">
        <f>Q8+1</f>
        <v>2</v>
      </c>
      <c r="R9" s="173"/>
      <c r="S9" s="173"/>
      <c r="T9" s="173"/>
      <c r="U9" s="173"/>
    </row>
    <row r="10" spans="2:21" x14ac:dyDescent="0.25">
      <c r="B10" s="1116">
        <f t="shared" si="0"/>
        <v>3</v>
      </c>
      <c r="C10" s="1" t="str">
        <f t="shared" si="1"/>
        <v>Exhibit A3</v>
      </c>
      <c r="D10" s="81" t="str">
        <f>'A3'!$B$4</f>
        <v>Year 1 Inputs and Scenarios for Patients &amp; Treatments</v>
      </c>
      <c r="I10" s="173">
        <f>I9+J9</f>
        <v>3</v>
      </c>
      <c r="J10" s="173">
        <v>1</v>
      </c>
      <c r="P10" s="173" t="str">
        <f t="shared" si="2"/>
        <v>A</v>
      </c>
      <c r="Q10" s="173">
        <f>Q9+1</f>
        <v>3</v>
      </c>
      <c r="R10" s="173"/>
      <c r="S10" s="173"/>
      <c r="T10" s="173"/>
      <c r="U10" s="173"/>
    </row>
    <row r="11" spans="2:21" x14ac:dyDescent="0.25">
      <c r="B11" s="1116">
        <f t="shared" si="0"/>
        <v>4</v>
      </c>
      <c r="C11" s="1" t="str">
        <f t="shared" si="1"/>
        <v>Exhibit A4</v>
      </c>
      <c r="D11" s="81" t="str">
        <f>'A4'!$B$4</f>
        <v>Simulator Scenario Inputs</v>
      </c>
      <c r="I11" s="173">
        <f>I10+J10</f>
        <v>4</v>
      </c>
      <c r="J11" s="173">
        <v>1</v>
      </c>
      <c r="P11" s="173" t="str">
        <f t="shared" si="2"/>
        <v>A</v>
      </c>
      <c r="Q11" s="173">
        <f>Q10+1</f>
        <v>4</v>
      </c>
      <c r="R11" s="173"/>
      <c r="S11" s="173"/>
      <c r="T11" s="173"/>
      <c r="U11" s="173"/>
    </row>
    <row r="12" spans="2:21" x14ac:dyDescent="0.25">
      <c r="B12" s="1116">
        <f t="shared" si="0"/>
        <v>5</v>
      </c>
      <c r="C12" s="1" t="str">
        <f t="shared" si="1"/>
        <v>Exhibit A5</v>
      </c>
      <c r="D12" s="81" t="str">
        <f>'A5'!$B$4</f>
        <v>Balance Sheet of an Existing Asset</v>
      </c>
      <c r="I12" s="173">
        <f>I11+J11</f>
        <v>5</v>
      </c>
      <c r="J12" s="173">
        <v>1</v>
      </c>
      <c r="P12" s="173" t="str">
        <f t="shared" si="2"/>
        <v>A</v>
      </c>
      <c r="Q12" s="173">
        <f>Q11+1</f>
        <v>5</v>
      </c>
      <c r="R12" s="173"/>
      <c r="S12" s="173"/>
      <c r="T12" s="173"/>
      <c r="U12" s="173"/>
    </row>
    <row r="13" spans="2:21" x14ac:dyDescent="0.25">
      <c r="B13" s="1116">
        <f t="shared" si="0"/>
        <v>6</v>
      </c>
      <c r="C13" s="1" t="str">
        <f t="shared" si="1"/>
        <v>Exhibit A6</v>
      </c>
      <c r="D13" s="81" t="str">
        <f>'A6'!$B$4</f>
        <v>Project Notes</v>
      </c>
      <c r="I13" s="173">
        <f>I12+J12</f>
        <v>6</v>
      </c>
      <c r="J13" s="173">
        <v>1</v>
      </c>
      <c r="P13" s="173" t="str">
        <f t="shared" si="2"/>
        <v>A</v>
      </c>
      <c r="Q13" s="173">
        <f>Q12+1</f>
        <v>6</v>
      </c>
      <c r="R13" s="173"/>
      <c r="S13" s="173"/>
      <c r="T13" s="173"/>
      <c r="U13" s="173"/>
    </row>
    <row r="14" spans="2:21" x14ac:dyDescent="0.25">
      <c r="D14" s="81"/>
      <c r="I14" s="173"/>
      <c r="J14" s="173"/>
    </row>
    <row r="15" spans="2:21" x14ac:dyDescent="0.25">
      <c r="B15" s="106" t="str">
        <f>"Section " &amp; P15</f>
        <v>Section B</v>
      </c>
      <c r="C15" s="106"/>
      <c r="D15" s="107" t="s">
        <v>16</v>
      </c>
      <c r="E15" s="106"/>
      <c r="F15" s="106"/>
      <c r="P15" s="173" t="str">
        <f>CHOOSE($H$2,S15,T15,U15)</f>
        <v>B</v>
      </c>
      <c r="Q15" s="173"/>
      <c r="R15" s="173"/>
      <c r="S15" s="173" t="s">
        <v>30</v>
      </c>
      <c r="T15" s="3" t="s">
        <v>537</v>
      </c>
      <c r="U15" s="3" t="s">
        <v>537</v>
      </c>
    </row>
    <row r="16" spans="2:21" x14ac:dyDescent="0.25">
      <c r="B16" s="1116">
        <f>I16</f>
        <v>7</v>
      </c>
      <c r="C16" s="1" t="str">
        <f>"Exhibit " &amp;P16&amp;Q16</f>
        <v>Exhibit B1</v>
      </c>
      <c r="D16" s="81" t="str">
        <f>'B1'!$B$4</f>
        <v>Network Statistics</v>
      </c>
      <c r="I16" s="173">
        <f>I13+J13</f>
        <v>7</v>
      </c>
      <c r="J16" s="173">
        <v>1</v>
      </c>
      <c r="P16" s="173" t="str">
        <f>P15</f>
        <v>B</v>
      </c>
      <c r="Q16" s="173">
        <v>1</v>
      </c>
      <c r="R16" s="173"/>
      <c r="S16" s="173"/>
      <c r="T16" s="173"/>
      <c r="U16" s="173"/>
    </row>
    <row r="17" spans="2:21" x14ac:dyDescent="0.25">
      <c r="B17" s="1116">
        <f>I17</f>
        <v>8</v>
      </c>
      <c r="C17" s="1" t="str">
        <f>"Exhibit " &amp;P17&amp;Q17</f>
        <v>Exhibit B2</v>
      </c>
      <c r="D17" s="81" t="str">
        <f>'B2'!$B$4</f>
        <v>Payor Mix Summary</v>
      </c>
      <c r="I17" s="173">
        <f>I16+J16</f>
        <v>8</v>
      </c>
      <c r="J17" s="173">
        <v>1</v>
      </c>
      <c r="P17" s="173" t="str">
        <f>P16</f>
        <v>B</v>
      </c>
      <c r="Q17" s="173">
        <f>Q16+1</f>
        <v>2</v>
      </c>
      <c r="R17" s="173"/>
      <c r="S17" s="173"/>
      <c r="T17" s="173"/>
      <c r="U17" s="173"/>
    </row>
    <row r="18" spans="2:21" x14ac:dyDescent="0.25">
      <c r="D18" s="81"/>
      <c r="I18" s="173"/>
      <c r="J18" s="173"/>
    </row>
    <row r="19" spans="2:21" x14ac:dyDescent="0.25">
      <c r="B19" s="106" t="str">
        <f>"Section " &amp; P19</f>
        <v>Section M</v>
      </c>
      <c r="C19" s="106"/>
      <c r="D19" s="107" t="s">
        <v>4</v>
      </c>
      <c r="E19" s="106"/>
      <c r="F19" s="106"/>
      <c r="I19" s="173"/>
      <c r="J19" s="173"/>
      <c r="P19" s="173" t="str">
        <f>CHOOSE($H$2,S19,T19,U19)</f>
        <v>M</v>
      </c>
      <c r="Q19" s="173"/>
      <c r="R19" s="173"/>
      <c r="S19" s="173" t="s">
        <v>28</v>
      </c>
      <c r="T19" s="1308" t="s">
        <v>2</v>
      </c>
      <c r="U19" s="3" t="s">
        <v>28</v>
      </c>
    </row>
    <row r="20" spans="2:21" x14ac:dyDescent="0.25">
      <c r="B20" s="1116">
        <f>I20</f>
        <v>9</v>
      </c>
      <c r="C20" s="1" t="str">
        <f>"Exhibit " &amp;P20&amp;Q20</f>
        <v>Exhibit M1</v>
      </c>
      <c r="D20" s="81" t="str">
        <f>'M1'!$B$4</f>
        <v>Project Overview</v>
      </c>
      <c r="I20" s="173">
        <f>IF($H$2=1,I17+J17,1)</f>
        <v>9</v>
      </c>
      <c r="J20" s="173">
        <v>1</v>
      </c>
      <c r="P20" s="173" t="str">
        <f>P19</f>
        <v>M</v>
      </c>
      <c r="Q20" s="173">
        <v>1</v>
      </c>
      <c r="R20" s="173"/>
      <c r="S20" s="173"/>
      <c r="T20" s="173"/>
      <c r="U20" s="173"/>
    </row>
    <row r="21" spans="2:21" x14ac:dyDescent="0.25">
      <c r="B21" s="1116">
        <f>I21</f>
        <v>10</v>
      </c>
      <c r="C21" s="1" t="str">
        <f>"Exhibit " &amp;P21&amp;Q21</f>
        <v>Exhibit M2</v>
      </c>
      <c r="D21" s="81" t="str">
        <f>'M2'!$B$4</f>
        <v>Network Statistics</v>
      </c>
      <c r="I21" s="173">
        <f>I20+J20</f>
        <v>10</v>
      </c>
      <c r="J21" s="173">
        <v>1</v>
      </c>
      <c r="P21" s="173" t="str">
        <f>P20</f>
        <v>M</v>
      </c>
      <c r="Q21" s="173">
        <f>Q20+1</f>
        <v>2</v>
      </c>
      <c r="R21" s="173"/>
      <c r="S21" s="173"/>
      <c r="T21" s="173"/>
      <c r="U21" s="173"/>
    </row>
    <row r="22" spans="2:21" x14ac:dyDescent="0.25">
      <c r="B22" s="1116">
        <f>I22</f>
        <v>11</v>
      </c>
      <c r="C22" s="1" t="str">
        <f>"Exhibit " &amp;P22&amp;Q22</f>
        <v>Exhibit M3</v>
      </c>
      <c r="D22" s="81" t="str">
        <f>'M3'!$B$4</f>
        <v>Operating Financial Summary</v>
      </c>
      <c r="I22" s="173">
        <f>I21+J21</f>
        <v>11</v>
      </c>
      <c r="J22" s="173">
        <v>1</v>
      </c>
      <c r="P22" s="173" t="str">
        <f>P21</f>
        <v>M</v>
      </c>
      <c r="Q22" s="173">
        <f>Q21+1</f>
        <v>3</v>
      </c>
      <c r="R22" s="173"/>
      <c r="S22" s="173"/>
      <c r="T22" s="173"/>
      <c r="U22" s="173"/>
    </row>
    <row r="23" spans="2:21" x14ac:dyDescent="0.25">
      <c r="B23" s="1116">
        <f>I23</f>
        <v>12</v>
      </c>
      <c r="C23" s="1" t="str">
        <f>"Exhibit " &amp;P23&amp;Q23</f>
        <v>Exhibit M4</v>
      </c>
      <c r="D23" s="81" t="str">
        <f>'M4'!$B$4</f>
        <v>Financial Summary and Results</v>
      </c>
      <c r="I23" s="173">
        <f>I22+J22</f>
        <v>12</v>
      </c>
      <c r="J23" s="173">
        <v>1</v>
      </c>
      <c r="P23" s="173" t="str">
        <f>P22</f>
        <v>M</v>
      </c>
      <c r="Q23" s="173">
        <f>Q22+1</f>
        <v>4</v>
      </c>
      <c r="R23" s="173"/>
      <c r="S23" s="173"/>
      <c r="T23" s="173"/>
      <c r="U23" s="173"/>
    </row>
    <row r="24" spans="2:21" x14ac:dyDescent="0.25">
      <c r="B24" s="1116">
        <f>I24</f>
        <v>13</v>
      </c>
      <c r="C24" s="1" t="str">
        <f>"Exhibit " &amp;P24&amp;Q24</f>
        <v>Exhibit M5</v>
      </c>
      <c r="D24" s="81" t="str">
        <f>'M5'!$B$4</f>
        <v>Scensitivity and Scenario Analysis</v>
      </c>
      <c r="I24" s="173">
        <f>I23+J23</f>
        <v>13</v>
      </c>
      <c r="J24" s="173">
        <v>1</v>
      </c>
      <c r="P24" s="173" t="str">
        <f>P23</f>
        <v>M</v>
      </c>
      <c r="Q24" s="173">
        <f>Q23+1</f>
        <v>5</v>
      </c>
      <c r="R24" s="173"/>
      <c r="S24" s="173"/>
      <c r="T24" s="173"/>
      <c r="U24" s="173"/>
    </row>
    <row r="25" spans="2:21" x14ac:dyDescent="0.25">
      <c r="D25" s="81"/>
      <c r="I25" s="173"/>
      <c r="J25" s="173"/>
    </row>
    <row r="26" spans="2:21" x14ac:dyDescent="0.25">
      <c r="B26" s="106" t="str">
        <f>"Section " &amp; P26</f>
        <v>Section P</v>
      </c>
      <c r="C26" s="106"/>
      <c r="D26" s="107" t="s">
        <v>5</v>
      </c>
      <c r="E26" s="106"/>
      <c r="F26" s="106"/>
      <c r="I26" s="173"/>
      <c r="J26" s="173"/>
      <c r="P26" s="173" t="str">
        <f>CHOOSE($H$2,S26,T26,U26)</f>
        <v>P</v>
      </c>
      <c r="Q26" s="173"/>
      <c r="R26" s="173"/>
      <c r="S26" s="173" t="s">
        <v>29</v>
      </c>
      <c r="T26" s="3" t="s">
        <v>29</v>
      </c>
      <c r="U26" s="1308" t="s">
        <v>2</v>
      </c>
    </row>
    <row r="27" spans="2:21" x14ac:dyDescent="0.25">
      <c r="B27" s="1116">
        <f>I27</f>
        <v>14</v>
      </c>
      <c r="C27" s="1" t="str">
        <f>"Exhibit " &amp;P27&amp;Q27</f>
        <v>Exhibit P1</v>
      </c>
      <c r="D27" s="81" t="str">
        <f>'P1'!$B$4</f>
        <v>Project Overview</v>
      </c>
      <c r="I27" s="173">
        <f>IF(H2=1,I24+J24,1)</f>
        <v>14</v>
      </c>
      <c r="J27" s="173">
        <v>1</v>
      </c>
      <c r="P27" s="173" t="str">
        <f>P26</f>
        <v>P</v>
      </c>
      <c r="Q27" s="173">
        <v>1</v>
      </c>
      <c r="R27" s="173"/>
      <c r="S27" s="173"/>
      <c r="T27" s="173"/>
      <c r="U27" s="173"/>
    </row>
    <row r="28" spans="2:21" x14ac:dyDescent="0.25">
      <c r="B28" s="1116">
        <f>I28</f>
        <v>15</v>
      </c>
      <c r="C28" s="1" t="str">
        <f>"Exhibit " &amp;P28&amp;Q28</f>
        <v>Exhibit P2</v>
      </c>
      <c r="D28" s="81" t="str">
        <f>'P2'!$B$4</f>
        <v>Network Statistics</v>
      </c>
      <c r="I28" s="173">
        <f>I27+J27</f>
        <v>15</v>
      </c>
      <c r="J28" s="173">
        <v>1</v>
      </c>
      <c r="P28" s="173" t="str">
        <f>P27</f>
        <v>P</v>
      </c>
      <c r="Q28" s="173">
        <f>Q27+1</f>
        <v>2</v>
      </c>
      <c r="R28" s="173"/>
      <c r="S28" s="173"/>
      <c r="T28" s="173"/>
      <c r="U28" s="173"/>
    </row>
    <row r="29" spans="2:21" x14ac:dyDescent="0.25">
      <c r="B29" s="1116">
        <f>I29</f>
        <v>16</v>
      </c>
      <c r="C29" s="1" t="str">
        <f>"Exhibit " &amp;P29&amp;Q29</f>
        <v>Exhibit P3</v>
      </c>
      <c r="D29" s="81" t="str">
        <f>'P3'!$B$4</f>
        <v>Operating Financial Summary</v>
      </c>
      <c r="I29" s="173">
        <f>I28+J28</f>
        <v>16</v>
      </c>
      <c r="J29" s="173">
        <v>1</v>
      </c>
      <c r="P29" s="173" t="str">
        <f>P28</f>
        <v>P</v>
      </c>
      <c r="Q29" s="173">
        <f>Q28+1</f>
        <v>3</v>
      </c>
      <c r="R29" s="173"/>
      <c r="S29" s="173"/>
      <c r="T29" s="173"/>
      <c r="U29" s="173"/>
    </row>
    <row r="30" spans="2:21" x14ac:dyDescent="0.25">
      <c r="B30" s="1116">
        <f>I30</f>
        <v>17</v>
      </c>
      <c r="C30" s="1" t="str">
        <f>"Exhibit " &amp;P30&amp;Q30</f>
        <v>Exhibit P4</v>
      </c>
      <c r="D30" s="81" t="str">
        <f>'P4'!$B$4</f>
        <v>Valuation of Partner Distributions</v>
      </c>
      <c r="I30" s="173">
        <f>I29+J29</f>
        <v>17</v>
      </c>
      <c r="J30" s="173">
        <v>1</v>
      </c>
      <c r="P30" s="173" t="str">
        <f>P29</f>
        <v>P</v>
      </c>
      <c r="Q30" s="173">
        <f>Q29+1</f>
        <v>4</v>
      </c>
      <c r="R30" s="173"/>
      <c r="S30" s="173"/>
      <c r="T30" s="173"/>
      <c r="U30" s="173"/>
    </row>
    <row r="31" spans="2:21" x14ac:dyDescent="0.25">
      <c r="D31" s="81"/>
      <c r="I31" s="173"/>
      <c r="J31" s="173"/>
    </row>
    <row r="32" spans="2:21" x14ac:dyDescent="0.25">
      <c r="B32" s="106" t="str">
        <f>"Appendix " &amp; P32</f>
        <v>Appendix A</v>
      </c>
      <c r="C32" s="106"/>
      <c r="D32" s="107" t="s">
        <v>7</v>
      </c>
      <c r="E32" s="106"/>
      <c r="F32" s="106"/>
      <c r="I32" s="173"/>
      <c r="J32" s="173"/>
      <c r="P32" s="173" t="str">
        <f>CHOOSE($H$2,S32,T32,U32)</f>
        <v>A</v>
      </c>
      <c r="Q32" s="173"/>
      <c r="R32" s="173"/>
      <c r="S32" s="173" t="s">
        <v>2</v>
      </c>
      <c r="T32" s="3" t="s">
        <v>2</v>
      </c>
      <c r="U32" s="3" t="s">
        <v>2</v>
      </c>
    </row>
    <row r="33" spans="2:21" x14ac:dyDescent="0.25">
      <c r="B33" s="1116">
        <f>I33</f>
        <v>18</v>
      </c>
      <c r="C33" s="1" t="str">
        <f>"Appendix " &amp;P33&amp;Q33</f>
        <v>Appendix A1</v>
      </c>
      <c r="D33" s="81" t="str">
        <f>ApndxA1!$B$4</f>
        <v>Summary Income Statement</v>
      </c>
      <c r="I33" s="173">
        <f>IF(H2=2,I24+J24,I30+J30)</f>
        <v>18</v>
      </c>
      <c r="J33" s="173">
        <v>1</v>
      </c>
      <c r="P33" s="173" t="str">
        <f>P32</f>
        <v>A</v>
      </c>
      <c r="Q33" s="173">
        <v>1</v>
      </c>
      <c r="R33" s="173"/>
      <c r="S33" s="173"/>
      <c r="T33" s="173"/>
      <c r="U33" s="173"/>
    </row>
    <row r="34" spans="2:21" x14ac:dyDescent="0.25">
      <c r="B34" s="1116">
        <f>I34</f>
        <v>19</v>
      </c>
      <c r="C34" s="1" t="str">
        <f>"Appendix " &amp;P34&amp;Q34</f>
        <v>Appendix A2</v>
      </c>
      <c r="D34" s="81" t="str">
        <f>ApndxA2!$B$4</f>
        <v>Summary Balance Sheet</v>
      </c>
      <c r="I34" s="173">
        <f>I33+J33</f>
        <v>19</v>
      </c>
      <c r="J34" s="173">
        <v>1</v>
      </c>
      <c r="P34" s="173" t="str">
        <f>P33</f>
        <v>A</v>
      </c>
      <c r="Q34" s="173">
        <f>Q33+1</f>
        <v>2</v>
      </c>
      <c r="R34" s="173"/>
      <c r="S34" s="173"/>
      <c r="T34" s="173"/>
      <c r="U34" s="173"/>
    </row>
    <row r="35" spans="2:21" x14ac:dyDescent="0.25">
      <c r="B35" s="1116">
        <f>I35</f>
        <v>20</v>
      </c>
      <c r="C35" s="1" t="str">
        <f>"Appendix " &amp;P35&amp;Q35</f>
        <v>Appendix A3</v>
      </c>
      <c r="D35" s="81" t="str">
        <f>ApndxA3!$B$4</f>
        <v>Summary Statement of Cash Flows</v>
      </c>
      <c r="I35" s="173">
        <f>I34+J34</f>
        <v>20</v>
      </c>
      <c r="J35" s="173">
        <v>1</v>
      </c>
      <c r="P35" s="173" t="str">
        <f>P34</f>
        <v>A</v>
      </c>
      <c r="Q35" s="173">
        <f>Q34+1</f>
        <v>3</v>
      </c>
      <c r="R35" s="173"/>
      <c r="S35" s="173"/>
      <c r="T35" s="173"/>
      <c r="U35" s="173"/>
    </row>
    <row r="36" spans="2:21" x14ac:dyDescent="0.25">
      <c r="D36" s="81"/>
      <c r="I36" s="173"/>
      <c r="J36" s="173"/>
    </row>
    <row r="37" spans="2:21" x14ac:dyDescent="0.25">
      <c r="B37" s="106" t="str">
        <f>"Appendix " &amp; P37</f>
        <v>Appendix B</v>
      </c>
      <c r="C37" s="106"/>
      <c r="D37" s="107" t="s">
        <v>8</v>
      </c>
      <c r="E37" s="106"/>
      <c r="F37" s="106"/>
      <c r="I37" s="173"/>
      <c r="J37" s="173"/>
      <c r="P37" s="173" t="str">
        <f>CHOOSE($H$2,S37,T37,U37)</f>
        <v>B</v>
      </c>
      <c r="Q37" s="173"/>
      <c r="R37" s="173"/>
      <c r="S37" s="173" t="s">
        <v>30</v>
      </c>
      <c r="T37" s="3" t="s">
        <v>30</v>
      </c>
      <c r="U37" s="3" t="s">
        <v>30</v>
      </c>
    </row>
    <row r="38" spans="2:21" x14ac:dyDescent="0.25">
      <c r="B38" s="1116">
        <f t="shared" ref="B38:B43" si="3">I38</f>
        <v>21</v>
      </c>
      <c r="C38" s="1" t="str">
        <f t="shared" ref="C38:C43" si="4">"Appendix " &amp;P38&amp;Q38</f>
        <v>Appendix B1</v>
      </c>
      <c r="D38" s="81" t="str">
        <f>ApndxB1!$B$4</f>
        <v>Operating Income Statement</v>
      </c>
      <c r="I38" s="173">
        <f>I35+J35</f>
        <v>21</v>
      </c>
      <c r="J38" s="173">
        <v>2</v>
      </c>
      <c r="P38" s="173" t="str">
        <f t="shared" ref="P38:P43" si="5">P37</f>
        <v>B</v>
      </c>
      <c r="Q38" s="173">
        <v>1</v>
      </c>
      <c r="R38" s="173"/>
      <c r="S38" s="173"/>
      <c r="T38" s="173"/>
      <c r="U38" s="173"/>
    </row>
    <row r="39" spans="2:21" x14ac:dyDescent="0.25">
      <c r="B39" s="1116">
        <f t="shared" si="3"/>
        <v>23</v>
      </c>
      <c r="C39" s="1" t="str">
        <f t="shared" si="4"/>
        <v>Appendix B2</v>
      </c>
      <c r="D39" s="81" t="str">
        <f>ApndxB2!$B$4</f>
        <v>Oper. Inc. St. (per treatment)</v>
      </c>
      <c r="I39" s="173">
        <f>I38+J38</f>
        <v>23</v>
      </c>
      <c r="J39" s="173">
        <v>2</v>
      </c>
      <c r="P39" s="173" t="str">
        <f t="shared" si="5"/>
        <v>B</v>
      </c>
      <c r="Q39" s="173">
        <f>Q38+1</f>
        <v>2</v>
      </c>
      <c r="R39" s="173"/>
      <c r="S39" s="173"/>
      <c r="T39" s="173"/>
      <c r="U39" s="173"/>
    </row>
    <row r="40" spans="2:21" x14ac:dyDescent="0.25">
      <c r="B40" s="1116">
        <f t="shared" si="3"/>
        <v>25</v>
      </c>
      <c r="C40" s="1" t="str">
        <f t="shared" si="4"/>
        <v>Appendix B3</v>
      </c>
      <c r="D40" s="81" t="str">
        <f>ApndxB3!$B$4</f>
        <v>Operating Balance Sheet</v>
      </c>
      <c r="I40" s="173">
        <f>I39+J39</f>
        <v>25</v>
      </c>
      <c r="J40" s="173">
        <v>2</v>
      </c>
      <c r="P40" s="173" t="str">
        <f t="shared" si="5"/>
        <v>B</v>
      </c>
      <c r="Q40" s="173">
        <f>Q39+1</f>
        <v>3</v>
      </c>
      <c r="R40" s="173"/>
      <c r="S40" s="173"/>
      <c r="T40" s="173"/>
      <c r="U40" s="173"/>
    </row>
    <row r="41" spans="2:21" x14ac:dyDescent="0.25">
      <c r="B41" s="1116">
        <f t="shared" si="3"/>
        <v>27</v>
      </c>
      <c r="C41" s="1" t="str">
        <f t="shared" si="4"/>
        <v>Appendix B4</v>
      </c>
      <c r="D41" s="81" t="str">
        <f>ApndxB4!$B$4</f>
        <v>Operating Cash Flows</v>
      </c>
      <c r="I41" s="173">
        <f>I40+J40</f>
        <v>27</v>
      </c>
      <c r="J41" s="173">
        <v>2</v>
      </c>
      <c r="P41" s="173" t="str">
        <f t="shared" si="5"/>
        <v>B</v>
      </c>
      <c r="Q41" s="173">
        <f>Q40+1</f>
        <v>4</v>
      </c>
      <c r="R41" s="173"/>
      <c r="S41" s="173"/>
      <c r="T41" s="173"/>
      <c r="U41" s="173"/>
    </row>
    <row r="42" spans="2:21" x14ac:dyDescent="0.25">
      <c r="B42" s="1116">
        <f t="shared" si="3"/>
        <v>29</v>
      </c>
      <c r="C42" s="1" t="str">
        <f t="shared" si="4"/>
        <v>Appendix B5</v>
      </c>
      <c r="D42" s="81" t="str">
        <f>ApndxB5!$B$4</f>
        <v>Financial Statements - Prebuild Phase</v>
      </c>
      <c r="I42" s="173">
        <f>I41+J41</f>
        <v>29</v>
      </c>
      <c r="J42" s="173">
        <v>1</v>
      </c>
      <c r="P42" s="173" t="str">
        <f t="shared" si="5"/>
        <v>B</v>
      </c>
      <c r="Q42" s="173">
        <f>Q41+1</f>
        <v>5</v>
      </c>
    </row>
    <row r="43" spans="2:21" x14ac:dyDescent="0.25">
      <c r="B43" s="1116">
        <f t="shared" si="3"/>
        <v>30</v>
      </c>
      <c r="C43" s="1" t="str">
        <f t="shared" si="4"/>
        <v>Appendix B6</v>
      </c>
      <c r="D43" s="81" t="str">
        <f>ApndxB6!$B$4</f>
        <v>Financial Statements - Licensing &amp; Permit Phase</v>
      </c>
      <c r="I43" s="173">
        <f>I42+J42</f>
        <v>30</v>
      </c>
      <c r="J43" s="173">
        <v>1</v>
      </c>
      <c r="P43" s="173" t="str">
        <f t="shared" si="5"/>
        <v>B</v>
      </c>
      <c r="Q43" s="173">
        <f>Q42+1</f>
        <v>6</v>
      </c>
    </row>
    <row r="44" spans="2:21" x14ac:dyDescent="0.25">
      <c r="D44" s="81"/>
    </row>
    <row r="45" spans="2:21" x14ac:dyDescent="0.25">
      <c r="B45" s="106" t="str">
        <f>"Appendix " &amp; P45</f>
        <v>Appendix C</v>
      </c>
      <c r="C45" s="106"/>
      <c r="D45" s="107" t="s">
        <v>530</v>
      </c>
      <c r="E45" s="106"/>
      <c r="F45" s="106"/>
      <c r="I45" s="173"/>
      <c r="J45" s="173"/>
      <c r="P45" s="173" t="str">
        <f>CHOOSE($H$2,S45,T45,U45)</f>
        <v>C</v>
      </c>
      <c r="Q45" s="173"/>
      <c r="R45" s="173"/>
      <c r="S45" s="173" t="s">
        <v>31</v>
      </c>
      <c r="T45" s="3" t="s">
        <v>31</v>
      </c>
      <c r="U45" s="3" t="s">
        <v>31</v>
      </c>
    </row>
    <row r="46" spans="2:21" x14ac:dyDescent="0.25">
      <c r="B46" s="1116">
        <f t="shared" ref="B46:B57" si="6">I46</f>
        <v>31</v>
      </c>
      <c r="C46" s="1" t="str">
        <f t="shared" ref="C46:C57" si="7">"Appendix " &amp;P46&amp;Q46</f>
        <v>Appendix C1</v>
      </c>
      <c r="D46" s="81" t="str">
        <f>'C1'!$B$4</f>
        <v>Hemo Dialysis [In Center] Revenues</v>
      </c>
      <c r="I46" s="173">
        <f>I43+J43</f>
        <v>31</v>
      </c>
      <c r="J46" s="173">
        <v>1</v>
      </c>
      <c r="P46" s="173" t="str">
        <f t="shared" ref="P46:P51" si="8">P45</f>
        <v>C</v>
      </c>
      <c r="Q46" s="173">
        <v>1</v>
      </c>
      <c r="R46" s="173"/>
      <c r="S46" s="173"/>
      <c r="T46" s="173"/>
      <c r="U46" s="173"/>
    </row>
    <row r="47" spans="2:21" x14ac:dyDescent="0.25">
      <c r="B47" s="1116">
        <f t="shared" si="6"/>
        <v>32</v>
      </c>
      <c r="C47" s="1" t="str">
        <f t="shared" si="7"/>
        <v>Appendix C2</v>
      </c>
      <c r="D47" s="81" t="str">
        <f>'C2'!$B$4</f>
        <v>Hemo Dialysis [Nocturnal] Revenues</v>
      </c>
      <c r="I47" s="173">
        <f t="shared" ref="I47:I57" si="9">I46+J46</f>
        <v>32</v>
      </c>
      <c r="J47" s="173">
        <v>1</v>
      </c>
      <c r="P47" s="173" t="str">
        <f t="shared" si="8"/>
        <v>C</v>
      </c>
      <c r="Q47" s="173">
        <f>Q46+1</f>
        <v>2</v>
      </c>
      <c r="R47" s="173"/>
      <c r="S47" s="173"/>
      <c r="T47" s="173"/>
      <c r="U47" s="173"/>
    </row>
    <row r="48" spans="2:21" x14ac:dyDescent="0.25">
      <c r="B48" s="1116">
        <f t="shared" si="6"/>
        <v>33</v>
      </c>
      <c r="C48" s="1" t="str">
        <f t="shared" si="7"/>
        <v>Appendix C3</v>
      </c>
      <c r="D48" s="81" t="str">
        <f>'C3'!$B$4</f>
        <v>Home Dialysis [Peritoneal] Revenues</v>
      </c>
      <c r="I48" s="173">
        <f t="shared" si="9"/>
        <v>33</v>
      </c>
      <c r="J48" s="173">
        <v>1</v>
      </c>
      <c r="P48" s="173" t="str">
        <f t="shared" si="8"/>
        <v>C</v>
      </c>
      <c r="Q48" s="173">
        <f>Q47+1</f>
        <v>3</v>
      </c>
      <c r="R48" s="173"/>
      <c r="S48" s="173"/>
      <c r="T48" s="173"/>
      <c r="U48" s="173"/>
    </row>
    <row r="49" spans="2:21" x14ac:dyDescent="0.25">
      <c r="B49" s="1116">
        <f t="shared" si="6"/>
        <v>34</v>
      </c>
      <c r="C49" s="1" t="str">
        <f t="shared" si="7"/>
        <v>Appendix C4</v>
      </c>
      <c r="D49" s="81" t="str">
        <f>'C4'!$B$4</f>
        <v>Home Dialysis [Hemo Dialysis] Revenues</v>
      </c>
      <c r="I49" s="173">
        <f t="shared" si="9"/>
        <v>34</v>
      </c>
      <c r="J49" s="173">
        <v>1</v>
      </c>
      <c r="P49" s="173" t="str">
        <f t="shared" si="8"/>
        <v>C</v>
      </c>
      <c r="Q49" s="173">
        <f>Q48+1</f>
        <v>4</v>
      </c>
      <c r="R49" s="173"/>
      <c r="S49" s="173"/>
      <c r="T49" s="173"/>
      <c r="U49" s="173"/>
    </row>
    <row r="50" spans="2:21" x14ac:dyDescent="0.25">
      <c r="B50" s="1116">
        <f t="shared" si="6"/>
        <v>35</v>
      </c>
      <c r="C50" s="1" t="str">
        <f t="shared" si="7"/>
        <v>Appendix C5</v>
      </c>
      <c r="D50" s="81" t="str">
        <f>'C5'!$B$4</f>
        <v>Acute Care Revenues</v>
      </c>
      <c r="I50" s="173">
        <f t="shared" si="9"/>
        <v>35</v>
      </c>
      <c r="J50" s="173">
        <v>1</v>
      </c>
      <c r="P50" s="173" t="str">
        <f t="shared" si="8"/>
        <v>C</v>
      </c>
      <c r="Q50" s="173">
        <f>Q49+1</f>
        <v>5</v>
      </c>
      <c r="R50" s="173"/>
      <c r="S50" s="173"/>
      <c r="T50" s="173"/>
      <c r="U50" s="173"/>
    </row>
    <row r="51" spans="2:21" x14ac:dyDescent="0.25">
      <c r="B51" s="1116">
        <f t="shared" si="6"/>
        <v>36</v>
      </c>
      <c r="C51" s="1" t="str">
        <f t="shared" si="7"/>
        <v>Appendix C6</v>
      </c>
      <c r="D51" s="81" t="str">
        <f>'C6'!$B$4</f>
        <v>Commercial Mix Change</v>
      </c>
      <c r="I51" s="173">
        <f t="shared" si="9"/>
        <v>36</v>
      </c>
      <c r="J51" s="173">
        <v>1</v>
      </c>
      <c r="P51" s="173" t="str">
        <f t="shared" si="8"/>
        <v>C</v>
      </c>
      <c r="Q51" s="173">
        <f>Q50+1</f>
        <v>6</v>
      </c>
      <c r="R51" s="173"/>
      <c r="S51" s="173"/>
      <c r="T51" s="173"/>
      <c r="U51" s="173"/>
    </row>
    <row r="52" spans="2:21" x14ac:dyDescent="0.25">
      <c r="B52" s="1116">
        <f t="shared" si="6"/>
        <v>37</v>
      </c>
      <c r="C52" s="1" t="str">
        <f t="shared" si="7"/>
        <v>Appendix C7</v>
      </c>
      <c r="D52" s="81" t="str">
        <f>'C7'!$B$4</f>
        <v>Cost of Service</v>
      </c>
      <c r="I52" s="173">
        <f t="shared" si="9"/>
        <v>37</v>
      </c>
      <c r="J52" s="173">
        <v>1</v>
      </c>
      <c r="P52" s="173" t="str">
        <f t="shared" ref="P52:P57" si="10">P51</f>
        <v>C</v>
      </c>
      <c r="Q52" s="173">
        <f t="shared" ref="Q52:Q57" si="11">Q51+1</f>
        <v>7</v>
      </c>
      <c r="R52" s="173"/>
      <c r="S52" s="173"/>
      <c r="T52" s="173"/>
      <c r="U52" s="173"/>
    </row>
    <row r="53" spans="2:21" x14ac:dyDescent="0.25">
      <c r="B53" s="1116">
        <f t="shared" si="6"/>
        <v>38</v>
      </c>
      <c r="C53" s="1" t="str">
        <f t="shared" si="7"/>
        <v>Appendix C8</v>
      </c>
      <c r="D53" s="81" t="str">
        <f>'C8'!$B$4</f>
        <v>Staffing Costs</v>
      </c>
      <c r="I53" s="173">
        <f t="shared" si="9"/>
        <v>38</v>
      </c>
      <c r="J53" s="173">
        <v>1</v>
      </c>
      <c r="P53" s="173" t="str">
        <f t="shared" si="10"/>
        <v>C</v>
      </c>
      <c r="Q53" s="173">
        <f t="shared" si="11"/>
        <v>8</v>
      </c>
      <c r="R53" s="173"/>
      <c r="S53" s="173"/>
      <c r="T53" s="173"/>
      <c r="U53" s="173"/>
    </row>
    <row r="54" spans="2:21" x14ac:dyDescent="0.25">
      <c r="B54" s="1116">
        <f t="shared" si="6"/>
        <v>39</v>
      </c>
      <c r="C54" s="1" t="str">
        <f t="shared" si="7"/>
        <v>Appendix C9</v>
      </c>
      <c r="D54" s="81" t="str">
        <f>'C9'!$B$4</f>
        <v>Operating Costs</v>
      </c>
      <c r="I54" s="173">
        <f t="shared" si="9"/>
        <v>39</v>
      </c>
      <c r="J54" s="173">
        <v>1</v>
      </c>
      <c r="P54" s="173" t="str">
        <f t="shared" si="10"/>
        <v>C</v>
      </c>
      <c r="Q54" s="173">
        <f t="shared" si="11"/>
        <v>9</v>
      </c>
      <c r="R54" s="173"/>
      <c r="S54" s="173"/>
      <c r="T54" s="173"/>
      <c r="U54" s="173"/>
    </row>
    <row r="55" spans="2:21" x14ac:dyDescent="0.25">
      <c r="B55" s="1116">
        <f t="shared" si="6"/>
        <v>40</v>
      </c>
      <c r="C55" s="1" t="str">
        <f t="shared" si="7"/>
        <v>Appendix C10</v>
      </c>
      <c r="D55" s="81" t="str">
        <f>'C10'!$B$4</f>
        <v>Capital Expenditures and Depreciation</v>
      </c>
      <c r="I55" s="173">
        <f t="shared" si="9"/>
        <v>40</v>
      </c>
      <c r="J55" s="173">
        <v>1</v>
      </c>
      <c r="P55" s="173" t="str">
        <f t="shared" si="10"/>
        <v>C</v>
      </c>
      <c r="Q55" s="173">
        <f t="shared" si="11"/>
        <v>10</v>
      </c>
      <c r="R55" s="173"/>
      <c r="S55" s="173"/>
      <c r="T55" s="173"/>
      <c r="U55" s="173"/>
    </row>
    <row r="56" spans="2:21" x14ac:dyDescent="0.25">
      <c r="B56" s="1116">
        <f t="shared" si="6"/>
        <v>41</v>
      </c>
      <c r="C56" s="1" t="str">
        <f t="shared" si="7"/>
        <v>Appendix C11</v>
      </c>
      <c r="D56" s="81" t="str">
        <f>'C11'!$B$4</f>
        <v>Timing of Clinical Manager Hiring</v>
      </c>
      <c r="I56" s="173">
        <f t="shared" si="9"/>
        <v>41</v>
      </c>
      <c r="J56" s="173">
        <v>1</v>
      </c>
      <c r="P56" s="173" t="str">
        <f t="shared" si="10"/>
        <v>C</v>
      </c>
      <c r="Q56" s="173">
        <f t="shared" si="11"/>
        <v>11</v>
      </c>
      <c r="R56" s="173"/>
      <c r="S56" s="173"/>
      <c r="T56" s="173"/>
      <c r="U56" s="173"/>
    </row>
    <row r="57" spans="2:21" x14ac:dyDescent="0.25">
      <c r="B57" s="1116">
        <f t="shared" si="6"/>
        <v>42</v>
      </c>
      <c r="C57" s="1" t="str">
        <f t="shared" si="7"/>
        <v>Appendix C12</v>
      </c>
      <c r="D57" s="81" t="str">
        <f>'C12'!$B$4</f>
        <v>Delivery Capacity Limit Estimations</v>
      </c>
      <c r="I57" s="173">
        <f t="shared" si="9"/>
        <v>42</v>
      </c>
      <c r="J57" s="173">
        <v>1</v>
      </c>
      <c r="P57" s="173" t="str">
        <f t="shared" si="10"/>
        <v>C</v>
      </c>
      <c r="Q57" s="173">
        <f t="shared" si="11"/>
        <v>12</v>
      </c>
      <c r="R57" s="173"/>
      <c r="S57" s="173"/>
      <c r="T57" s="173"/>
      <c r="U57" s="173"/>
    </row>
    <row r="58" spans="2:21" x14ac:dyDescent="0.25">
      <c r="D58" s="81"/>
      <c r="I58" s="173"/>
      <c r="J58" s="173"/>
      <c r="P58" s="173"/>
      <c r="Q58" s="173"/>
      <c r="R58" s="173"/>
      <c r="S58" s="173"/>
      <c r="T58" s="173"/>
      <c r="U58" s="173"/>
    </row>
    <row r="59" spans="2:21" x14ac:dyDescent="0.25">
      <c r="B59" s="106" t="str">
        <f>"Appendix " &amp; P59</f>
        <v>Appendix D</v>
      </c>
      <c r="C59" s="106"/>
      <c r="D59" s="107" t="s">
        <v>531</v>
      </c>
      <c r="E59" s="106"/>
      <c r="F59" s="106"/>
      <c r="I59" s="173"/>
      <c r="J59" s="173"/>
      <c r="P59" s="173" t="str">
        <f>CHOOSE($H$2,S59,T59,U59)</f>
        <v>D</v>
      </c>
      <c r="Q59" s="173"/>
      <c r="R59" s="173"/>
      <c r="S59" s="173" t="s">
        <v>103</v>
      </c>
      <c r="T59" s="3" t="s">
        <v>103</v>
      </c>
      <c r="U59" s="3" t="s">
        <v>103</v>
      </c>
    </row>
    <row r="60" spans="2:21" x14ac:dyDescent="0.25">
      <c r="B60" s="1116">
        <f t="shared" ref="B60:B67" si="12">I60</f>
        <v>43</v>
      </c>
      <c r="C60" s="1" t="str">
        <f t="shared" ref="C60:C67" si="13">"Appendix " &amp;P60&amp;Q60</f>
        <v>Appendix D1</v>
      </c>
      <c r="D60" s="81" t="str">
        <f>'D1'!$B$4</f>
        <v>Initial Funding Requirements</v>
      </c>
      <c r="E60" s="106"/>
      <c r="F60" s="106"/>
      <c r="I60" s="173">
        <f>I57+J57</f>
        <v>43</v>
      </c>
      <c r="J60" s="173">
        <v>1</v>
      </c>
      <c r="P60" s="173" t="str">
        <f>P59</f>
        <v>D</v>
      </c>
      <c r="Q60" s="173">
        <v>1</v>
      </c>
      <c r="R60" s="173"/>
      <c r="S60" s="173"/>
      <c r="T60" s="173"/>
      <c r="U60" s="173"/>
    </row>
    <row r="61" spans="2:21" x14ac:dyDescent="0.25">
      <c r="B61" s="1116">
        <f t="shared" si="12"/>
        <v>44</v>
      </c>
      <c r="C61" s="1" t="str">
        <f t="shared" si="13"/>
        <v>Appendix D2</v>
      </c>
      <c r="D61" s="81" t="str">
        <f>'D2'!$B$4</f>
        <v>Cash Distributions to Satellite Healthcare</v>
      </c>
      <c r="I61" s="173">
        <f t="shared" ref="I61:I67" si="14">I60+J60</f>
        <v>44</v>
      </c>
      <c r="J61" s="173">
        <v>1</v>
      </c>
      <c r="P61" s="173" t="str">
        <f t="shared" ref="P61:P67" si="15">P60</f>
        <v>D</v>
      </c>
      <c r="Q61" s="173">
        <f t="shared" ref="Q61:Q67" si="16">Q60+1</f>
        <v>2</v>
      </c>
      <c r="S61" s="173"/>
      <c r="T61" s="173"/>
      <c r="U61" s="173"/>
    </row>
    <row r="62" spans="2:21" x14ac:dyDescent="0.25">
      <c r="B62" s="1116">
        <f t="shared" si="12"/>
        <v>45</v>
      </c>
      <c r="C62" s="1" t="str">
        <f t="shared" si="13"/>
        <v>Appendix D3</v>
      </c>
      <c r="D62" s="81" t="str">
        <f>'D3'!$B$4</f>
        <v>Debt Financing</v>
      </c>
      <c r="I62" s="173">
        <f t="shared" si="14"/>
        <v>45</v>
      </c>
      <c r="J62" s="173">
        <v>1</v>
      </c>
      <c r="P62" s="173" t="str">
        <f t="shared" si="15"/>
        <v>D</v>
      </c>
      <c r="Q62" s="173">
        <f t="shared" si="16"/>
        <v>3</v>
      </c>
      <c r="S62" s="173"/>
    </row>
    <row r="63" spans="2:21" x14ac:dyDescent="0.25">
      <c r="B63" s="1116">
        <f t="shared" si="12"/>
        <v>46</v>
      </c>
      <c r="C63" s="1" t="str">
        <f t="shared" si="13"/>
        <v>Appendix D4</v>
      </c>
      <c r="D63" s="81" t="str">
        <f>'D4'!$B$4</f>
        <v>Cost of Capital Analysis</v>
      </c>
      <c r="I63" s="173">
        <f t="shared" si="14"/>
        <v>46</v>
      </c>
      <c r="J63" s="173">
        <v>1</v>
      </c>
      <c r="P63" s="173" t="str">
        <f t="shared" si="15"/>
        <v>D</v>
      </c>
      <c r="Q63" s="173">
        <f t="shared" si="16"/>
        <v>4</v>
      </c>
    </row>
    <row r="64" spans="2:21" x14ac:dyDescent="0.25">
      <c r="B64" s="1116">
        <f t="shared" si="12"/>
        <v>47</v>
      </c>
      <c r="C64" s="1" t="str">
        <f t="shared" si="13"/>
        <v>Appendix D5</v>
      </c>
      <c r="D64" s="81" t="str">
        <f>'D5'!$B$4</f>
        <v>Valuation of Firm to Satellite Healthcare</v>
      </c>
      <c r="I64" s="173">
        <f t="shared" si="14"/>
        <v>47</v>
      </c>
      <c r="J64" s="173">
        <v>1</v>
      </c>
      <c r="P64" s="173" t="str">
        <f t="shared" si="15"/>
        <v>D</v>
      </c>
      <c r="Q64" s="173">
        <f t="shared" si="16"/>
        <v>5</v>
      </c>
    </row>
    <row r="65" spans="2:17" x14ac:dyDescent="0.25">
      <c r="B65" s="1116">
        <f t="shared" si="12"/>
        <v>48</v>
      </c>
      <c r="C65" s="1" t="str">
        <f t="shared" si="13"/>
        <v>Appendix D6</v>
      </c>
      <c r="D65" s="81" t="str">
        <f>'D6'!$B$4</f>
        <v>Valuation of Cash Flow Distribution to Satellite Healthcare</v>
      </c>
      <c r="I65" s="173">
        <f t="shared" si="14"/>
        <v>48</v>
      </c>
      <c r="J65" s="173">
        <v>1</v>
      </c>
      <c r="P65" s="173" t="str">
        <f t="shared" si="15"/>
        <v>D</v>
      </c>
      <c r="Q65" s="173">
        <f t="shared" si="16"/>
        <v>6</v>
      </c>
    </row>
    <row r="66" spans="2:17" x14ac:dyDescent="0.25">
      <c r="B66" s="1116">
        <f t="shared" si="12"/>
        <v>49</v>
      </c>
      <c r="C66" s="1" t="str">
        <f t="shared" si="13"/>
        <v>Appendix D7</v>
      </c>
      <c r="D66" s="81" t="str">
        <f>'D7'!$B$4</f>
        <v>Valuation of Distributions to Partner</v>
      </c>
      <c r="I66" s="173">
        <f t="shared" si="14"/>
        <v>49</v>
      </c>
      <c r="J66" s="173">
        <v>1</v>
      </c>
      <c r="P66" s="173" t="str">
        <f t="shared" si="15"/>
        <v>D</v>
      </c>
      <c r="Q66" s="173">
        <f t="shared" si="16"/>
        <v>7</v>
      </c>
    </row>
    <row r="67" spans="2:17" x14ac:dyDescent="0.25">
      <c r="B67" s="1116">
        <f t="shared" si="12"/>
        <v>50</v>
      </c>
      <c r="C67" s="1" t="str">
        <f t="shared" si="13"/>
        <v>Appendix D8</v>
      </c>
      <c r="D67" s="81" t="str">
        <f>'D8'!$B$4</f>
        <v>Payback Calculation</v>
      </c>
      <c r="I67" s="173">
        <f t="shared" si="14"/>
        <v>50</v>
      </c>
      <c r="J67" s="173">
        <v>1</v>
      </c>
      <c r="P67" s="173" t="str">
        <f t="shared" si="15"/>
        <v>D</v>
      </c>
      <c r="Q67" s="173">
        <f t="shared" si="16"/>
        <v>8</v>
      </c>
    </row>
    <row r="68" spans="2:17" x14ac:dyDescent="0.25">
      <c r="D68" s="81"/>
    </row>
    <row r="69" spans="2:17" x14ac:dyDescent="0.25">
      <c r="B69" s="106" t="str">
        <f>"Section " &amp; P69</f>
        <v>Section F</v>
      </c>
      <c r="C69" s="106"/>
      <c r="D69" s="107" t="s">
        <v>412</v>
      </c>
      <c r="E69" s="106"/>
      <c r="F69" s="106"/>
      <c r="I69" s="173"/>
      <c r="J69" s="173"/>
      <c r="P69" s="173" t="s">
        <v>411</v>
      </c>
      <c r="Q69" s="173"/>
    </row>
    <row r="70" spans="2:17" x14ac:dyDescent="0.25">
      <c r="B70" s="1116"/>
      <c r="D70" s="81"/>
      <c r="I70" s="173"/>
      <c r="J70" s="173"/>
      <c r="P70" s="173" t="str">
        <f>P69</f>
        <v>F</v>
      </c>
      <c r="Q70" s="173">
        <v>1</v>
      </c>
    </row>
    <row r="71" spans="2:17" x14ac:dyDescent="0.25">
      <c r="B71" s="1116"/>
      <c r="D71" s="81"/>
      <c r="I71" s="173"/>
      <c r="J71" s="173"/>
      <c r="P71" s="173" t="str">
        <f>P70</f>
        <v>F</v>
      </c>
      <c r="Q71" s="173">
        <f>Q70+1</f>
        <v>2</v>
      </c>
    </row>
    <row r="72" spans="2:17" x14ac:dyDescent="0.25">
      <c r="D72" s="81"/>
    </row>
  </sheetData>
  <conditionalFormatting sqref="I20:J24">
    <cfRule type="expression" dxfId="178" priority="5">
      <formula>$H$2=3</formula>
    </cfRule>
  </conditionalFormatting>
  <conditionalFormatting sqref="I27:J30">
    <cfRule type="expression" dxfId="177" priority="4">
      <formula>$H$2=2</formula>
    </cfRule>
  </conditionalFormatting>
  <conditionalFormatting sqref="I8:J13">
    <cfRule type="expression" dxfId="176" priority="3">
      <formula>$H$2&gt;1</formula>
    </cfRule>
  </conditionalFormatting>
  <conditionalFormatting sqref="I16:J17">
    <cfRule type="expression" dxfId="175" priority="2">
      <formula>$H$2&gt;1</formula>
    </cfRule>
  </conditionalFormatting>
  <printOptions horizontalCentered="1"/>
  <pageMargins left="0.7" right="0.7" top="0.75" bottom="0.75" header="0.3" footer="0.3"/>
  <pageSetup fitToHeight="0" orientation="landscape" r:id="rId1"/>
  <rowBreaks count="2" manualBreakCount="2">
    <brk id="31" max="11" man="1"/>
    <brk id="58" max="11" man="1"/>
  </rowBreaks>
  <ignoredErrors>
    <ignoredError sqref="B3:Q9 E65:O65 B58:Q59 K57:Q57 B2:G2 I2:Q2 B14:Q15 B10:O10 D13:H13 K13:O13 B68:Q69 B63:B67 J67:O67 B30:Q37 B16:I16 K16:Q16 B44:Q45 B38:B43 D38:Q43 D57:I57 B46:B57 D46:Q56 D63:Q64 D66:O66 B60 D60:Q60 D67:H67 K70:Q71 B17:Q20 B22 D22:H22 K22:O22 B23:Q27 B29:H29 K29:O29" unlocked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Option Button 2">
              <controlPr defaultSize="0" autoFill="0" autoLine="0" autoPict="0">
                <anchor moveWithCells="1">
                  <from>
                    <xdr:col>7</xdr:col>
                    <xdr:colOff>180975</xdr:colOff>
                    <xdr:row>1</xdr:row>
                    <xdr:rowOff>123825</xdr:rowOff>
                  </from>
                  <to>
                    <xdr:col>7</xdr:col>
                    <xdr:colOff>371475</xdr:colOff>
                    <xdr:row>1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Option Button 3">
              <controlPr defaultSize="0" autoFill="0" autoLine="0" autoPict="0">
                <anchor moveWithCells="1">
                  <from>
                    <xdr:col>7</xdr:col>
                    <xdr:colOff>180975</xdr:colOff>
                    <xdr:row>2</xdr:row>
                    <xdr:rowOff>85725</xdr:rowOff>
                  </from>
                  <to>
                    <xdr:col>7</xdr:col>
                    <xdr:colOff>371475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Option Button 4">
              <controlPr defaultSize="0" autoFill="0" autoLine="0" autoPict="0">
                <anchor moveWithCells="1">
                  <from>
                    <xdr:col>7</xdr:col>
                    <xdr:colOff>180975</xdr:colOff>
                    <xdr:row>3</xdr:row>
                    <xdr:rowOff>76200</xdr:rowOff>
                  </from>
                  <to>
                    <xdr:col>7</xdr:col>
                    <xdr:colOff>371475</xdr:colOff>
                    <xdr:row>3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>
    <tabColor rgb="FFFFFF00"/>
    <pageSetUpPr fitToPage="1"/>
  </sheetPr>
  <dimension ref="A1:AS175"/>
  <sheetViews>
    <sheetView showGridLines="0" tabSelected="1" topLeftCell="A15" zoomScale="70" zoomScaleNormal="70" workbookViewId="0">
      <selection activeCell="O29" sqref="O29"/>
    </sheetView>
  </sheetViews>
  <sheetFormatPr defaultColWidth="9.42578125" defaultRowHeight="15" outlineLevelCol="1" x14ac:dyDescent="0.25"/>
  <cols>
    <col min="1" max="1" width="1.5703125" style="1" customWidth="1"/>
    <col min="2" max="2" width="2.85546875" style="1" customWidth="1"/>
    <col min="3" max="3" width="10.5703125" style="1" customWidth="1"/>
    <col min="4" max="4" width="16.5703125" style="1" customWidth="1"/>
    <col min="5" max="8" width="13.42578125" style="1" customWidth="1"/>
    <col min="9" max="9" width="11.42578125" style="1" customWidth="1"/>
    <col min="10" max="11" width="2.42578125" style="1" customWidth="1"/>
    <col min="12" max="13" width="3.5703125" style="1" customWidth="1"/>
    <col min="14" max="14" width="12.7109375" style="1" customWidth="1"/>
    <col min="15" max="15" width="15.140625" style="1" customWidth="1"/>
    <col min="16" max="16" width="11.42578125" style="1" customWidth="1"/>
    <col min="17" max="17" width="12.42578125" style="1" customWidth="1"/>
    <col min="18" max="18" width="13.42578125" style="1" customWidth="1"/>
    <col min="19" max="19" width="12.42578125" style="1" customWidth="1"/>
    <col min="20" max="20" width="9.42578125" style="1" customWidth="1"/>
    <col min="21" max="21" width="12.42578125" style="1" customWidth="1"/>
    <col min="22" max="24" width="10.42578125" style="1" customWidth="1"/>
    <col min="25" max="25" width="8.5703125" style="1" customWidth="1"/>
    <col min="26" max="26" width="12.7109375" style="1" customWidth="1"/>
    <col min="27" max="27" width="2.5703125" style="1" customWidth="1"/>
    <col min="28" max="29" width="9.42578125" style="1"/>
    <col min="30" max="30" width="11" style="1" customWidth="1"/>
    <col min="31" max="31" width="3.5703125" style="109" customWidth="1"/>
    <col min="32" max="32" width="17.42578125" style="1" customWidth="1" outlineLevel="1"/>
    <col min="33" max="37" width="11.5703125" style="1" customWidth="1" outlineLevel="1"/>
    <col min="38" max="38" width="18.42578125" style="1" customWidth="1" outlineLevel="1"/>
    <col min="39" max="42" width="8.5703125" style="1" customWidth="1" outlineLevel="1"/>
    <col min="43" max="43" width="9.5703125" style="1" customWidth="1" outlineLevel="1"/>
    <col min="44" max="44" width="13.42578125" style="1" customWidth="1" outlineLevel="1"/>
    <col min="45" max="45" width="19" style="1" customWidth="1" outlineLevel="1"/>
    <col min="46" max="46" width="8.5703125" style="1" customWidth="1"/>
    <col min="47" max="16384" width="9.42578125" style="1"/>
  </cols>
  <sheetData>
    <row r="1" spans="1:45" ht="6.6" customHeight="1" thickBot="1" x14ac:dyDescent="0.3">
      <c r="C1" s="108"/>
    </row>
    <row r="2" spans="1:45" ht="22.5" customHeight="1" thickTop="1" x14ac:dyDescent="0.25">
      <c r="B2" s="110" t="str">
        <f>MainOutline!B2</f>
        <v>WB Santa Cruz</v>
      </c>
      <c r="C2" s="111"/>
      <c r="D2" s="111"/>
      <c r="E2" s="112" t="s">
        <v>153</v>
      </c>
      <c r="F2" s="1063" t="s">
        <v>150</v>
      </c>
      <c r="G2" s="111"/>
      <c r="H2" s="113" t="s">
        <v>71</v>
      </c>
      <c r="I2" s="1258" t="str">
        <f>IF(AH3=1,"Payor Mix Error","")</f>
        <v/>
      </c>
      <c r="J2" s="114"/>
      <c r="K2" s="115"/>
      <c r="L2" s="116"/>
      <c r="M2" s="117"/>
      <c r="N2" s="118">
        <v>1</v>
      </c>
      <c r="O2" s="1069">
        <v>0.03</v>
      </c>
      <c r="P2" s="1301" t="s">
        <v>302</v>
      </c>
      <c r="Q2" s="119" t="b">
        <v>0</v>
      </c>
      <c r="R2" s="119">
        <v>2</v>
      </c>
      <c r="S2" s="120"/>
      <c r="T2" s="120"/>
      <c r="U2" s="120"/>
      <c r="V2" s="120"/>
      <c r="W2" s="120"/>
      <c r="X2" s="1295" t="str">
        <f>MacroLinks!F7</f>
        <v>IRR not solved!</v>
      </c>
      <c r="Y2" s="111"/>
      <c r="Z2" s="1700">
        <f>$A$3</f>
        <v>1</v>
      </c>
      <c r="AA2" s="1700"/>
      <c r="AD2" s="121" t="s">
        <v>261</v>
      </c>
      <c r="AE2" s="122"/>
    </row>
    <row r="3" spans="1:45" ht="22.5" customHeight="1" x14ac:dyDescent="0.25">
      <c r="A3" s="123">
        <f>MainOutline!B8</f>
        <v>1</v>
      </c>
      <c r="B3" s="102" t="str">
        <f>MainOutline!C8</f>
        <v>Exhibit A1</v>
      </c>
      <c r="C3" s="89"/>
      <c r="D3" s="1402" t="str">
        <f>IF(ApndxA2!S32=0,"","BS Error")</f>
        <v/>
      </c>
      <c r="E3" s="124" t="s">
        <v>70</v>
      </c>
      <c r="F3" s="1064" t="s">
        <v>1232</v>
      </c>
      <c r="G3" s="89"/>
      <c r="H3" s="125" t="s">
        <v>139</v>
      </c>
      <c r="I3" s="126"/>
      <c r="J3" s="126"/>
      <c r="K3" s="127"/>
      <c r="L3" s="128"/>
      <c r="M3" s="129"/>
      <c r="N3" s="130">
        <v>1</v>
      </c>
      <c r="O3" s="1070">
        <v>0.2</v>
      </c>
      <c r="P3" s="1367" t="s">
        <v>1063</v>
      </c>
      <c r="Q3" s="1368">
        <v>1</v>
      </c>
      <c r="R3" s="89"/>
      <c r="S3" s="89"/>
      <c r="T3" s="89"/>
      <c r="U3" s="89"/>
      <c r="V3" s="89"/>
      <c r="W3" s="89"/>
      <c r="X3" s="89"/>
      <c r="Y3" s="89"/>
      <c r="Z3" s="89"/>
      <c r="AA3" s="89"/>
      <c r="AG3" s="1" t="s">
        <v>964</v>
      </c>
      <c r="AH3" s="1">
        <f>'C6'!Q21</f>
        <v>0</v>
      </c>
    </row>
    <row r="4" spans="1:45" ht="22.5" customHeight="1" thickBot="1" x14ac:dyDescent="0.3">
      <c r="B4" s="104" t="s">
        <v>15</v>
      </c>
      <c r="C4" s="97"/>
      <c r="D4" s="97"/>
      <c r="E4" s="131" t="str">
        <f>IF(G116&gt;0,"Cash becomes negative","")</f>
        <v/>
      </c>
      <c r="F4" s="97"/>
      <c r="G4" s="97"/>
      <c r="H4" s="132" t="s">
        <v>140</v>
      </c>
      <c r="I4" s="133"/>
      <c r="J4" s="133"/>
      <c r="K4" s="134"/>
      <c r="L4" s="135">
        <v>1</v>
      </c>
      <c r="M4" s="97"/>
      <c r="N4" s="136">
        <v>1</v>
      </c>
      <c r="O4" s="1071">
        <v>0.15</v>
      </c>
      <c r="P4" s="137" t="str">
        <f>"Cash reaches a minimum of "&amp;TEXT(F116/1000,"$0.00")&amp;" million by "&amp;E116</f>
        <v>Cash reaches a minimum of $0.21 million by Y2 Q1</v>
      </c>
      <c r="Q4" s="97"/>
      <c r="R4" s="97"/>
      <c r="S4" s="97"/>
      <c r="T4" s="97"/>
      <c r="U4" s="97"/>
      <c r="V4" s="97"/>
      <c r="W4" s="97"/>
      <c r="X4" s="97"/>
      <c r="Y4" s="97"/>
      <c r="Z4" s="97"/>
      <c r="AA4" s="138" t="s">
        <v>226</v>
      </c>
      <c r="AG4" s="1" t="s">
        <v>1105</v>
      </c>
      <c r="AH4" s="82">
        <f>IF(ApndxA2!S32=0,0,1)</f>
        <v>0</v>
      </c>
    </row>
    <row r="5" spans="1:45" ht="5.0999999999999996" customHeight="1" thickTop="1" thickBot="1" x14ac:dyDescent="0.3"/>
    <row r="6" spans="1:45" ht="22.35" customHeight="1" thickTop="1" x14ac:dyDescent="0.55000000000000004">
      <c r="B6" s="139" t="s">
        <v>94</v>
      </c>
      <c r="C6" s="140"/>
      <c r="D6" s="141"/>
      <c r="E6" s="141"/>
      <c r="F6" s="141"/>
      <c r="G6" s="141"/>
      <c r="H6" s="141"/>
      <c r="I6" s="141"/>
      <c r="J6" s="142"/>
      <c r="K6" s="143"/>
      <c r="L6" s="144" t="s">
        <v>219</v>
      </c>
      <c r="M6" s="145"/>
      <c r="N6" s="145"/>
      <c r="O6" s="145"/>
      <c r="P6" s="145"/>
      <c r="Q6" s="145"/>
      <c r="R6" s="668" t="s">
        <v>394</v>
      </c>
      <c r="S6" s="146"/>
      <c r="T6" s="146"/>
      <c r="U6" s="146"/>
      <c r="V6" s="146"/>
      <c r="W6" s="146"/>
      <c r="X6" s="146"/>
      <c r="Y6" s="146"/>
      <c r="Z6" s="146"/>
      <c r="AA6" s="147"/>
    </row>
    <row r="7" spans="1:45" ht="18" thickBot="1" x14ac:dyDescent="0.45">
      <c r="B7" s="148"/>
      <c r="C7" s="1622" t="s">
        <v>1191</v>
      </c>
      <c r="J7" s="149"/>
      <c r="K7" s="143"/>
      <c r="L7" s="150"/>
      <c r="M7" s="157" t="s">
        <v>159</v>
      </c>
      <c r="R7" s="877"/>
      <c r="S7" s="153" t="s">
        <v>116</v>
      </c>
      <c r="T7" s="153" t="s">
        <v>90</v>
      </c>
      <c r="U7" s="153" t="s">
        <v>91</v>
      </c>
      <c r="V7" s="153" t="s">
        <v>92</v>
      </c>
      <c r="W7" s="153" t="s">
        <v>93</v>
      </c>
      <c r="X7" s="968" t="s">
        <v>608</v>
      </c>
      <c r="Y7" s="152"/>
      <c r="Z7" s="152"/>
      <c r="AA7" s="154"/>
    </row>
    <row r="8" spans="1:45" s="155" customFormat="1" ht="17.25" x14ac:dyDescent="0.4">
      <c r="B8" s="148"/>
      <c r="C8" s="1623">
        <v>0.03</v>
      </c>
      <c r="D8" s="1"/>
      <c r="E8" s="333" t="s">
        <v>74</v>
      </c>
      <c r="F8" s="334"/>
      <c r="G8" s="334" t="s">
        <v>77</v>
      </c>
      <c r="H8" s="335"/>
      <c r="I8" s="173" t="s">
        <v>866</v>
      </c>
      <c r="J8" s="149"/>
      <c r="K8" s="143"/>
      <c r="L8" s="156"/>
      <c r="M8" s="81" t="s">
        <v>136</v>
      </c>
      <c r="N8" s="1"/>
      <c r="O8" s="1628">
        <f>'A2'!G42*(1+$C$8)</f>
        <v>344.05744729133704</v>
      </c>
      <c r="P8" s="162" t="s">
        <v>80</v>
      </c>
      <c r="Q8" s="972">
        <v>200</v>
      </c>
      <c r="R8" s="933" t="s">
        <v>234</v>
      </c>
      <c r="S8" s="158">
        <f>ApndxA1!J9</f>
        <v>59.160381718422364</v>
      </c>
      <c r="T8" s="158">
        <f>ApndxA1!K9</f>
        <v>61.224800000000037</v>
      </c>
      <c r="U8" s="158">
        <f>ApndxA1!L9</f>
        <v>63.061544000000033</v>
      </c>
      <c r="V8" s="158">
        <f>ApndxA1!M9</f>
        <v>64.95339032000004</v>
      </c>
      <c r="W8" s="158">
        <f>ApndxA1!N9</f>
        <v>66.901992029600038</v>
      </c>
      <c r="X8" s="969"/>
      <c r="Y8" s="153" t="s">
        <v>511</v>
      </c>
      <c r="Z8" s="153" t="s">
        <v>510</v>
      </c>
      <c r="AA8" s="1115"/>
      <c r="AB8" s="101"/>
      <c r="AC8" s="101"/>
      <c r="AE8" s="159"/>
      <c r="AF8" s="106" t="s">
        <v>262</v>
      </c>
      <c r="AG8" s="173" t="b">
        <v>0</v>
      </c>
      <c r="AH8" s="173" t="b">
        <v>0</v>
      </c>
      <c r="AI8" s="173" t="b">
        <v>1</v>
      </c>
      <c r="AJ8" s="173" t="b">
        <v>1</v>
      </c>
      <c r="AL8" s="157" t="s">
        <v>260</v>
      </c>
      <c r="AM8" s="173"/>
      <c r="AN8" s="173"/>
      <c r="AO8" s="173"/>
      <c r="AP8" s="173"/>
      <c r="AQ8" s="155" t="s">
        <v>883</v>
      </c>
    </row>
    <row r="9" spans="1:45" ht="15.75" x14ac:dyDescent="0.25">
      <c r="B9" s="148"/>
      <c r="E9" s="1034" t="s">
        <v>75</v>
      </c>
      <c r="F9" s="160" t="s">
        <v>76</v>
      </c>
      <c r="G9" s="160" t="s">
        <v>78</v>
      </c>
      <c r="H9" s="1035" t="s">
        <v>83</v>
      </c>
      <c r="I9" s="173" t="s">
        <v>867</v>
      </c>
      <c r="J9" s="149"/>
      <c r="K9" s="143"/>
      <c r="L9" s="150"/>
      <c r="M9" s="81" t="s">
        <v>137</v>
      </c>
      <c r="O9" s="161">
        <f>'A2'!H42</f>
        <v>69.554731395611896</v>
      </c>
      <c r="P9" s="162" t="s">
        <v>80</v>
      </c>
      <c r="Q9" s="972">
        <f>+O9*0.986</f>
        <v>68.580965156073333</v>
      </c>
      <c r="R9" s="933" t="s">
        <v>229</v>
      </c>
      <c r="S9" s="158">
        <f>ApndxA1!J10</f>
        <v>9163.2354854031037</v>
      </c>
      <c r="T9" s="158">
        <f>ApndxA1!K10</f>
        <v>9482.9891838241674</v>
      </c>
      <c r="U9" s="158">
        <f>ApndxA1!L10</f>
        <v>9767.4788593388912</v>
      </c>
      <c r="V9" s="158">
        <f>ApndxA1!M10</f>
        <v>10060.503225119059</v>
      </c>
      <c r="W9" s="158">
        <f>ApndxA1!N10</f>
        <v>10362.31832187263</v>
      </c>
      <c r="X9" s="969" t="s">
        <v>64</v>
      </c>
      <c r="Y9" s="1410">
        <f>U51</f>
        <v>0</v>
      </c>
      <c r="Z9" s="1410">
        <f>U48</f>
        <v>686.31464635768225</v>
      </c>
      <c r="AA9" s="154"/>
      <c r="AG9" s="173">
        <f>IF(AG8=TRUE,1,0)</f>
        <v>0</v>
      </c>
      <c r="AH9" s="173">
        <f>IF(AH8=TRUE,1,0)</f>
        <v>0</v>
      </c>
      <c r="AI9" s="173">
        <f>IF(AI8=TRUE,1,0)</f>
        <v>1</v>
      </c>
      <c r="AJ9" s="173">
        <f>IF(AJ8=TRUE,1,0)</f>
        <v>1</v>
      </c>
      <c r="AK9" s="7">
        <f>SUM(AG9:AJ9)</f>
        <v>2</v>
      </c>
      <c r="AL9" s="1" t="s">
        <v>258</v>
      </c>
      <c r="AM9" s="173">
        <f>IF(E16="a",1,2)</f>
        <v>1</v>
      </c>
      <c r="AN9" s="173">
        <f>IF(F16="a",1,2)</f>
        <v>1</v>
      </c>
      <c r="AO9" s="173">
        <f>IF(G16="a",1,2)</f>
        <v>1</v>
      </c>
      <c r="AP9" s="173">
        <f>IF(H16="a",1,2)</f>
        <v>1</v>
      </c>
      <c r="AR9" s="173">
        <f>IF(P8="A",1,2)</f>
        <v>1</v>
      </c>
      <c r="AS9" s="163">
        <f>CHOOSE(AR9,O8,Q8)</f>
        <v>344.05744729133704</v>
      </c>
    </row>
    <row r="10" spans="1:45" ht="15.75" thickBot="1" x14ac:dyDescent="0.3">
      <c r="B10" s="148"/>
      <c r="E10" s="1036"/>
      <c r="F10" s="1037"/>
      <c r="G10" s="1038"/>
      <c r="H10" s="1039"/>
      <c r="I10" s="1414">
        <v>0.01</v>
      </c>
      <c r="J10" s="149"/>
      <c r="K10" s="143"/>
      <c r="L10" s="150"/>
      <c r="M10" s="860" t="s">
        <v>865</v>
      </c>
      <c r="N10" s="516"/>
      <c r="O10" s="516"/>
      <c r="P10" s="1062">
        <v>1.6E-2</v>
      </c>
      <c r="R10" s="933" t="s">
        <v>393</v>
      </c>
      <c r="S10" s="1410">
        <f>ApndxA1!P19</f>
        <v>385.65065931174183</v>
      </c>
      <c r="T10" s="1410">
        <f>ApndxA1!Q19</f>
        <v>389.50716590485922</v>
      </c>
      <c r="U10" s="1410">
        <f>ApndxA1!R19</f>
        <v>393.40223756390793</v>
      </c>
      <c r="V10" s="1410">
        <f>ApndxA1!S19</f>
        <v>397.33625993954695</v>
      </c>
      <c r="W10" s="1410">
        <f>ApndxA1!T19</f>
        <v>401.30962253894239</v>
      </c>
      <c r="X10" s="969" t="s">
        <v>392</v>
      </c>
      <c r="Y10" s="164" t="str">
        <f>IF($Q$2=FALSE,"NMF",IF(ISNUMBER('D7'!F22),'D7'!F22,"NMF"))</f>
        <v>NMF</v>
      </c>
      <c r="Z10" s="164">
        <f>'D6'!F22</f>
        <v>0.67828161320288327</v>
      </c>
      <c r="AA10" s="154"/>
      <c r="AF10" s="106" t="s">
        <v>108</v>
      </c>
      <c r="AL10" s="1" t="s">
        <v>71</v>
      </c>
      <c r="AM10" s="173">
        <f>IF(E34="a",1,2)</f>
        <v>1</v>
      </c>
      <c r="AN10" s="173">
        <f>IF(F34="a",1,2)</f>
        <v>1</v>
      </c>
      <c r="AO10" s="173">
        <f>IF(G34="a",1,2)</f>
        <v>1</v>
      </c>
      <c r="AP10" s="173">
        <f>IF(H34="a",1,2)</f>
        <v>1</v>
      </c>
      <c r="AR10" s="173">
        <f>IF(P9="A",1,2)</f>
        <v>1</v>
      </c>
      <c r="AS10" s="163">
        <f>CHOOSE(AR10,O9,Q9)</f>
        <v>69.554731395611896</v>
      </c>
    </row>
    <row r="11" spans="1:45" ht="14.85" customHeight="1" x14ac:dyDescent="0.25">
      <c r="B11" s="148"/>
      <c r="C11" s="1691" t="s">
        <v>122</v>
      </c>
      <c r="D11" s="165" t="s">
        <v>84</v>
      </c>
      <c r="E11" s="166">
        <f>'A2'!O14</f>
        <v>0</v>
      </c>
      <c r="F11" s="171">
        <f>'A2'!P14</f>
        <v>0</v>
      </c>
      <c r="G11" s="1624">
        <f>'A2'!Q14*(1+$C$8)</f>
        <v>340.02359999999993</v>
      </c>
      <c r="H11" s="1625">
        <f>'A2'!R14*(1+$C$8)</f>
        <v>0</v>
      </c>
      <c r="J11" s="149"/>
      <c r="K11" s="143"/>
      <c r="L11" s="150"/>
      <c r="P11" s="1" t="s">
        <v>955</v>
      </c>
      <c r="R11" s="973" t="s">
        <v>462</v>
      </c>
      <c r="S11" s="152"/>
      <c r="T11" s="152"/>
      <c r="U11" s="152"/>
      <c r="V11" s="152"/>
      <c r="W11" s="152"/>
      <c r="X11" s="970" t="s">
        <v>606</v>
      </c>
      <c r="Y11" s="974" t="e">
        <f>'D7'!$L$32</f>
        <v>#DIV/0!</v>
      </c>
      <c r="Z11" s="974">
        <f>'D6'!$L$32</f>
        <v>2.072668211972001</v>
      </c>
      <c r="AA11" s="154"/>
      <c r="AF11" s="170" t="str">
        <f>D11</f>
        <v>Non-contracted</v>
      </c>
      <c r="AG11" s="1236">
        <f t="shared" ref="AG11:AJ15" si="0">CHOOSE(AM$9,E11,E17)</f>
        <v>0</v>
      </c>
      <c r="AH11" s="1236">
        <f t="shared" si="0"/>
        <v>0</v>
      </c>
      <c r="AI11" s="1236">
        <f t="shared" si="0"/>
        <v>340.02359999999993</v>
      </c>
      <c r="AJ11" s="1237">
        <f t="shared" si="0"/>
        <v>0</v>
      </c>
      <c r="AL11" s="1" t="s">
        <v>259</v>
      </c>
      <c r="AM11" s="173">
        <f>IF(E45="a",1,2)</f>
        <v>1</v>
      </c>
      <c r="AN11" s="173">
        <f>IF(F45="a",1,2)</f>
        <v>1</v>
      </c>
      <c r="AO11" s="173">
        <f>IF(G45="a",1,2)</f>
        <v>1</v>
      </c>
      <c r="AP11" s="173">
        <f>IF(H45="a",1,2)</f>
        <v>1</v>
      </c>
    </row>
    <row r="12" spans="1:45" x14ac:dyDescent="0.25">
      <c r="B12" s="148"/>
      <c r="C12" s="1692"/>
      <c r="D12" s="1" t="s">
        <v>85</v>
      </c>
      <c r="E12" s="166">
        <f>'A2'!O15</f>
        <v>0</v>
      </c>
      <c r="F12" s="171">
        <f>'A2'!P15</f>
        <v>0</v>
      </c>
      <c r="G12" s="1624">
        <f>'A2'!Q15*(1+$C$8)</f>
        <v>611.11170120639065</v>
      </c>
      <c r="H12" s="1625">
        <f>'A2'!R15*(1+$C$8)</f>
        <v>0</v>
      </c>
      <c r="J12" s="149"/>
      <c r="K12" s="143"/>
      <c r="L12" s="150"/>
      <c r="M12" s="157" t="s">
        <v>278</v>
      </c>
      <c r="R12" s="975" t="s">
        <v>160</v>
      </c>
      <c r="S12" s="1410">
        <f>ApndxA1!P22</f>
        <v>105.8746562514516</v>
      </c>
      <c r="T12" s="1410">
        <f>ApndxA1!Q22</f>
        <v>108.23710364577072</v>
      </c>
      <c r="U12" s="1410">
        <f>ApndxA1!R22</f>
        <v>110.78458727884593</v>
      </c>
      <c r="V12" s="1410">
        <f>ApndxA1!S22</f>
        <v>113.40849542091341</v>
      </c>
      <c r="W12" s="1410">
        <f>ApndxA1!T22</f>
        <v>116.11112080724291</v>
      </c>
      <c r="X12" s="970" t="s">
        <v>607</v>
      </c>
      <c r="Y12" s="974" t="e">
        <f>'D7'!$L$33</f>
        <v>#DIV/0!</v>
      </c>
      <c r="Z12" s="974">
        <f>'D6'!$L$33</f>
        <v>2.072668211972001</v>
      </c>
      <c r="AA12" s="154"/>
      <c r="AF12" s="172" t="str">
        <f>D12</f>
        <v>Contracted</v>
      </c>
      <c r="AG12" s="765">
        <f t="shared" si="0"/>
        <v>0</v>
      </c>
      <c r="AH12" s="765">
        <f t="shared" si="0"/>
        <v>0</v>
      </c>
      <c r="AI12" s="765">
        <f t="shared" si="0"/>
        <v>611.11170120639065</v>
      </c>
      <c r="AJ12" s="1238">
        <f t="shared" si="0"/>
        <v>0</v>
      </c>
      <c r="AL12" s="1" t="s">
        <v>149</v>
      </c>
      <c r="AM12" s="173">
        <f>IF(E60="a",1,2)</f>
        <v>1</v>
      </c>
      <c r="AN12" s="173">
        <f>IF(F60="a",1,2)</f>
        <v>1</v>
      </c>
      <c r="AO12" s="173">
        <f>IF(G60="a",1,2)</f>
        <v>1</v>
      </c>
      <c r="AP12" s="173">
        <f>IF(H60="a",1,2)</f>
        <v>1</v>
      </c>
      <c r="AQ12" s="173">
        <f>IF(I60="a",1,2)</f>
        <v>1</v>
      </c>
      <c r="AR12" s="173"/>
      <c r="AS12" s="173"/>
    </row>
    <row r="13" spans="1:45" x14ac:dyDescent="0.25">
      <c r="B13" s="148"/>
      <c r="C13" s="1692"/>
      <c r="D13" s="1" t="s">
        <v>86</v>
      </c>
      <c r="E13" s="166">
        <f>'A2'!O16</f>
        <v>0</v>
      </c>
      <c r="F13" s="171">
        <f>'A2'!P16</f>
        <v>0</v>
      </c>
      <c r="G13" s="1624">
        <f>'A2'!Q16*(1+$C$8)</f>
        <v>399.29167110726632</v>
      </c>
      <c r="H13" s="1625">
        <f>'A2'!R16*(1+$C$8)</f>
        <v>350.22677999999996</v>
      </c>
      <c r="J13" s="149"/>
      <c r="K13" s="143"/>
      <c r="L13" s="150"/>
      <c r="M13" s="175" t="s">
        <v>154</v>
      </c>
      <c r="O13" s="1112">
        <v>3280</v>
      </c>
      <c r="P13" s="1" t="s">
        <v>230</v>
      </c>
      <c r="Q13" s="1067">
        <v>0</v>
      </c>
      <c r="R13" s="975" t="s">
        <v>142</v>
      </c>
      <c r="S13" s="1410">
        <f>ApndxA1!P23</f>
        <v>38.988142638882898</v>
      </c>
      <c r="T13" s="1410">
        <f>ApndxA1!Q23</f>
        <v>40.547668344438215</v>
      </c>
      <c r="U13" s="1410">
        <f>ApndxA1!R23</f>
        <v>42.16957507821575</v>
      </c>
      <c r="V13" s="1410">
        <f>ApndxA1!S23</f>
        <v>43.856358081344389</v>
      </c>
      <c r="W13" s="1410">
        <f>ApndxA1!T23</f>
        <v>45.610612404598164</v>
      </c>
      <c r="X13" s="970" t="s">
        <v>600</v>
      </c>
      <c r="Y13" s="976" t="e">
        <f>'D8'!F7</f>
        <v>#DIV/0!</v>
      </c>
      <c r="Z13" s="976">
        <f>'D8'!E7</f>
        <v>2.7888469938732587</v>
      </c>
      <c r="AA13" s="154"/>
      <c r="AF13" s="172" t="str">
        <f>D13</f>
        <v>KP</v>
      </c>
      <c r="AG13" s="765">
        <f t="shared" si="0"/>
        <v>0</v>
      </c>
      <c r="AH13" s="765">
        <f t="shared" si="0"/>
        <v>0</v>
      </c>
      <c r="AI13" s="765">
        <f t="shared" si="0"/>
        <v>399.29167110726632</v>
      </c>
      <c r="AJ13" s="1238">
        <f t="shared" si="0"/>
        <v>350.22677999999996</v>
      </c>
      <c r="AL13" s="1" t="s">
        <v>507</v>
      </c>
      <c r="AM13" s="173">
        <f>IF(E23="a",1,2)</f>
        <v>1</v>
      </c>
      <c r="AN13" s="173">
        <f>IF(F23="a",1,2)</f>
        <v>1</v>
      </c>
      <c r="AO13" s="173">
        <f>IF(G23="a",1,2)</f>
        <v>1</v>
      </c>
      <c r="AP13" s="173">
        <f>IF(H23="a",1,2)</f>
        <v>1</v>
      </c>
      <c r="AR13" s="173"/>
      <c r="AS13" s="173"/>
    </row>
    <row r="14" spans="1:45" x14ac:dyDescent="0.25">
      <c r="B14" s="148"/>
      <c r="C14" s="1692"/>
      <c r="D14" s="1" t="s">
        <v>65</v>
      </c>
      <c r="E14" s="166">
        <f>'A2'!O17</f>
        <v>0</v>
      </c>
      <c r="F14" s="171">
        <f>'A2'!P17</f>
        <v>0</v>
      </c>
      <c r="G14" s="1624">
        <f>'A2'!Q17*(1+$C$8)</f>
        <v>372.99906123516195</v>
      </c>
      <c r="H14" s="1625">
        <f>'A2'!R17*(1+$C$8)</f>
        <v>0</v>
      </c>
      <c r="J14" s="149"/>
      <c r="K14" s="143"/>
      <c r="L14" s="150"/>
      <c r="M14" s="81" t="s">
        <v>155</v>
      </c>
      <c r="O14" s="1113">
        <f>(19.46+3.76)/12</f>
        <v>1.9349999999999998</v>
      </c>
      <c r="P14" s="1" t="s">
        <v>1125</v>
      </c>
      <c r="Q14" s="1067">
        <v>4</v>
      </c>
      <c r="R14" s="975" t="s">
        <v>145</v>
      </c>
      <c r="S14" s="1410">
        <f>ApndxA1!P24+ApndxA1!P25</f>
        <v>123.5241255967713</v>
      </c>
      <c r="T14" s="1410">
        <f>ApndxA1!Q24+ApndxA1!Q25</f>
        <v>128.46509062064212</v>
      </c>
      <c r="U14" s="1410">
        <f>ApndxA1!R24+ApndxA1!R25</f>
        <v>133.60369424546781</v>
      </c>
      <c r="V14" s="1410">
        <f>ApndxA1!S24+ApndxA1!S25</f>
        <v>138.94784201528654</v>
      </c>
      <c r="W14" s="1410">
        <f>ApndxA1!T24+ApndxA1!T25</f>
        <v>144.50575569589805</v>
      </c>
      <c r="X14" s="1290"/>
      <c r="Y14" s="152"/>
      <c r="Z14" s="1410"/>
      <c r="AA14" s="154"/>
      <c r="AF14" s="172" t="str">
        <f>D14</f>
        <v>Other</v>
      </c>
      <c r="AG14" s="765">
        <f t="shared" si="0"/>
        <v>0</v>
      </c>
      <c r="AH14" s="765">
        <f t="shared" si="0"/>
        <v>0</v>
      </c>
      <c r="AI14" s="765">
        <f t="shared" si="0"/>
        <v>372.99906123516195</v>
      </c>
      <c r="AJ14" s="1238">
        <f t="shared" si="0"/>
        <v>0</v>
      </c>
      <c r="AR14" s="173"/>
      <c r="AS14" s="173"/>
    </row>
    <row r="15" spans="1:45" x14ac:dyDescent="0.25">
      <c r="B15" s="148"/>
      <c r="C15" s="1692"/>
      <c r="D15" s="46" t="s">
        <v>72</v>
      </c>
      <c r="E15" s="176">
        <f>'A2'!O18</f>
        <v>0</v>
      </c>
      <c r="F15" s="177">
        <f>'A2'!P18</f>
        <v>0</v>
      </c>
      <c r="G15" s="1626">
        <f>'A2'!Q18*(1+$C$8)</f>
        <v>0</v>
      </c>
      <c r="H15" s="1627">
        <f>'A2'!R18*(1+$C$8)</f>
        <v>0</v>
      </c>
      <c r="J15" s="149"/>
      <c r="K15" s="143"/>
      <c r="L15" s="150"/>
      <c r="M15" s="81"/>
      <c r="Q15" s="244"/>
      <c r="R15" s="975" t="s">
        <v>463</v>
      </c>
      <c r="S15" s="1411">
        <f>ApndxA1!P36</f>
        <v>73.493268966243988</v>
      </c>
      <c r="T15" s="1411">
        <f>ApndxA1!Q36</f>
        <v>85.256493964188877</v>
      </c>
      <c r="U15" s="1411">
        <f>ApndxA1!R36</f>
        <v>84.143067350081765</v>
      </c>
      <c r="V15" s="1411">
        <f>ApndxA1!S36</f>
        <v>84.12321453964968</v>
      </c>
      <c r="W15" s="1411">
        <f>ApndxA1!T36</f>
        <v>84.11810023136924</v>
      </c>
      <c r="X15" s="970"/>
      <c r="Y15" s="152"/>
      <c r="Z15" s="974"/>
      <c r="AA15" s="154"/>
      <c r="AF15" s="178" t="str">
        <f>D15</f>
        <v>AKI</v>
      </c>
      <c r="AG15" s="1239">
        <f t="shared" si="0"/>
        <v>0</v>
      </c>
      <c r="AH15" s="1239">
        <f t="shared" si="0"/>
        <v>0</v>
      </c>
      <c r="AI15" s="1239">
        <f t="shared" si="0"/>
        <v>0</v>
      </c>
      <c r="AJ15" s="1240">
        <f t="shared" si="0"/>
        <v>0</v>
      </c>
      <c r="AL15" s="157" t="s">
        <v>264</v>
      </c>
      <c r="AM15" s="173"/>
      <c r="AN15" s="173"/>
      <c r="AO15" s="173"/>
      <c r="AP15" s="173"/>
      <c r="AR15" s="173"/>
      <c r="AS15" s="173"/>
    </row>
    <row r="16" spans="1:45" ht="15.75" x14ac:dyDescent="0.25">
      <c r="B16" s="148"/>
      <c r="C16" s="1692"/>
      <c r="E16" s="181" t="s">
        <v>80</v>
      </c>
      <c r="F16" s="181" t="s">
        <v>80</v>
      </c>
      <c r="G16" s="181" t="s">
        <v>80</v>
      </c>
      <c r="H16" s="182" t="s">
        <v>80</v>
      </c>
      <c r="J16" s="149"/>
      <c r="K16" s="143"/>
      <c r="L16" s="150"/>
      <c r="M16" s="175" t="s">
        <v>157</v>
      </c>
      <c r="O16" s="183">
        <f>'A2'!$M$42</f>
        <v>23762.71</v>
      </c>
      <c r="P16" s="162" t="s">
        <v>81</v>
      </c>
      <c r="Q16" s="972">
        <f>O16/12</f>
        <v>1980.2258333333332</v>
      </c>
      <c r="R16" s="1208" t="s">
        <v>13</v>
      </c>
      <c r="S16" s="925">
        <f>SUM(S12:S15)</f>
        <v>341.88019345334976</v>
      </c>
      <c r="T16" s="925">
        <f>SUM(T12:T15)</f>
        <v>362.50635657503994</v>
      </c>
      <c r="U16" s="925">
        <f>SUM(U12:U15)</f>
        <v>370.70092395261122</v>
      </c>
      <c r="V16" s="925">
        <f>SUM(V12:V15)</f>
        <v>380.33591005719404</v>
      </c>
      <c r="W16" s="926">
        <f>SUM(W12:W15)</f>
        <v>390.34558913910837</v>
      </c>
      <c r="X16" s="1117"/>
      <c r="Y16" s="259"/>
      <c r="Z16" s="1118"/>
      <c r="AA16" s="261"/>
      <c r="AG16" s="765"/>
      <c r="AH16" s="765"/>
      <c r="AI16" s="765"/>
      <c r="AJ16" s="765"/>
      <c r="AL16" s="1" t="str">
        <f>AL9</f>
        <v>Com'l Rates</v>
      </c>
      <c r="AM16" s="173">
        <f t="shared" ref="AM16:AP20" si="1">AG$9*AM9</f>
        <v>0</v>
      </c>
      <c r="AN16" s="173">
        <f t="shared" si="1"/>
        <v>0</v>
      </c>
      <c r="AO16" s="173">
        <f t="shared" si="1"/>
        <v>1</v>
      </c>
      <c r="AP16" s="173">
        <f t="shared" si="1"/>
        <v>1</v>
      </c>
      <c r="AR16" s="173"/>
      <c r="AS16" s="173"/>
    </row>
    <row r="17" spans="2:45" ht="15.75" x14ac:dyDescent="0.25">
      <c r="B17" s="148"/>
      <c r="C17" s="1692"/>
      <c r="D17" s="184" t="str">
        <f>D11</f>
        <v>Non-contracted</v>
      </c>
      <c r="E17" s="185">
        <v>0</v>
      </c>
      <c r="F17" s="186">
        <v>0</v>
      </c>
      <c r="G17" s="186">
        <v>0</v>
      </c>
      <c r="H17" s="187">
        <v>175</v>
      </c>
      <c r="J17" s="149"/>
      <c r="K17" s="143"/>
      <c r="L17" s="150"/>
      <c r="M17" s="175" t="s">
        <v>283</v>
      </c>
      <c r="O17" s="183">
        <f>'A2'!$N$42</f>
        <v>9371.17</v>
      </c>
      <c r="P17" s="162" t="s">
        <v>81</v>
      </c>
      <c r="Q17" s="972">
        <f>O17/12</f>
        <v>780.93083333333334</v>
      </c>
      <c r="R17" s="933" t="s">
        <v>32</v>
      </c>
      <c r="S17" s="1410">
        <f>ApndxA1!J19</f>
        <v>3533.807806374456</v>
      </c>
      <c r="T17" s="1410">
        <f>ApndxA1!K19</f>
        <v>3693.6922412977856</v>
      </c>
      <c r="U17" s="1410">
        <f>ApndxA1!L19</f>
        <v>3842.5480386220866</v>
      </c>
      <c r="V17" s="1410">
        <f>ApndxA1!M19</f>
        <v>3997.4027245785569</v>
      </c>
      <c r="W17" s="1410">
        <f>ApndxA1!N19</f>
        <v>4158.4980543790716</v>
      </c>
      <c r="X17" s="1215" t="s">
        <v>953</v>
      </c>
      <c r="Y17" s="1214"/>
      <c r="Z17" s="1214"/>
      <c r="AA17" s="1213"/>
      <c r="AF17" s="1" t="s">
        <v>565</v>
      </c>
      <c r="AG17" s="765"/>
      <c r="AH17" s="765"/>
      <c r="AI17" s="765"/>
      <c r="AJ17" s="765"/>
      <c r="AL17" s="1" t="str">
        <f>AL10</f>
        <v>Payor Mix</v>
      </c>
      <c r="AM17" s="173">
        <f t="shared" si="1"/>
        <v>0</v>
      </c>
      <c r="AN17" s="173">
        <f t="shared" si="1"/>
        <v>0</v>
      </c>
      <c r="AO17" s="173">
        <f t="shared" si="1"/>
        <v>1</v>
      </c>
      <c r="AP17" s="173">
        <f t="shared" si="1"/>
        <v>1</v>
      </c>
      <c r="AR17" s="173">
        <f>IF(P16="A",1,2)</f>
        <v>2</v>
      </c>
      <c r="AS17" s="163">
        <f>CHOOSE(AR17,O16,Q16)</f>
        <v>1980.2258333333332</v>
      </c>
    </row>
    <row r="18" spans="2:45" ht="15.75" x14ac:dyDescent="0.25">
      <c r="B18" s="148"/>
      <c r="C18" s="1692"/>
      <c r="D18" s="188" t="str">
        <f>D12</f>
        <v>Contracted</v>
      </c>
      <c r="E18" s="189">
        <v>400</v>
      </c>
      <c r="F18" s="190">
        <v>600</v>
      </c>
      <c r="G18" s="190">
        <v>0</v>
      </c>
      <c r="H18" s="191">
        <v>0</v>
      </c>
      <c r="J18" s="149"/>
      <c r="K18" s="143"/>
      <c r="L18" s="150"/>
      <c r="M18" s="175" t="s">
        <v>284</v>
      </c>
      <c r="O18" s="183">
        <f>'A2'!$O$42</f>
        <v>26213.57</v>
      </c>
      <c r="P18" s="162" t="s">
        <v>81</v>
      </c>
      <c r="Q18" s="972">
        <f>O18/12</f>
        <v>2184.4641666666666</v>
      </c>
      <c r="R18" s="933" t="s">
        <v>38</v>
      </c>
      <c r="S18" s="1410">
        <f>ApndxA1!J46</f>
        <v>413.79553739481457</v>
      </c>
      <c r="T18" s="1410">
        <f>ApndxA1!K46</f>
        <v>379.76483425774609</v>
      </c>
      <c r="U18" s="1410">
        <f>ApndxA1!L46</f>
        <v>335.22289220613311</v>
      </c>
      <c r="V18" s="1410">
        <f>ApndxA1!M46</f>
        <v>284.52036624813582</v>
      </c>
      <c r="W18" s="1410">
        <f>ApndxA1!N46</f>
        <v>227.10109560929448</v>
      </c>
      <c r="X18" s="971" t="s">
        <v>42</v>
      </c>
      <c r="Y18" s="1410">
        <f>'D1'!G36</f>
        <v>0</v>
      </c>
      <c r="Z18" s="1410">
        <f>'D1'!F36</f>
        <v>639.82006616561944</v>
      </c>
      <c r="AA18" s="154"/>
      <c r="AF18" s="1242" t="str">
        <f t="shared" ref="AF18:AF24" si="2">AF33</f>
        <v>Non-contracted</v>
      </c>
      <c r="AG18" s="1243">
        <f t="shared" ref="AG18:AJ20" si="3">AG11</f>
        <v>0</v>
      </c>
      <c r="AH18" s="1243">
        <f t="shared" si="3"/>
        <v>0</v>
      </c>
      <c r="AI18" s="1243">
        <f t="shared" si="3"/>
        <v>340.02359999999993</v>
      </c>
      <c r="AJ18" s="1244">
        <f t="shared" si="3"/>
        <v>0</v>
      </c>
      <c r="AL18" s="1" t="str">
        <f>AL11</f>
        <v>Treatment / Mo.</v>
      </c>
      <c r="AM18" s="173">
        <f t="shared" si="1"/>
        <v>0</v>
      </c>
      <c r="AN18" s="173">
        <f t="shared" si="1"/>
        <v>0</v>
      </c>
      <c r="AO18" s="173">
        <f t="shared" si="1"/>
        <v>1</v>
      </c>
      <c r="AP18" s="173">
        <f t="shared" si="1"/>
        <v>1</v>
      </c>
      <c r="AR18" s="173">
        <f>IF(P17="A",1,2)</f>
        <v>2</v>
      </c>
      <c r="AS18" s="163">
        <f>CHOOSE(AR18,O17,Q17)</f>
        <v>780.93083333333334</v>
      </c>
    </row>
    <row r="19" spans="2:45" ht="15.75" x14ac:dyDescent="0.25">
      <c r="B19" s="148"/>
      <c r="C19" s="1692"/>
      <c r="D19" s="188" t="str">
        <f>D13</f>
        <v>KP</v>
      </c>
      <c r="E19" s="189">
        <v>400</v>
      </c>
      <c r="F19" s="190">
        <v>427</v>
      </c>
      <c r="G19" s="190">
        <v>0</v>
      </c>
      <c r="H19" s="191">
        <v>43</v>
      </c>
      <c r="J19" s="149"/>
      <c r="K19" s="143"/>
      <c r="L19" s="150"/>
      <c r="M19" s="175" t="s">
        <v>285</v>
      </c>
      <c r="O19" s="183">
        <f>'A2'!$P$42</f>
        <v>83158.399999999994</v>
      </c>
      <c r="P19" s="162" t="s">
        <v>81</v>
      </c>
      <c r="Q19" s="972">
        <f>O19/12</f>
        <v>6929.8666666666659</v>
      </c>
      <c r="R19" s="933" t="s">
        <v>58</v>
      </c>
      <c r="S19" s="1410">
        <f>ApndxA2!J9</f>
        <v>391.25153362245516</v>
      </c>
      <c r="T19" s="1410">
        <f>ApndxA2!K9</f>
        <v>446.11592588000491</v>
      </c>
      <c r="U19" s="1410">
        <f>ApndxA2!L9</f>
        <v>438.41564330199412</v>
      </c>
      <c r="V19" s="1410">
        <f>ApndxA2!M9</f>
        <v>464.11029479130252</v>
      </c>
      <c r="W19" s="1410">
        <f>ApndxA2!N9</f>
        <v>491.42461984622207</v>
      </c>
      <c r="X19" s="971" t="s">
        <v>221</v>
      </c>
      <c r="Y19" s="1411">
        <f>'D1'!G37</f>
        <v>0</v>
      </c>
      <c r="Z19" s="1411">
        <f>'D1'!F37</f>
        <v>0</v>
      </c>
      <c r="AA19" s="154"/>
      <c r="AF19" s="1245" t="str">
        <f t="shared" si="2"/>
        <v>Contracted</v>
      </c>
      <c r="AG19" s="1246">
        <f t="shared" si="3"/>
        <v>0</v>
      </c>
      <c r="AH19" s="1246">
        <f t="shared" si="3"/>
        <v>0</v>
      </c>
      <c r="AI19" s="1246">
        <f t="shared" si="3"/>
        <v>611.11170120639065</v>
      </c>
      <c r="AJ19" s="1247">
        <f t="shared" si="3"/>
        <v>0</v>
      </c>
      <c r="AL19" s="1" t="str">
        <f>AL12</f>
        <v>Cost of Service</v>
      </c>
      <c r="AM19" s="173">
        <f t="shared" si="1"/>
        <v>0</v>
      </c>
      <c r="AN19" s="173">
        <f t="shared" si="1"/>
        <v>0</v>
      </c>
      <c r="AO19" s="173">
        <f t="shared" si="1"/>
        <v>1</v>
      </c>
      <c r="AP19" s="173">
        <f t="shared" si="1"/>
        <v>1</v>
      </c>
      <c r="AR19" s="173">
        <f>IF(P18="A",1,2)</f>
        <v>2</v>
      </c>
      <c r="AS19" s="163">
        <f>CHOOSE(AR19,O18,Q18)</f>
        <v>2184.4641666666666</v>
      </c>
    </row>
    <row r="20" spans="2:45" x14ac:dyDescent="0.25">
      <c r="B20" s="148"/>
      <c r="C20" s="1692"/>
      <c r="D20" s="188" t="str">
        <f>D14</f>
        <v>Other</v>
      </c>
      <c r="E20" s="189">
        <v>150</v>
      </c>
      <c r="F20" s="190">
        <v>0</v>
      </c>
      <c r="G20" s="190">
        <v>5</v>
      </c>
      <c r="H20" s="191">
        <v>5</v>
      </c>
      <c r="J20" s="149"/>
      <c r="K20" s="143"/>
      <c r="L20" s="150"/>
      <c r="M20" s="175" t="s">
        <v>135</v>
      </c>
      <c r="O20" s="1107">
        <v>2.5000000000000001E-2</v>
      </c>
      <c r="R20" s="1211" t="s">
        <v>303</v>
      </c>
      <c r="S20" s="1212">
        <f>'B1'!AE57</f>
        <v>7.6479678142160035</v>
      </c>
      <c r="T20" s="1212">
        <f>'B1'!AF57</f>
        <v>7.8280408080808126</v>
      </c>
      <c r="U20" s="1212">
        <f>'B1'!AG57</f>
        <v>7.9520441050505095</v>
      </c>
      <c r="V20" s="1212">
        <f>'B1'!AH57</f>
        <v>8.1546054282020233</v>
      </c>
      <c r="W20" s="1212">
        <f>'B1'!AI57</f>
        <v>8.363243591048084</v>
      </c>
      <c r="X20" s="1210" t="s">
        <v>13</v>
      </c>
      <c r="Y20" s="1410">
        <f>Y18+Y19</f>
        <v>0</v>
      </c>
      <c r="Z20" s="1410">
        <f>Z18+Z19</f>
        <v>639.82006616561944</v>
      </c>
      <c r="AA20" s="154"/>
      <c r="AF20" s="1245" t="str">
        <f t="shared" si="2"/>
        <v>KP</v>
      </c>
      <c r="AG20" s="1246">
        <f t="shared" si="3"/>
        <v>0</v>
      </c>
      <c r="AH20" s="1246">
        <f t="shared" si="3"/>
        <v>0</v>
      </c>
      <c r="AI20" s="1246">
        <f t="shared" si="3"/>
        <v>399.29167110726632</v>
      </c>
      <c r="AJ20" s="1247">
        <f t="shared" si="3"/>
        <v>350.22677999999996</v>
      </c>
      <c r="AL20" s="1" t="str">
        <f>AL13</f>
        <v>Medicaid Rates</v>
      </c>
      <c r="AM20" s="173">
        <f t="shared" si="1"/>
        <v>0</v>
      </c>
      <c r="AN20" s="173">
        <f t="shared" si="1"/>
        <v>0</v>
      </c>
      <c r="AO20" s="173">
        <f t="shared" si="1"/>
        <v>1</v>
      </c>
      <c r="AP20" s="173">
        <f t="shared" si="1"/>
        <v>1</v>
      </c>
      <c r="AR20" s="173">
        <f>IF(P19="A",1,2)</f>
        <v>2</v>
      </c>
      <c r="AS20" s="163">
        <f>CHOOSE(AR20,O19,Q19)</f>
        <v>6929.8666666666659</v>
      </c>
    </row>
    <row r="21" spans="2:45" ht="15.75" thickBot="1" x14ac:dyDescent="0.3">
      <c r="B21" s="148"/>
      <c r="C21" s="1693"/>
      <c r="D21" s="194" t="str">
        <f>D15</f>
        <v>AKI</v>
      </c>
      <c r="E21" s="195">
        <v>0</v>
      </c>
      <c r="F21" s="196">
        <v>0</v>
      </c>
      <c r="G21" s="196">
        <v>0</v>
      </c>
      <c r="H21" s="197">
        <v>2</v>
      </c>
      <c r="J21" s="149"/>
      <c r="K21" s="143"/>
      <c r="L21" s="150"/>
      <c r="R21" s="933" t="s">
        <v>1030</v>
      </c>
      <c r="S21" s="1410">
        <f>'D2'!H37</f>
        <v>313.50840208120678</v>
      </c>
      <c r="T21" s="1410">
        <f>'D2'!I37</f>
        <v>64.168572149815191</v>
      </c>
      <c r="U21" s="1410">
        <f>'D2'!J37</f>
        <v>332.31170806326861</v>
      </c>
      <c r="V21" s="1410">
        <f>'D2'!K37</f>
        <v>249.03806397788344</v>
      </c>
      <c r="W21" s="1410">
        <f>'D2'!L37</f>
        <v>189.95335959772797</v>
      </c>
      <c r="X21" s="1216" t="str">
        <f>"Total " &amp; X18</f>
        <v>Total Cash</v>
      </c>
      <c r="Y21" s="1708">
        <f>V60+V61</f>
        <v>639.82006616561944</v>
      </c>
      <c r="Z21" s="1708"/>
      <c r="AA21" s="154"/>
      <c r="AF21" s="1245" t="str">
        <f t="shared" si="2"/>
        <v>Medicare</v>
      </c>
      <c r="AG21" s="1246">
        <f>AS9+AS10</f>
        <v>413.61217868694894</v>
      </c>
      <c r="AH21" s="1246">
        <f>AG21</f>
        <v>413.61217868694894</v>
      </c>
      <c r="AI21" s="1246">
        <f>AH21</f>
        <v>413.61217868694894</v>
      </c>
      <c r="AJ21" s="1247">
        <f>AI21</f>
        <v>413.61217868694894</v>
      </c>
      <c r="AR21" s="173"/>
      <c r="AS21" s="173"/>
    </row>
    <row r="22" spans="2:45" ht="14.1" customHeight="1" x14ac:dyDescent="0.25">
      <c r="B22" s="148"/>
      <c r="C22" s="1697" t="s">
        <v>507</v>
      </c>
      <c r="D22" s="203" t="s">
        <v>112</v>
      </c>
      <c r="E22" s="204">
        <f>'A2'!I42</f>
        <v>0</v>
      </c>
      <c r="F22" s="167">
        <f>'A2'!J42</f>
        <v>0</v>
      </c>
      <c r="G22" s="167">
        <f>+'A2'!K42</f>
        <v>170.64324162982226</v>
      </c>
      <c r="H22" s="168">
        <f>+'A2'!L42</f>
        <v>161.26529411764704</v>
      </c>
      <c r="J22" s="149"/>
      <c r="K22" s="143"/>
      <c r="L22" s="150"/>
      <c r="M22" s="205" t="s">
        <v>279</v>
      </c>
      <c r="P22" s="157" t="s">
        <v>276</v>
      </c>
      <c r="R22" s="933" t="s">
        <v>1028</v>
      </c>
      <c r="S22" s="1411">
        <f>'D2'!H38</f>
        <v>0</v>
      </c>
      <c r="T22" s="1411">
        <f>'D2'!I38</f>
        <v>0</v>
      </c>
      <c r="U22" s="1411">
        <f>'D2'!J38</f>
        <v>0</v>
      </c>
      <c r="V22" s="1411">
        <f>'D2'!K38</f>
        <v>0</v>
      </c>
      <c r="W22" s="1411">
        <f>'D2'!L38</f>
        <v>0</v>
      </c>
      <c r="X22" s="1216" t="str">
        <f>"Total " &amp; X19</f>
        <v>Total Debt</v>
      </c>
      <c r="Y22" s="1709">
        <f>V59</f>
        <v>0</v>
      </c>
      <c r="Z22" s="1709"/>
      <c r="AA22" s="154"/>
      <c r="AF22" s="1245" t="str">
        <f t="shared" si="2"/>
        <v>Medicaid</v>
      </c>
      <c r="AG22" s="1246">
        <f>CHOOSE(AM13,E22,E24)</f>
        <v>0</v>
      </c>
      <c r="AH22" s="1246">
        <f>CHOOSE(AN13,F22,F24)</f>
        <v>0</v>
      </c>
      <c r="AI22" s="1246">
        <f>CHOOSE(AO13,G22,G24)</f>
        <v>170.64324162982226</v>
      </c>
      <c r="AJ22" s="1246">
        <f>CHOOSE(AP13,H22,H24)</f>
        <v>161.26529411764704</v>
      </c>
      <c r="AR22" s="173"/>
      <c r="AS22" s="173"/>
    </row>
    <row r="23" spans="2:45" ht="14.1" customHeight="1" thickBot="1" x14ac:dyDescent="0.3">
      <c r="B23" s="148"/>
      <c r="C23" s="1698"/>
      <c r="D23" s="209"/>
      <c r="E23" s="210" t="s">
        <v>80</v>
      </c>
      <c r="F23" s="211" t="s">
        <v>80</v>
      </c>
      <c r="G23" s="211" t="s">
        <v>80</v>
      </c>
      <c r="H23" s="212" t="s">
        <v>80</v>
      </c>
      <c r="I23" s="173" t="s">
        <v>133</v>
      </c>
      <c r="J23" s="149"/>
      <c r="K23" s="143"/>
      <c r="L23" s="150"/>
      <c r="M23" s="82" t="s">
        <v>162</v>
      </c>
      <c r="O23" s="1553">
        <v>0.1</v>
      </c>
      <c r="P23" s="175" t="s">
        <v>188</v>
      </c>
      <c r="Q23" s="1067">
        <v>60</v>
      </c>
      <c r="R23" s="977" t="s">
        <v>1029</v>
      </c>
      <c r="S23" s="1410">
        <f>S21+S22</f>
        <v>313.50840208120678</v>
      </c>
      <c r="T23" s="1410">
        <f>T21+T22</f>
        <v>64.168572149815191</v>
      </c>
      <c r="U23" s="1410">
        <f>U21+U22</f>
        <v>332.31170806326861</v>
      </c>
      <c r="V23" s="1410">
        <f>V21+V22</f>
        <v>249.03806397788344</v>
      </c>
      <c r="W23" s="1410">
        <f>W21+W22</f>
        <v>189.95335959772797</v>
      </c>
      <c r="X23" s="1217" t="s">
        <v>954</v>
      </c>
      <c r="Y23" s="1707">
        <f>S61</f>
        <v>639.82006616561944</v>
      </c>
      <c r="Z23" s="1707"/>
      <c r="AA23" s="193"/>
      <c r="AF23" s="1245" t="str">
        <f t="shared" si="2"/>
        <v>Other</v>
      </c>
      <c r="AG23" s="1246">
        <f t="shared" ref="AG23:AJ24" si="4">AG14</f>
        <v>0</v>
      </c>
      <c r="AH23" s="1246">
        <f t="shared" si="4"/>
        <v>0</v>
      </c>
      <c r="AI23" s="1246">
        <f t="shared" si="4"/>
        <v>372.99906123516195</v>
      </c>
      <c r="AJ23" s="1247">
        <f t="shared" si="4"/>
        <v>0</v>
      </c>
      <c r="AR23" s="173"/>
      <c r="AS23" s="173"/>
    </row>
    <row r="24" spans="2:45" ht="18" thickBot="1" x14ac:dyDescent="0.45">
      <c r="B24" s="148"/>
      <c r="C24" s="1699"/>
      <c r="D24" s="215" t="s">
        <v>113</v>
      </c>
      <c r="E24" s="216">
        <v>150</v>
      </c>
      <c r="F24" s="216">
        <v>151</v>
      </c>
      <c r="G24" s="216">
        <v>152</v>
      </c>
      <c r="H24" s="217">
        <v>153</v>
      </c>
      <c r="I24" s="173" t="s">
        <v>134</v>
      </c>
      <c r="J24" s="149"/>
      <c r="K24" s="143"/>
      <c r="L24" s="150"/>
      <c r="M24" s="82" t="s">
        <v>233</v>
      </c>
      <c r="O24" s="1105">
        <f>'Historical Actuals'!M67/12</f>
        <v>4444.4474999999993</v>
      </c>
      <c r="P24" s="175" t="s">
        <v>277</v>
      </c>
      <c r="Q24" s="1067">
        <v>30</v>
      </c>
      <c r="R24" s="1097"/>
      <c r="S24" s="198"/>
      <c r="T24" s="198"/>
      <c r="U24" s="199"/>
      <c r="V24" s="200" t="str">
        <f>V146</f>
        <v>Facility Patient Capacity vs. Forecast</v>
      </c>
      <c r="W24" s="201"/>
      <c r="X24" s="201"/>
      <c r="Y24" s="202"/>
      <c r="Z24" s="202"/>
      <c r="AA24" s="202"/>
      <c r="AF24" s="1248" t="str">
        <f t="shared" si="2"/>
        <v>AKI</v>
      </c>
      <c r="AG24" s="1249">
        <f t="shared" si="4"/>
        <v>0</v>
      </c>
      <c r="AH24" s="1249">
        <f t="shared" si="4"/>
        <v>0</v>
      </c>
      <c r="AI24" s="1249">
        <f t="shared" si="4"/>
        <v>0</v>
      </c>
      <c r="AJ24" s="1250">
        <f t="shared" si="4"/>
        <v>0</v>
      </c>
      <c r="AR24" s="173"/>
      <c r="AS24" s="173"/>
    </row>
    <row r="25" spans="2:45" x14ac:dyDescent="0.25">
      <c r="B25" s="148"/>
      <c r="C25" s="1691" t="s">
        <v>119</v>
      </c>
      <c r="D25" s="218" t="s">
        <v>47</v>
      </c>
      <c r="E25" s="221" t="str">
        <f>IF(AK30&gt;0,"Rate Error","")</f>
        <v/>
      </c>
      <c r="F25" s="222" t="str">
        <f>IF(AL30&gt;0,"Rate Error","")</f>
        <v/>
      </c>
      <c r="G25" s="222" t="str">
        <f>IF(AM30&gt;0,"Rate Error","")</f>
        <v/>
      </c>
      <c r="H25" s="223" t="str">
        <f>IF(AN30&gt;0,"Rate Error","")</f>
        <v/>
      </c>
      <c r="I25" s="219" t="s">
        <v>135</v>
      </c>
      <c r="J25" s="149"/>
      <c r="K25" s="143"/>
      <c r="L25" s="150"/>
      <c r="M25" s="82" t="s">
        <v>280</v>
      </c>
      <c r="O25" s="1553">
        <v>0.01</v>
      </c>
      <c r="P25" s="175" t="s">
        <v>191</v>
      </c>
      <c r="Q25" s="1067">
        <v>60</v>
      </c>
      <c r="R25" s="1098"/>
      <c r="S25" s="206"/>
      <c r="T25" s="206"/>
      <c r="U25" s="207"/>
      <c r="V25" s="206"/>
      <c r="W25" s="206"/>
      <c r="X25" s="206"/>
      <c r="Y25" s="206"/>
      <c r="Z25" s="206"/>
      <c r="AA25" s="208"/>
      <c r="AG25" s="1241"/>
      <c r="AH25" s="1241"/>
      <c r="AI25" s="1241"/>
      <c r="AJ25" s="1241"/>
      <c r="AR25" s="173"/>
      <c r="AS25" s="173"/>
    </row>
    <row r="26" spans="2:45" ht="18" customHeight="1" x14ac:dyDescent="0.25">
      <c r="B26" s="148"/>
      <c r="C26" s="1692"/>
      <c r="D26" s="220" t="s">
        <v>84</v>
      </c>
      <c r="E26" s="221">
        <f>'A2'!O25</f>
        <v>0</v>
      </c>
      <c r="F26" s="222">
        <f>'A2'!P25</f>
        <v>0</v>
      </c>
      <c r="G26" s="222">
        <f>'A2'!Q25</f>
        <v>2.0415012025281055E-2</v>
      </c>
      <c r="H26" s="223">
        <f>'A2'!R25</f>
        <v>0</v>
      </c>
      <c r="I26" s="1111">
        <v>0.01</v>
      </c>
      <c r="J26" s="149"/>
      <c r="K26" s="143"/>
      <c r="L26" s="150"/>
      <c r="R26" s="321"/>
      <c r="S26" s="213"/>
      <c r="T26" s="213"/>
      <c r="U26" s="214"/>
      <c r="V26" s="213"/>
      <c r="W26" s="213"/>
      <c r="X26" s="213"/>
      <c r="Y26" s="213"/>
      <c r="Z26" s="213"/>
      <c r="AA26" s="208"/>
      <c r="AG26" s="1241"/>
      <c r="AH26" s="1241"/>
      <c r="AI26" s="1241"/>
      <c r="AJ26" s="1241"/>
      <c r="AR26" s="173"/>
      <c r="AS26" s="173"/>
    </row>
    <row r="27" spans="2:45" x14ac:dyDescent="0.25">
      <c r="B27" s="148"/>
      <c r="C27" s="1692"/>
      <c r="D27" s="220" t="s">
        <v>85</v>
      </c>
      <c r="E27" s="221">
        <f>'A2'!O26</f>
        <v>0</v>
      </c>
      <c r="F27" s="222">
        <f>'A2'!P26</f>
        <v>0</v>
      </c>
      <c r="G27" s="222">
        <f>'A2'!Q26</f>
        <v>0.17154203255215617</v>
      </c>
      <c r="H27" s="223">
        <f>'A2'!R26</f>
        <v>0</v>
      </c>
      <c r="I27" s="1111">
        <v>0.01</v>
      </c>
      <c r="J27" s="149"/>
      <c r="K27" s="143"/>
      <c r="L27" s="150"/>
      <c r="M27" s="157" t="s">
        <v>1184</v>
      </c>
      <c r="R27" s="321"/>
      <c r="S27" s="213"/>
      <c r="T27" s="213"/>
      <c r="U27" s="214"/>
      <c r="V27" s="213"/>
      <c r="W27" s="213"/>
      <c r="X27" s="213"/>
      <c r="Y27" s="213"/>
      <c r="Z27" s="213"/>
      <c r="AA27" s="208"/>
      <c r="AR27" s="173"/>
      <c r="AS27" s="173"/>
    </row>
    <row r="28" spans="2:45" x14ac:dyDescent="0.25">
      <c r="B28" s="148"/>
      <c r="C28" s="1692"/>
      <c r="D28" s="220" t="s">
        <v>86</v>
      </c>
      <c r="E28" s="221">
        <f>'A2'!O27</f>
        <v>0</v>
      </c>
      <c r="F28" s="222">
        <f>'A2'!P27</f>
        <v>0</v>
      </c>
      <c r="G28" s="222">
        <f>'A2'!Q27</f>
        <v>1.6164215000838974E-2</v>
      </c>
      <c r="H28" s="223">
        <f>'A2'!R27</f>
        <v>1.6008537886872998E-2</v>
      </c>
      <c r="I28" s="1111">
        <v>0.01</v>
      </c>
      <c r="J28" s="149"/>
      <c r="K28" s="143"/>
      <c r="L28" s="150"/>
      <c r="M28" s="175" t="s">
        <v>289</v>
      </c>
      <c r="N28" s="81"/>
      <c r="O28" s="1640">
        <f>'FA INV LIST_Santa Cruz'!$E$48</f>
        <v>20456.32</v>
      </c>
      <c r="P28" s="1" t="s">
        <v>272</v>
      </c>
      <c r="Q28" s="1640">
        <f>'FA INV LIST_Santa Cruz'!$E$49</f>
        <v>3418.04</v>
      </c>
      <c r="R28" s="321"/>
      <c r="S28" s="213"/>
      <c r="T28" s="213"/>
      <c r="U28" s="214"/>
      <c r="V28" s="213"/>
      <c r="W28" s="213"/>
      <c r="X28" s="213"/>
      <c r="Y28" s="213"/>
      <c r="Z28" s="213"/>
      <c r="AA28" s="208"/>
      <c r="AR28" s="173"/>
      <c r="AS28" s="173"/>
    </row>
    <row r="29" spans="2:45" ht="14.1" customHeight="1" x14ac:dyDescent="0.25">
      <c r="B29" s="148"/>
      <c r="C29" s="1692"/>
      <c r="D29" s="224" t="s">
        <v>48</v>
      </c>
      <c r="E29" s="221">
        <f>'A2'!O28</f>
        <v>0</v>
      </c>
      <c r="F29" s="222">
        <f>'A2'!P28</f>
        <v>0</v>
      </c>
      <c r="G29" s="222">
        <f>'A2'!Q28</f>
        <v>0.5187091000615246</v>
      </c>
      <c r="H29" s="223">
        <f>'A2'!R28</f>
        <v>0.96584845250800422</v>
      </c>
      <c r="I29" s="1111">
        <v>0.01</v>
      </c>
      <c r="J29" s="149"/>
      <c r="K29" s="143"/>
      <c r="L29" s="150"/>
      <c r="M29" s="175" t="s">
        <v>116</v>
      </c>
      <c r="N29" s="81"/>
      <c r="O29" s="1105">
        <v>10000</v>
      </c>
      <c r="P29" s="175" t="s">
        <v>116</v>
      </c>
      <c r="Q29" s="1105">
        <v>0</v>
      </c>
      <c r="R29" s="321"/>
      <c r="S29" s="213"/>
      <c r="T29" s="213"/>
      <c r="U29" s="214"/>
      <c r="V29" s="213"/>
      <c r="W29" s="213"/>
      <c r="X29" s="213"/>
      <c r="Y29" s="213"/>
      <c r="Z29" s="213"/>
      <c r="AA29" s="208"/>
      <c r="AK29" s="1" t="s">
        <v>410</v>
      </c>
      <c r="AR29" s="173"/>
      <c r="AS29" s="173"/>
    </row>
    <row r="30" spans="2:45" x14ac:dyDescent="0.25">
      <c r="B30" s="148"/>
      <c r="C30" s="1692"/>
      <c r="D30" s="225" t="s">
        <v>49</v>
      </c>
      <c r="E30" s="226">
        <f>'A2'!O29</f>
        <v>0</v>
      </c>
      <c r="F30" s="227">
        <f>'A2'!P29</f>
        <v>0</v>
      </c>
      <c r="G30" s="227">
        <f>'A2'!Q29</f>
        <v>0.21505677051289218</v>
      </c>
      <c r="H30" s="228">
        <f>'A2'!R29</f>
        <v>1.8143009605122731E-2</v>
      </c>
      <c r="I30" s="1111">
        <v>0.01</v>
      </c>
      <c r="J30" s="149"/>
      <c r="K30" s="143"/>
      <c r="L30" s="150"/>
      <c r="M30" s="175" t="s">
        <v>90</v>
      </c>
      <c r="N30" s="81"/>
      <c r="O30" s="1105">
        <f>5000+250000</f>
        <v>255000</v>
      </c>
      <c r="P30" s="175" t="s">
        <v>90</v>
      </c>
      <c r="Q30" s="1105">
        <v>600000</v>
      </c>
      <c r="R30" s="321"/>
      <c r="S30" s="213"/>
      <c r="T30" s="213"/>
      <c r="U30" s="214"/>
      <c r="V30" s="213"/>
      <c r="W30" s="213"/>
      <c r="X30" s="213"/>
      <c r="Y30" s="213"/>
      <c r="Z30" s="213"/>
      <c r="AA30" s="208"/>
      <c r="AK30" s="173">
        <f>SUM(AK33:AK39)*AG9</f>
        <v>0</v>
      </c>
      <c r="AL30" s="173">
        <f>SUM(AL33:AL39)*AH9</f>
        <v>0</v>
      </c>
      <c r="AM30" s="173">
        <f>SUM(AM33:AM39)*AI9</f>
        <v>0</v>
      </c>
      <c r="AN30" s="173">
        <f>SUM(AN33:AN39)*AJ9</f>
        <v>0</v>
      </c>
      <c r="AR30" s="173"/>
      <c r="AS30" s="173"/>
    </row>
    <row r="31" spans="2:45" x14ac:dyDescent="0.25">
      <c r="B31" s="148"/>
      <c r="C31" s="1692"/>
      <c r="D31" s="225" t="s">
        <v>65</v>
      </c>
      <c r="E31" s="226">
        <f>'A2'!O30</f>
        <v>0</v>
      </c>
      <c r="F31" s="227">
        <f>'A2'!P30</f>
        <v>0</v>
      </c>
      <c r="G31" s="227">
        <f>'A2'!Q30</f>
        <v>5.8112869847306896E-2</v>
      </c>
      <c r="H31" s="228">
        <f>'A2'!R30</f>
        <v>0</v>
      </c>
      <c r="I31" s="1111">
        <v>0.01</v>
      </c>
      <c r="J31" s="149"/>
      <c r="K31" s="143"/>
      <c r="L31" s="150"/>
      <c r="M31" s="175" t="s">
        <v>91</v>
      </c>
      <c r="N31" s="81"/>
      <c r="O31" s="1105">
        <v>0</v>
      </c>
      <c r="P31" s="175" t="s">
        <v>91</v>
      </c>
      <c r="Q31" s="1105"/>
      <c r="R31" s="321"/>
      <c r="S31" s="213"/>
      <c r="T31" s="213"/>
      <c r="U31" s="214"/>
      <c r="V31" s="213"/>
      <c r="W31" s="213"/>
      <c r="X31" s="213"/>
      <c r="Y31" s="213"/>
      <c r="Z31" s="213"/>
      <c r="AA31" s="208"/>
      <c r="AR31" s="173"/>
      <c r="AS31" s="173"/>
    </row>
    <row r="32" spans="2:45" x14ac:dyDescent="0.25">
      <c r="B32" s="148"/>
      <c r="C32" s="1692"/>
      <c r="D32" s="225" t="s">
        <v>72</v>
      </c>
      <c r="E32" s="232">
        <f>'A2'!O31</f>
        <v>0</v>
      </c>
      <c r="F32" s="233">
        <f>'A2'!P31</f>
        <v>0</v>
      </c>
      <c r="G32" s="233">
        <f>'A2'!Q31</f>
        <v>0</v>
      </c>
      <c r="H32" s="234">
        <f>'A2'!R31</f>
        <v>0</v>
      </c>
      <c r="I32" s="1111">
        <v>0.01</v>
      </c>
      <c r="J32" s="149"/>
      <c r="K32" s="143"/>
      <c r="L32" s="150"/>
      <c r="M32" s="175" t="s">
        <v>92</v>
      </c>
      <c r="N32" s="81"/>
      <c r="O32" s="1105">
        <v>0</v>
      </c>
      <c r="P32" s="175" t="s">
        <v>92</v>
      </c>
      <c r="Q32" s="1105"/>
      <c r="R32" s="321"/>
      <c r="S32" s="213"/>
      <c r="T32" s="213"/>
      <c r="U32" s="214"/>
      <c r="V32" s="213"/>
      <c r="W32" s="213"/>
      <c r="X32" s="213"/>
      <c r="Y32" s="213"/>
      <c r="Z32" s="213"/>
      <c r="AA32" s="208"/>
      <c r="AF32" s="106" t="s">
        <v>95</v>
      </c>
      <c r="AR32" s="1" t="s">
        <v>396</v>
      </c>
    </row>
    <row r="33" spans="2:45" ht="15.75" thickBot="1" x14ac:dyDescent="0.3">
      <c r="B33" s="148"/>
      <c r="C33" s="1692"/>
      <c r="D33" s="235" t="s">
        <v>13</v>
      </c>
      <c r="E33" s="236">
        <f>SUM(E26:E32)</f>
        <v>0</v>
      </c>
      <c r="F33" s="237">
        <f>SUM(F26:F32)</f>
        <v>0</v>
      </c>
      <c r="G33" s="237">
        <f>SUM(G26:G32)</f>
        <v>0.99999999999999989</v>
      </c>
      <c r="H33" s="238">
        <f>SUM(H26:H32)</f>
        <v>0.99999999999999989</v>
      </c>
      <c r="I33" s="1111"/>
      <c r="J33" s="149"/>
      <c r="K33" s="143"/>
      <c r="L33" s="150"/>
      <c r="M33" s="175" t="s">
        <v>93</v>
      </c>
      <c r="N33" s="81"/>
      <c r="O33" s="1105">
        <v>0</v>
      </c>
      <c r="P33" s="175" t="s">
        <v>93</v>
      </c>
      <c r="Q33" s="1105"/>
      <c r="R33" s="323"/>
      <c r="S33" s="229"/>
      <c r="T33" s="229"/>
      <c r="U33" s="230"/>
      <c r="V33" s="229"/>
      <c r="W33" s="229"/>
      <c r="X33" s="229"/>
      <c r="Y33" s="229"/>
      <c r="Z33" s="229"/>
      <c r="AA33" s="231"/>
      <c r="AF33" s="239" t="str">
        <f t="shared" ref="AF33:AF39" si="5">D36</f>
        <v>Non-contracted</v>
      </c>
      <c r="AG33" s="240">
        <f t="shared" ref="AG33:AJ39" si="6">IF(E$34="a",E26,E36)</f>
        <v>0</v>
      </c>
      <c r="AH33" s="240">
        <f t="shared" si="6"/>
        <v>0</v>
      </c>
      <c r="AI33" s="240">
        <f>IF(G$34="a",G26,G36)</f>
        <v>2.0415012025281055E-2</v>
      </c>
      <c r="AJ33" s="241">
        <f t="shared" si="6"/>
        <v>0</v>
      </c>
      <c r="AK33" s="242">
        <f t="shared" ref="AK33:AN35" si="7">IF(AG11*AG33&gt;0,0,IF(AND(AG11=0,AG33=0),0,1))</f>
        <v>0</v>
      </c>
      <c r="AL33" s="242">
        <f t="shared" si="7"/>
        <v>0</v>
      </c>
      <c r="AM33" s="242">
        <f t="shared" si="7"/>
        <v>0</v>
      </c>
      <c r="AN33" s="242">
        <f t="shared" si="7"/>
        <v>0</v>
      </c>
      <c r="AO33" s="242"/>
      <c r="AP33" s="242"/>
      <c r="AR33" s="1" t="s">
        <v>289</v>
      </c>
      <c r="AS33" s="243">
        <f>IF($B$84=1,O28,0)</f>
        <v>0</v>
      </c>
    </row>
    <row r="34" spans="2:45" ht="15.75" x14ac:dyDescent="0.25">
      <c r="B34" s="148"/>
      <c r="C34" s="1692"/>
      <c r="E34" s="181" t="s">
        <v>80</v>
      </c>
      <c r="F34" s="181" t="s">
        <v>80</v>
      </c>
      <c r="G34" s="181" t="s">
        <v>80</v>
      </c>
      <c r="H34" s="182" t="s">
        <v>80</v>
      </c>
      <c r="J34" s="149"/>
      <c r="K34" s="143"/>
      <c r="L34" s="150"/>
      <c r="M34" s="175" t="s">
        <v>271</v>
      </c>
      <c r="N34" s="81"/>
      <c r="O34" s="1067">
        <f>5-3</f>
        <v>2</v>
      </c>
      <c r="P34" s="83" t="s">
        <v>538</v>
      </c>
      <c r="Q34" s="1067">
        <v>7</v>
      </c>
      <c r="R34" s="877"/>
      <c r="S34" s="152"/>
      <c r="T34" s="152"/>
      <c r="U34" s="169"/>
      <c r="V34" s="152"/>
      <c r="W34" s="152"/>
      <c r="X34" s="152"/>
      <c r="Y34" s="152"/>
      <c r="Z34" s="152"/>
      <c r="AA34" s="154"/>
      <c r="AF34" s="245" t="str">
        <f t="shared" si="5"/>
        <v>Contracted</v>
      </c>
      <c r="AG34" s="79">
        <f t="shared" si="6"/>
        <v>0</v>
      </c>
      <c r="AH34" s="79">
        <f t="shared" si="6"/>
        <v>0</v>
      </c>
      <c r="AI34" s="79">
        <f t="shared" si="6"/>
        <v>0.17154203255215617</v>
      </c>
      <c r="AJ34" s="246">
        <f t="shared" si="6"/>
        <v>0</v>
      </c>
      <c r="AK34" s="242">
        <f t="shared" si="7"/>
        <v>0</v>
      </c>
      <c r="AL34" s="242">
        <f t="shared" si="7"/>
        <v>0</v>
      </c>
      <c r="AM34" s="242">
        <f t="shared" si="7"/>
        <v>0</v>
      </c>
      <c r="AN34" s="242">
        <f t="shared" si="7"/>
        <v>0</v>
      </c>
      <c r="AO34" s="242"/>
      <c r="AP34" s="242"/>
      <c r="AR34" s="1" t="s">
        <v>395</v>
      </c>
      <c r="AS34" s="243">
        <f>IF($B$84=1,Q28,0)</f>
        <v>0</v>
      </c>
    </row>
    <row r="35" spans="2:45" x14ac:dyDescent="0.25">
      <c r="B35" s="148"/>
      <c r="C35" s="1692"/>
      <c r="D35" s="247" t="s">
        <v>47</v>
      </c>
      <c r="E35" s="248"/>
      <c r="F35" s="248"/>
      <c r="G35" s="248"/>
      <c r="H35" s="249"/>
      <c r="J35" s="149"/>
      <c r="K35" s="143"/>
      <c r="L35" s="150"/>
      <c r="M35" s="1" t="s">
        <v>1297</v>
      </c>
      <c r="O35" s="1105">
        <v>850000</v>
      </c>
      <c r="R35" s="877"/>
      <c r="S35" s="152"/>
      <c r="T35" s="152"/>
      <c r="U35" s="169"/>
      <c r="V35" s="152"/>
      <c r="W35" s="152"/>
      <c r="X35" s="152"/>
      <c r="Y35" s="152"/>
      <c r="Z35" s="152"/>
      <c r="AA35" s="154"/>
      <c r="AF35" s="245" t="str">
        <f t="shared" si="5"/>
        <v>KP</v>
      </c>
      <c r="AG35" s="79">
        <f t="shared" si="6"/>
        <v>0</v>
      </c>
      <c r="AH35" s="79">
        <f t="shared" si="6"/>
        <v>0</v>
      </c>
      <c r="AI35" s="79">
        <f t="shared" si="6"/>
        <v>1.6164215000838974E-2</v>
      </c>
      <c r="AJ35" s="246">
        <f t="shared" si="6"/>
        <v>1.6008537886872998E-2</v>
      </c>
      <c r="AK35" s="242">
        <f t="shared" si="7"/>
        <v>0</v>
      </c>
      <c r="AL35" s="242">
        <f t="shared" si="7"/>
        <v>0</v>
      </c>
      <c r="AM35" s="242">
        <f t="shared" si="7"/>
        <v>0</v>
      </c>
      <c r="AN35" s="242">
        <f t="shared" si="7"/>
        <v>0</v>
      </c>
      <c r="AO35" s="242"/>
      <c r="AP35" s="242"/>
      <c r="AR35" s="173"/>
      <c r="AS35" s="823"/>
    </row>
    <row r="36" spans="2:45" ht="20.25" x14ac:dyDescent="0.55000000000000004">
      <c r="B36" s="148"/>
      <c r="C36" s="1692"/>
      <c r="D36" s="220" t="s">
        <v>84</v>
      </c>
      <c r="E36" s="248">
        <v>0</v>
      </c>
      <c r="F36" s="248">
        <v>0</v>
      </c>
      <c r="G36" s="248">
        <v>0</v>
      </c>
      <c r="H36" s="249">
        <v>0.04</v>
      </c>
      <c r="J36" s="149"/>
      <c r="K36" s="143"/>
      <c r="L36" s="150"/>
      <c r="M36" s="157" t="s">
        <v>306</v>
      </c>
      <c r="N36" s="250"/>
      <c r="O36" s="250"/>
      <c r="P36" s="250"/>
      <c r="Q36" s="250"/>
      <c r="R36" s="877"/>
      <c r="S36" s="152"/>
      <c r="T36" s="152"/>
      <c r="U36" s="169"/>
      <c r="V36" s="152"/>
      <c r="W36" s="152"/>
      <c r="X36" s="152"/>
      <c r="Y36" s="152"/>
      <c r="Z36" s="152"/>
      <c r="AA36" s="154"/>
      <c r="AF36" s="245" t="str">
        <f t="shared" si="5"/>
        <v>Medicare</v>
      </c>
      <c r="AG36" s="79">
        <f t="shared" si="6"/>
        <v>0</v>
      </c>
      <c r="AH36" s="79">
        <f t="shared" si="6"/>
        <v>0</v>
      </c>
      <c r="AI36" s="79">
        <f t="shared" si="6"/>
        <v>0.5187091000615246</v>
      </c>
      <c r="AJ36" s="246">
        <f t="shared" si="6"/>
        <v>0.96584845250800422</v>
      </c>
      <c r="AR36" s="173"/>
      <c r="AS36" s="173"/>
    </row>
    <row r="37" spans="2:45" x14ac:dyDescent="0.25">
      <c r="B37" s="148"/>
      <c r="C37" s="1692"/>
      <c r="D37" s="220" t="s">
        <v>85</v>
      </c>
      <c r="E37" s="248">
        <v>0.108</v>
      </c>
      <c r="F37" s="248">
        <v>2.7E-2</v>
      </c>
      <c r="G37" s="248">
        <v>0</v>
      </c>
      <c r="H37" s="249">
        <v>0</v>
      </c>
      <c r="J37" s="149"/>
      <c r="K37" s="143"/>
      <c r="L37" s="150"/>
      <c r="M37" s="81" t="s">
        <v>499</v>
      </c>
      <c r="Q37" s="1106">
        <v>1</v>
      </c>
      <c r="R37" s="877"/>
      <c r="S37" s="152"/>
      <c r="T37" s="152"/>
      <c r="U37" s="169"/>
      <c r="V37" s="152"/>
      <c r="W37" s="152"/>
      <c r="X37" s="152"/>
      <c r="Y37" s="152"/>
      <c r="Z37" s="152"/>
      <c r="AA37" s="154"/>
      <c r="AF37" s="245" t="str">
        <f t="shared" si="5"/>
        <v>Medicaid</v>
      </c>
      <c r="AG37" s="79">
        <f t="shared" si="6"/>
        <v>0</v>
      </c>
      <c r="AH37" s="79">
        <f t="shared" si="6"/>
        <v>0</v>
      </c>
      <c r="AI37" s="79">
        <f t="shared" si="6"/>
        <v>0.21505677051289218</v>
      </c>
      <c r="AJ37" s="246">
        <f t="shared" si="6"/>
        <v>1.8143009605122731E-2</v>
      </c>
      <c r="AR37" s="173"/>
      <c r="AS37" s="173"/>
    </row>
    <row r="38" spans="2:45" x14ac:dyDescent="0.25">
      <c r="B38" s="148"/>
      <c r="C38" s="1692"/>
      <c r="D38" s="220" t="s">
        <v>86</v>
      </c>
      <c r="E38" s="248">
        <v>0</v>
      </c>
      <c r="F38" s="248">
        <v>0.23899999999999999</v>
      </c>
      <c r="G38" s="248">
        <v>0</v>
      </c>
      <c r="H38" s="249">
        <v>0.02</v>
      </c>
      <c r="J38" s="149"/>
      <c r="K38" s="143"/>
      <c r="L38" s="150"/>
      <c r="M38" s="81" t="s">
        <v>500</v>
      </c>
      <c r="Q38" s="1106">
        <v>0</v>
      </c>
      <c r="R38" s="877"/>
      <c r="S38" s="152"/>
      <c r="T38" s="152"/>
      <c r="U38" s="169"/>
      <c r="V38" s="152"/>
      <c r="W38" s="152"/>
      <c r="X38" s="152"/>
      <c r="Y38" s="152"/>
      <c r="Z38" s="152"/>
      <c r="AA38" s="154"/>
      <c r="AF38" s="245" t="str">
        <f t="shared" si="5"/>
        <v>Other</v>
      </c>
      <c r="AG38" s="79">
        <f t="shared" si="6"/>
        <v>0</v>
      </c>
      <c r="AH38" s="79">
        <f t="shared" si="6"/>
        <v>0</v>
      </c>
      <c r="AI38" s="79">
        <f t="shared" si="6"/>
        <v>5.8112869847306896E-2</v>
      </c>
      <c r="AJ38" s="246">
        <f t="shared" si="6"/>
        <v>0</v>
      </c>
      <c r="AK38" s="242">
        <f>IF(AG14*AG38&gt;0,0,IF(AND(AG14=0,AG38=0),0,1))</f>
        <v>0</v>
      </c>
      <c r="AL38" s="242">
        <f t="shared" ref="AK38:AN39" si="8">IF(AH14*AH38&gt;0,0,IF(AND(AH14=0,AH38=0),0,1))</f>
        <v>0</v>
      </c>
      <c r="AM38" s="242">
        <f t="shared" si="8"/>
        <v>0</v>
      </c>
      <c r="AN38" s="242">
        <f t="shared" si="8"/>
        <v>0</v>
      </c>
      <c r="AO38" s="242"/>
      <c r="AP38" s="242"/>
      <c r="AR38" s="1" t="s">
        <v>356</v>
      </c>
      <c r="AS38" s="173"/>
    </row>
    <row r="39" spans="2:45" x14ac:dyDescent="0.25">
      <c r="B39" s="148"/>
      <c r="C39" s="1692"/>
      <c r="D39" s="224" t="s">
        <v>48</v>
      </c>
      <c r="E39" s="248">
        <v>0.65400000000000003</v>
      </c>
      <c r="F39" s="248">
        <v>0.38</v>
      </c>
      <c r="G39" s="248">
        <v>0.7</v>
      </c>
      <c r="H39" s="249">
        <v>0.68</v>
      </c>
      <c r="J39" s="149"/>
      <c r="K39" s="143"/>
      <c r="L39" s="150"/>
      <c r="M39" s="81" t="s">
        <v>376</v>
      </c>
      <c r="Q39" s="1106">
        <v>0</v>
      </c>
      <c r="R39" s="877"/>
      <c r="S39" s="152"/>
      <c r="T39" s="152"/>
      <c r="U39" s="169"/>
      <c r="V39" s="152"/>
      <c r="W39" s="152"/>
      <c r="X39" s="152"/>
      <c r="Y39" s="152"/>
      <c r="Z39" s="152"/>
      <c r="AA39" s="154"/>
      <c r="AF39" s="251" t="str">
        <f t="shared" si="5"/>
        <v>AKI</v>
      </c>
      <c r="AG39" s="252">
        <f t="shared" si="6"/>
        <v>0</v>
      </c>
      <c r="AH39" s="252">
        <f t="shared" si="6"/>
        <v>0</v>
      </c>
      <c r="AI39" s="252">
        <f t="shared" si="6"/>
        <v>0</v>
      </c>
      <c r="AJ39" s="253">
        <f t="shared" si="6"/>
        <v>0</v>
      </c>
      <c r="AK39" s="242">
        <f t="shared" si="8"/>
        <v>0</v>
      </c>
      <c r="AL39" s="242">
        <f t="shared" si="8"/>
        <v>0</v>
      </c>
      <c r="AM39" s="242">
        <f t="shared" si="8"/>
        <v>0</v>
      </c>
      <c r="AN39" s="242">
        <f t="shared" si="8"/>
        <v>0</v>
      </c>
      <c r="AO39" s="242"/>
      <c r="AP39" s="242"/>
      <c r="AR39" s="79" t="e">
        <f>O45/$O$49</f>
        <v>#DIV/0!</v>
      </c>
      <c r="AS39" s="173"/>
    </row>
    <row r="40" spans="2:45" x14ac:dyDescent="0.25">
      <c r="B40" s="148"/>
      <c r="C40" s="1692"/>
      <c r="D40" s="224" t="s">
        <v>49</v>
      </c>
      <c r="E40" s="248">
        <v>0.20699999999999999</v>
      </c>
      <c r="F40" s="248">
        <v>0.25600000000000001</v>
      </c>
      <c r="G40" s="248">
        <v>0.2</v>
      </c>
      <c r="H40" s="249">
        <v>0.15</v>
      </c>
      <c r="J40" s="149"/>
      <c r="K40" s="143"/>
      <c r="L40" s="150"/>
      <c r="M40" s="1421" t="s">
        <v>582</v>
      </c>
      <c r="N40" s="1422"/>
      <c r="Q40" s="1105">
        <v>0</v>
      </c>
      <c r="R40" s="877"/>
      <c r="S40" s="152"/>
      <c r="T40" s="152"/>
      <c r="U40" s="169"/>
      <c r="V40" s="152"/>
      <c r="W40" s="152"/>
      <c r="X40" s="152"/>
      <c r="Y40" s="152"/>
      <c r="Z40" s="152"/>
      <c r="AA40" s="154"/>
      <c r="AR40" s="79" t="e">
        <f>O46/$O$49</f>
        <v>#DIV/0!</v>
      </c>
      <c r="AS40" s="173"/>
    </row>
    <row r="41" spans="2:45" ht="14.1" customHeight="1" x14ac:dyDescent="0.25">
      <c r="B41" s="148"/>
      <c r="C41" s="1692"/>
      <c r="D41" s="224" t="s">
        <v>65</v>
      </c>
      <c r="E41" s="248">
        <v>0.03</v>
      </c>
      <c r="F41" s="248">
        <v>9.8000000000000004E-2</v>
      </c>
      <c r="G41" s="248">
        <v>0.1</v>
      </c>
      <c r="H41" s="249">
        <v>0.06</v>
      </c>
      <c r="J41" s="149"/>
      <c r="K41" s="143"/>
      <c r="L41" s="150"/>
      <c r="M41" s="81" t="s">
        <v>377</v>
      </c>
      <c r="Q41" s="1107">
        <v>0</v>
      </c>
      <c r="R41" s="877"/>
      <c r="S41" s="152"/>
      <c r="T41" s="152"/>
      <c r="U41" s="169"/>
      <c r="V41" s="152"/>
      <c r="W41" s="152"/>
      <c r="X41" s="152"/>
      <c r="Y41" s="152"/>
      <c r="Z41" s="152"/>
      <c r="AA41" s="154"/>
      <c r="AR41" s="79" t="e">
        <f>O47/$O$49</f>
        <v>#DIV/0!</v>
      </c>
      <c r="AS41" s="173"/>
    </row>
    <row r="42" spans="2:45" ht="15.75" thickBot="1" x14ac:dyDescent="0.3">
      <c r="B42" s="148"/>
      <c r="C42" s="1692"/>
      <c r="D42" s="224" t="s">
        <v>72</v>
      </c>
      <c r="E42" s="254">
        <v>0</v>
      </c>
      <c r="F42" s="254">
        <v>0</v>
      </c>
      <c r="G42" s="254">
        <v>0</v>
      </c>
      <c r="H42" s="255">
        <v>0.05</v>
      </c>
      <c r="J42" s="149"/>
      <c r="K42" s="143"/>
      <c r="L42" s="256"/>
      <c r="M42" s="257"/>
      <c r="N42" s="257"/>
      <c r="O42" s="257"/>
      <c r="P42" s="257"/>
      <c r="Q42" s="257"/>
      <c r="R42" s="877"/>
      <c r="S42" s="152"/>
      <c r="T42" s="152"/>
      <c r="U42" s="169"/>
      <c r="V42" s="152"/>
      <c r="W42" s="152"/>
      <c r="X42" s="152"/>
      <c r="Y42" s="152"/>
      <c r="Z42" s="152"/>
      <c r="AA42" s="154"/>
      <c r="AR42" s="79" t="e">
        <f>O48/$O$49</f>
        <v>#DIV/0!</v>
      </c>
    </row>
    <row r="43" spans="2:45" ht="20.100000000000001" customHeight="1" thickBot="1" x14ac:dyDescent="0.6">
      <c r="B43" s="148"/>
      <c r="C43" s="1693"/>
      <c r="D43" s="262" t="s">
        <v>13</v>
      </c>
      <c r="E43" s="248">
        <f>SUM(E36:E42)</f>
        <v>0.999</v>
      </c>
      <c r="F43" s="248">
        <f>SUM(F36:F42)</f>
        <v>1</v>
      </c>
      <c r="G43" s="248">
        <f>SUM(G36:G42)</f>
        <v>0.99999999999999989</v>
      </c>
      <c r="H43" s="249">
        <f>SUM(H36:H42)</f>
        <v>1</v>
      </c>
      <c r="I43" s="1361" t="s">
        <v>116</v>
      </c>
      <c r="J43" s="149"/>
      <c r="K43" s="143"/>
      <c r="L43" s="144" t="s">
        <v>220</v>
      </c>
      <c r="M43" s="145"/>
      <c r="N43" s="145"/>
      <c r="O43" s="145"/>
      <c r="P43" s="145"/>
      <c r="Q43" s="1266"/>
      <c r="R43" s="877"/>
      <c r="S43" s="152"/>
      <c r="T43" s="152"/>
      <c r="U43" s="169"/>
      <c r="V43" s="152"/>
      <c r="W43" s="152"/>
      <c r="X43" s="152"/>
      <c r="Y43" s="152"/>
      <c r="Z43" s="152"/>
      <c r="AA43" s="154"/>
      <c r="AF43" s="63" t="s">
        <v>110</v>
      </c>
      <c r="AG43" s="263">
        <f>CHOOSE(AM11,E44,E46)</f>
        <v>0</v>
      </c>
      <c r="AH43" s="263">
        <f>CHOOSE(AN11,F44,F46)</f>
        <v>0</v>
      </c>
      <c r="AI43" s="263">
        <f>CHOOSE(AO11,G44,G46)</f>
        <v>12.49988347704498</v>
      </c>
      <c r="AJ43" s="264">
        <f>CHOOSE(AP11,H44,H46)</f>
        <v>16.438596491228068</v>
      </c>
      <c r="AR43" s="173"/>
      <c r="AS43" s="173"/>
    </row>
    <row r="44" spans="2:45" ht="17.25" x14ac:dyDescent="0.4">
      <c r="B44" s="148"/>
      <c r="C44" s="1694" t="s">
        <v>1124</v>
      </c>
      <c r="D44" s="203" t="s">
        <v>112</v>
      </c>
      <c r="E44" s="265">
        <f>'A2'!C42</f>
        <v>0</v>
      </c>
      <c r="F44" s="266">
        <f>'A2'!D42</f>
        <v>0</v>
      </c>
      <c r="G44" s="266">
        <f>'A2'!E42</f>
        <v>12.49988347704498</v>
      </c>
      <c r="H44" s="267">
        <f>'A2'!F42</f>
        <v>16.438596491228068</v>
      </c>
      <c r="I44" s="1629">
        <v>0.04</v>
      </c>
      <c r="J44" s="149"/>
      <c r="K44" s="143"/>
      <c r="L44" s="150"/>
      <c r="N44" s="268" t="s">
        <v>222</v>
      </c>
      <c r="O44" s="291" t="s">
        <v>223</v>
      </c>
      <c r="P44" s="291" t="s">
        <v>134</v>
      </c>
      <c r="Q44" s="1267" t="s">
        <v>328</v>
      </c>
      <c r="R44" s="1096"/>
      <c r="S44" s="259"/>
      <c r="T44" s="259"/>
      <c r="U44" s="260"/>
      <c r="V44" s="259"/>
      <c r="W44" s="259"/>
      <c r="X44" s="259"/>
      <c r="Y44" s="259"/>
      <c r="Z44" s="259"/>
      <c r="AA44" s="261"/>
    </row>
    <row r="45" spans="2:45" ht="16.5" x14ac:dyDescent="0.35">
      <c r="B45" s="148"/>
      <c r="C45" s="1695"/>
      <c r="D45" s="209"/>
      <c r="E45" s="211" t="s">
        <v>80</v>
      </c>
      <c r="F45" s="211" t="s">
        <v>80</v>
      </c>
      <c r="G45" s="211" t="s">
        <v>80</v>
      </c>
      <c r="H45" s="212" t="s">
        <v>80</v>
      </c>
      <c r="I45" s="173" t="s">
        <v>888</v>
      </c>
      <c r="J45" s="149"/>
      <c r="K45" s="143"/>
      <c r="L45" s="270">
        <f>MATCH(N45,$Q$85:$Q$88,0)</f>
        <v>1</v>
      </c>
      <c r="M45" s="173">
        <v>1</v>
      </c>
      <c r="N45" s="81" t="s">
        <v>224</v>
      </c>
      <c r="O45" s="1105">
        <v>0</v>
      </c>
      <c r="P45" s="1108">
        <v>1.8499999999999999E-2</v>
      </c>
      <c r="Q45" s="1268">
        <v>5</v>
      </c>
      <c r="R45" s="1099" t="s">
        <v>1090</v>
      </c>
      <c r="S45" s="152"/>
      <c r="T45" s="1393" t="s">
        <v>1089</v>
      </c>
      <c r="U45" s="1394" t="s">
        <v>64</v>
      </c>
      <c r="V45" s="152"/>
      <c r="W45" s="152"/>
      <c r="X45" s="152"/>
      <c r="Y45" s="152"/>
      <c r="Z45" s="152"/>
      <c r="AA45" s="154"/>
      <c r="AR45" s="173"/>
      <c r="AS45" s="173"/>
    </row>
    <row r="46" spans="2:45" ht="15.75" thickBot="1" x14ac:dyDescent="0.3">
      <c r="B46" s="148"/>
      <c r="C46" s="1696"/>
      <c r="D46" s="215" t="s">
        <v>113</v>
      </c>
      <c r="E46" s="272">
        <v>13.3</v>
      </c>
      <c r="F46" s="273">
        <v>12.4</v>
      </c>
      <c r="G46" s="273">
        <v>13</v>
      </c>
      <c r="H46" s="274">
        <v>11</v>
      </c>
      <c r="I46" s="219" t="s">
        <v>889</v>
      </c>
      <c r="J46" s="149"/>
      <c r="K46" s="143"/>
      <c r="L46" s="270">
        <f>MATCH(N46,$Q$85:$Q$88,0)</f>
        <v>1</v>
      </c>
      <c r="M46" s="173">
        <v>2</v>
      </c>
      <c r="N46" s="81" t="s">
        <v>224</v>
      </c>
      <c r="O46" s="1105">
        <v>0</v>
      </c>
      <c r="P46" s="1108">
        <v>0.02</v>
      </c>
      <c r="Q46" s="1268">
        <v>5</v>
      </c>
      <c r="R46" s="1100" t="s">
        <v>1017</v>
      </c>
      <c r="S46" s="152"/>
      <c r="T46" s="1391">
        <f>'D6'!I16</f>
        <v>872.46861192039808</v>
      </c>
      <c r="U46" s="271"/>
      <c r="V46" s="152"/>
      <c r="W46" s="152"/>
      <c r="X46" s="152"/>
      <c r="Y46" s="152"/>
      <c r="Z46" s="152"/>
      <c r="AA46" s="154"/>
      <c r="AR46" s="173"/>
      <c r="AS46" s="173"/>
    </row>
    <row r="47" spans="2:45" x14ac:dyDescent="0.25">
      <c r="B47" s="148"/>
      <c r="C47" s="1697" t="s">
        <v>117</v>
      </c>
      <c r="D47" s="224" t="s">
        <v>90</v>
      </c>
      <c r="E47" s="1424">
        <v>0.05</v>
      </c>
      <c r="F47" s="1424">
        <v>0.05</v>
      </c>
      <c r="G47" s="1424">
        <v>0.03</v>
      </c>
      <c r="H47" s="1554">
        <f>+G47</f>
        <v>0.03</v>
      </c>
      <c r="I47" s="1107">
        <v>0</v>
      </c>
      <c r="J47" s="149"/>
      <c r="K47" s="143"/>
      <c r="L47" s="270">
        <f>MATCH(N47,$Q$85:$Q$88,0)</f>
        <v>4</v>
      </c>
      <c r="M47" s="173">
        <v>3</v>
      </c>
      <c r="N47" s="81" t="s">
        <v>1066</v>
      </c>
      <c r="O47" s="1105">
        <v>0</v>
      </c>
      <c r="P47" s="1108">
        <v>1.8499999999999999E-2</v>
      </c>
      <c r="Q47" s="1268">
        <v>10</v>
      </c>
      <c r="R47" s="1100" t="s">
        <v>1018</v>
      </c>
      <c r="S47" s="152"/>
      <c r="T47" s="1392">
        <f>'D6'!J16</f>
        <v>453.66610060290355</v>
      </c>
      <c r="U47" s="269"/>
      <c r="V47" s="152"/>
      <c r="W47" s="152"/>
      <c r="X47" s="152"/>
      <c r="Y47" s="152"/>
      <c r="Z47" s="152"/>
      <c r="AA47" s="154"/>
      <c r="AR47" s="173"/>
      <c r="AS47" s="173"/>
    </row>
    <row r="48" spans="2:45" ht="14.85" customHeight="1" x14ac:dyDescent="0.25">
      <c r="B48" s="148"/>
      <c r="C48" s="1698"/>
      <c r="D48" s="224" t="s">
        <v>91</v>
      </c>
      <c r="E48" s="1424">
        <v>0.05</v>
      </c>
      <c r="F48" s="1424">
        <v>0.05</v>
      </c>
      <c r="G48" s="1424">
        <v>0.03</v>
      </c>
      <c r="H48" s="1554">
        <f>+G48</f>
        <v>0.03</v>
      </c>
      <c r="I48" s="1107">
        <v>0</v>
      </c>
      <c r="J48" s="149"/>
      <c r="K48" s="143"/>
      <c r="L48" s="270">
        <f>MATCH(N48,$Q$85:$Q$88,0)</f>
        <v>1</v>
      </c>
      <c r="M48" s="173">
        <v>4</v>
      </c>
      <c r="N48" s="81" t="s">
        <v>224</v>
      </c>
      <c r="O48" s="1109">
        <v>0</v>
      </c>
      <c r="P48" s="1110">
        <v>0.06</v>
      </c>
      <c r="Q48" s="1268">
        <v>4</v>
      </c>
      <c r="R48" s="975" t="s">
        <v>989</v>
      </c>
      <c r="S48" s="152"/>
      <c r="T48" s="1391">
        <f>T46+T47</f>
        <v>1326.1347125233017</v>
      </c>
      <c r="U48" s="271">
        <f>T48-T64</f>
        <v>686.31464635768225</v>
      </c>
      <c r="V48" s="152"/>
      <c r="W48" s="152"/>
      <c r="X48" s="152"/>
      <c r="Y48" s="152"/>
      <c r="Z48" s="152"/>
      <c r="AA48" s="154"/>
      <c r="AR48" s="173"/>
      <c r="AS48" s="173"/>
    </row>
    <row r="49" spans="2:45" ht="14.1" customHeight="1" x14ac:dyDescent="0.25">
      <c r="B49" s="148"/>
      <c r="C49" s="1698"/>
      <c r="D49" s="224" t="s">
        <v>92</v>
      </c>
      <c r="E49" s="1424">
        <v>0.05</v>
      </c>
      <c r="F49" s="1424">
        <v>0.05</v>
      </c>
      <c r="G49" s="1424">
        <v>0.03</v>
      </c>
      <c r="H49" s="1554">
        <f>+G49</f>
        <v>0.03</v>
      </c>
      <c r="I49" s="1107">
        <v>0</v>
      </c>
      <c r="J49" s="149"/>
      <c r="K49" s="143"/>
      <c r="L49" s="150"/>
      <c r="M49" s="46"/>
      <c r="N49" s="46"/>
      <c r="O49" s="277">
        <f>SUM(O45:O48)</f>
        <v>0</v>
      </c>
      <c r="P49" s="278" t="e">
        <f>SUMPRODUCT(AR39:AR42,P45:P48)</f>
        <v>#DIV/0!</v>
      </c>
      <c r="Q49" s="1269">
        <f>IF(ISERROR(P49),0,P49)</f>
        <v>0</v>
      </c>
      <c r="R49" s="975" t="s">
        <v>886</v>
      </c>
      <c r="S49" s="152"/>
      <c r="T49" s="152"/>
      <c r="U49" s="269">
        <f>Q50/1000</f>
        <v>0</v>
      </c>
      <c r="V49" s="152"/>
      <c r="W49" s="152"/>
      <c r="X49" s="152"/>
      <c r="Y49" s="152"/>
      <c r="Z49" s="152"/>
      <c r="AA49" s="154"/>
      <c r="AF49" s="106" t="s">
        <v>149</v>
      </c>
      <c r="AK49" s="1" t="s">
        <v>883</v>
      </c>
      <c r="AR49" s="173"/>
      <c r="AS49" s="173"/>
    </row>
    <row r="50" spans="2:45" ht="15.75" thickBot="1" x14ac:dyDescent="0.3">
      <c r="B50" s="148"/>
      <c r="C50" s="1699"/>
      <c r="D50" s="262" t="s">
        <v>93</v>
      </c>
      <c r="E50" s="1425">
        <v>0.05</v>
      </c>
      <c r="F50" s="1425">
        <v>0.05</v>
      </c>
      <c r="G50" s="1424">
        <v>0.03</v>
      </c>
      <c r="H50" s="1555">
        <f>+G50</f>
        <v>0.03</v>
      </c>
      <c r="I50" s="1107">
        <v>0</v>
      </c>
      <c r="J50" s="149"/>
      <c r="K50" s="143"/>
      <c r="L50" s="150" t="s">
        <v>415</v>
      </c>
      <c r="O50" s="1107">
        <v>0.03</v>
      </c>
      <c r="P50" s="1" t="s">
        <v>886</v>
      </c>
      <c r="Q50" s="1105">
        <v>0</v>
      </c>
      <c r="R50" s="1100" t="s">
        <v>972</v>
      </c>
      <c r="S50" s="152"/>
      <c r="T50" s="152"/>
      <c r="U50" s="1283">
        <f>U48+U49</f>
        <v>686.31464635768225</v>
      </c>
      <c r="V50" s="152"/>
      <c r="W50" s="152"/>
      <c r="X50" s="152"/>
      <c r="Y50" s="152"/>
      <c r="Z50" s="152"/>
      <c r="AA50" s="154"/>
      <c r="AF50" s="281" t="s">
        <v>142</v>
      </c>
      <c r="AG50" s="23"/>
      <c r="AH50" s="23"/>
      <c r="AI50" s="23"/>
      <c r="AJ50" s="184"/>
    </row>
    <row r="51" spans="2:45" ht="15" customHeight="1" x14ac:dyDescent="0.25">
      <c r="B51" s="148"/>
      <c r="C51" s="1697" t="s">
        <v>149</v>
      </c>
      <c r="D51" s="282" t="s">
        <v>142</v>
      </c>
      <c r="E51" s="283"/>
      <c r="F51" s="283"/>
      <c r="G51" s="283"/>
      <c r="H51" s="284"/>
      <c r="I51" s="1045" t="s">
        <v>885</v>
      </c>
      <c r="J51" s="149"/>
      <c r="K51" s="143"/>
      <c r="L51" s="150" t="s">
        <v>975</v>
      </c>
      <c r="O51" s="1160">
        <v>1.5</v>
      </c>
      <c r="Q51" s="151"/>
      <c r="R51" s="1100" t="s">
        <v>523</v>
      </c>
      <c r="S51" s="152"/>
      <c r="T51" s="1391">
        <f>IF(Q2=TRUE,'D7'!K16,0)</f>
        <v>0</v>
      </c>
      <c r="U51" s="269">
        <f>T51-V61</f>
        <v>0</v>
      </c>
      <c r="V51" s="152"/>
      <c r="W51" s="152"/>
      <c r="X51" s="152"/>
      <c r="Y51" s="152"/>
      <c r="Z51" s="152"/>
      <c r="AA51" s="154"/>
      <c r="AF51" s="285" t="s">
        <v>143</v>
      </c>
      <c r="AG51" s="286">
        <f>E54</f>
        <v>1.21E-2</v>
      </c>
      <c r="AH51" s="286">
        <f>F54</f>
        <v>1.21E-2</v>
      </c>
      <c r="AI51" s="286">
        <f>G54</f>
        <v>1.21E-2</v>
      </c>
      <c r="AJ51" s="287">
        <f>H54</f>
        <v>1.21E-2</v>
      </c>
      <c r="AK51" s="287"/>
      <c r="AO51" s="173"/>
    </row>
    <row r="52" spans="2:45" ht="15" customHeight="1" x14ac:dyDescent="0.4">
      <c r="B52" s="148"/>
      <c r="C52" s="1698"/>
      <c r="D52" s="302"/>
      <c r="E52" s="315"/>
      <c r="F52" s="315"/>
      <c r="G52" s="315"/>
      <c r="H52" s="316"/>
      <c r="I52" s="1597">
        <v>0.04</v>
      </c>
      <c r="J52" s="149"/>
      <c r="K52" s="143"/>
      <c r="L52" s="150"/>
      <c r="O52" s="1160"/>
      <c r="Q52" s="1270"/>
      <c r="R52" s="1599" t="s">
        <v>1092</v>
      </c>
      <c r="S52" s="152"/>
      <c r="T52" s="152"/>
      <c r="U52" s="271">
        <f>U50+U51</f>
        <v>686.31464635768225</v>
      </c>
      <c r="V52" s="152"/>
      <c r="W52" s="152"/>
      <c r="X52" s="152"/>
      <c r="Y52" s="152"/>
      <c r="Z52" s="152"/>
      <c r="AA52" s="154"/>
      <c r="AF52" s="285"/>
      <c r="AG52" s="286"/>
      <c r="AH52" s="286"/>
      <c r="AI52" s="286"/>
      <c r="AJ52" s="287"/>
      <c r="AK52" s="287"/>
      <c r="AO52" s="173"/>
    </row>
    <row r="53" spans="2:45" ht="17.25" x14ac:dyDescent="0.4">
      <c r="B53" s="148"/>
      <c r="C53" s="1698"/>
      <c r="D53" s="288" t="s">
        <v>293</v>
      </c>
      <c r="E53" s="289">
        <v>3300</v>
      </c>
      <c r="F53" s="289">
        <v>3300</v>
      </c>
      <c r="G53" s="289">
        <v>2800</v>
      </c>
      <c r="H53" s="290">
        <v>2800</v>
      </c>
      <c r="I53" s="1072">
        <v>0.04</v>
      </c>
      <c r="J53" s="149"/>
      <c r="K53" s="143"/>
      <c r="L53" s="150"/>
      <c r="N53" s="291" t="s">
        <v>176</v>
      </c>
      <c r="O53" s="292" t="s">
        <v>359</v>
      </c>
      <c r="P53" s="293"/>
      <c r="Q53" s="1270"/>
      <c r="R53" s="1299"/>
      <c r="S53" s="259"/>
      <c r="T53" s="259"/>
      <c r="U53" s="1300"/>
      <c r="V53" s="152"/>
      <c r="W53" s="152"/>
      <c r="X53" s="152"/>
      <c r="Y53" s="152"/>
      <c r="Z53" s="152"/>
      <c r="AA53" s="154"/>
      <c r="AF53" s="285" t="s">
        <v>228</v>
      </c>
      <c r="AG53" s="173">
        <f t="shared" ref="AG53:AK57" si="9">CHOOSE(AM$12,E55,E62)</f>
        <v>0</v>
      </c>
      <c r="AH53" s="173">
        <f t="shared" si="9"/>
        <v>0</v>
      </c>
      <c r="AI53" s="173">
        <f>CHOOSE(AO$12,G55,G62)</f>
        <v>5.8832639782239902</v>
      </c>
      <c r="AJ53" s="174">
        <f t="shared" si="9"/>
        <v>0</v>
      </c>
      <c r="AK53" s="869">
        <f t="shared" si="9"/>
        <v>0</v>
      </c>
      <c r="AR53" s="173" t="s">
        <v>451</v>
      </c>
    </row>
    <row r="54" spans="2:45" ht="15.75" x14ac:dyDescent="0.25">
      <c r="B54" s="148"/>
      <c r="C54" s="1698"/>
      <c r="D54" s="288" t="s">
        <v>294</v>
      </c>
      <c r="E54" s="294">
        <v>1.21E-2</v>
      </c>
      <c r="F54" s="294">
        <f>+E54</f>
        <v>1.21E-2</v>
      </c>
      <c r="G54" s="294">
        <f>+F54</f>
        <v>1.21E-2</v>
      </c>
      <c r="H54" s="295">
        <v>1.21E-2</v>
      </c>
      <c r="I54" s="1061" t="s">
        <v>884</v>
      </c>
      <c r="J54" s="149"/>
      <c r="K54" s="143"/>
      <c r="L54" s="296" t="s">
        <v>510</v>
      </c>
      <c r="N54" s="1107">
        <v>0.2</v>
      </c>
      <c r="O54" s="297">
        <f>'D4'!G15</f>
        <v>0.2</v>
      </c>
      <c r="P54" s="162" t="s">
        <v>81</v>
      </c>
      <c r="Q54" s="1271">
        <f>[10]C2!$K$32</f>
        <v>0.13</v>
      </c>
      <c r="R54" s="1287" t="s">
        <v>990</v>
      </c>
      <c r="S54" s="1288"/>
      <c r="T54" s="1288"/>
      <c r="U54" s="1298">
        <f>V59</f>
        <v>0</v>
      </c>
      <c r="V54" s="152"/>
      <c r="W54" s="152"/>
      <c r="X54" s="152"/>
      <c r="Y54" s="152"/>
      <c r="Z54" s="152"/>
      <c r="AA54" s="154"/>
      <c r="AF54" s="298" t="s">
        <v>145</v>
      </c>
      <c r="AG54" s="173">
        <f t="shared" si="9"/>
        <v>0</v>
      </c>
      <c r="AH54" s="173">
        <f t="shared" si="9"/>
        <v>0</v>
      </c>
      <c r="AI54" s="173">
        <f t="shared" si="9"/>
        <v>0</v>
      </c>
      <c r="AJ54" s="174">
        <f t="shared" si="9"/>
        <v>0</v>
      </c>
      <c r="AK54" s="869"/>
      <c r="AR54" s="173">
        <f>IF(P54="a",1,2)</f>
        <v>2</v>
      </c>
      <c r="AS54" s="299">
        <f>CHOOSE(AR54,O54,Q54)</f>
        <v>0.13</v>
      </c>
    </row>
    <row r="55" spans="2:45" ht="16.5" thickBot="1" x14ac:dyDescent="0.3">
      <c r="B55" s="148"/>
      <c r="C55" s="1698"/>
      <c r="D55" s="288" t="s">
        <v>228</v>
      </c>
      <c r="E55" s="300">
        <f>'A2'!O50</f>
        <v>0</v>
      </c>
      <c r="F55" s="300">
        <f>'A2'!P50</f>
        <v>0</v>
      </c>
      <c r="G55" s="300">
        <f>'A2'!Q50</f>
        <v>5.8832639782239902</v>
      </c>
      <c r="H55" s="301">
        <f>'A2'!R50</f>
        <v>0</v>
      </c>
      <c r="I55" s="1057">
        <f>'A2'!O71</f>
        <v>0</v>
      </c>
      <c r="J55" s="149"/>
      <c r="K55" s="143"/>
      <c r="L55" s="430" t="s">
        <v>512</v>
      </c>
      <c r="M55" s="257"/>
      <c r="N55" s="1272">
        <v>0.2</v>
      </c>
      <c r="O55" s="1273">
        <f>'D4'!L15</f>
        <v>0.2</v>
      </c>
      <c r="P55" s="1274" t="s">
        <v>81</v>
      </c>
      <c r="Q55" s="1275">
        <v>0.15</v>
      </c>
      <c r="R55" s="1287" t="s">
        <v>991</v>
      </c>
      <c r="S55" s="1288"/>
      <c r="T55" s="1288"/>
      <c r="U55" s="1289">
        <f>'D5'!J36</f>
        <v>2007.080501564978</v>
      </c>
      <c r="V55" s="152"/>
      <c r="W55" s="152"/>
      <c r="X55" s="152"/>
      <c r="Y55" s="152"/>
      <c r="Z55" s="152"/>
      <c r="AA55" s="154"/>
      <c r="AF55" s="285" t="s">
        <v>146</v>
      </c>
      <c r="AG55" s="173">
        <f t="shared" si="9"/>
        <v>0</v>
      </c>
      <c r="AH55" s="173">
        <f t="shared" si="9"/>
        <v>0</v>
      </c>
      <c r="AI55" s="173">
        <f t="shared" si="9"/>
        <v>118</v>
      </c>
      <c r="AJ55" s="174">
        <f t="shared" si="9"/>
        <v>120</v>
      </c>
      <c r="AK55" s="869">
        <f t="shared" si="9"/>
        <v>0</v>
      </c>
      <c r="AR55" s="173">
        <f>IF(P55="a",1,2)</f>
        <v>2</v>
      </c>
      <c r="AS55" s="299">
        <f>CHOOSE(AR55,O55,Q55)</f>
        <v>0.15</v>
      </c>
    </row>
    <row r="56" spans="2:45" ht="20.25" x14ac:dyDescent="0.55000000000000004">
      <c r="B56" s="148"/>
      <c r="C56" s="1698"/>
      <c r="D56" s="302" t="s">
        <v>145</v>
      </c>
      <c r="E56" s="300"/>
      <c r="F56" s="300"/>
      <c r="G56" s="300"/>
      <c r="H56" s="301"/>
      <c r="I56" s="1057"/>
      <c r="J56" s="149"/>
      <c r="K56" s="143"/>
      <c r="L56" s="144" t="s">
        <v>268</v>
      </c>
      <c r="M56" s="145"/>
      <c r="N56" s="145"/>
      <c r="O56" s="145"/>
      <c r="P56" s="145"/>
      <c r="Q56" s="1266"/>
      <c r="R56" s="303" t="s">
        <v>482</v>
      </c>
      <c r="S56" s="304"/>
      <c r="T56" s="304"/>
      <c r="U56" s="304"/>
      <c r="V56" s="304"/>
      <c r="W56" s="304"/>
      <c r="X56" s="304"/>
      <c r="Y56" s="304"/>
      <c r="Z56" s="304"/>
      <c r="AA56" s="202"/>
      <c r="AF56" s="285" t="s">
        <v>227</v>
      </c>
      <c r="AG56" s="173">
        <f t="shared" si="9"/>
        <v>0</v>
      </c>
      <c r="AH56" s="173">
        <f t="shared" si="9"/>
        <v>0</v>
      </c>
      <c r="AI56" s="173">
        <f t="shared" si="9"/>
        <v>0.32476518075209276</v>
      </c>
      <c r="AJ56" s="174">
        <f t="shared" si="9"/>
        <v>0</v>
      </c>
      <c r="AK56" s="869">
        <f t="shared" si="9"/>
        <v>0</v>
      </c>
    </row>
    <row r="57" spans="2:45" ht="17.25" x14ac:dyDescent="0.4">
      <c r="B57" s="148"/>
      <c r="C57" s="1698"/>
      <c r="D57" s="288" t="s">
        <v>146</v>
      </c>
      <c r="E57" s="300">
        <f>'A2'!O52</f>
        <v>0</v>
      </c>
      <c r="F57" s="300">
        <f>'A2'!P52</f>
        <v>0</v>
      </c>
      <c r="G57" s="300">
        <f>'A2'!Q52</f>
        <v>118</v>
      </c>
      <c r="H57" s="301">
        <f>'A2'!R52</f>
        <v>120</v>
      </c>
      <c r="I57" s="1057">
        <f>'A2'!P71</f>
        <v>0</v>
      </c>
      <c r="J57" s="149"/>
      <c r="K57" s="143"/>
      <c r="L57" s="150"/>
      <c r="M57" s="219"/>
      <c r="N57" s="292" t="s">
        <v>269</v>
      </c>
      <c r="O57" s="292"/>
      <c r="P57" s="219" t="s">
        <v>270</v>
      </c>
      <c r="Q57" s="151"/>
      <c r="R57" s="1204" t="s">
        <v>483</v>
      </c>
      <c r="S57" s="1197"/>
      <c r="T57" s="213"/>
      <c r="U57" s="1197" t="s">
        <v>480</v>
      </c>
      <c r="V57" s="1197"/>
      <c r="W57" s="1205"/>
      <c r="X57" s="213"/>
      <c r="Y57" s="213"/>
      <c r="Z57" s="213"/>
      <c r="AA57" s="208"/>
      <c r="AF57" s="306" t="s">
        <v>148</v>
      </c>
      <c r="AG57" s="179">
        <f t="shared" si="9"/>
        <v>0</v>
      </c>
      <c r="AH57" s="179">
        <f t="shared" si="9"/>
        <v>0</v>
      </c>
      <c r="AI57" s="179">
        <f t="shared" si="9"/>
        <v>5.7341193579059233</v>
      </c>
      <c r="AJ57" s="180">
        <f t="shared" si="9"/>
        <v>0</v>
      </c>
      <c r="AK57" s="1043">
        <f t="shared" si="9"/>
        <v>0</v>
      </c>
      <c r="AR57" s="173"/>
      <c r="AS57" s="173"/>
    </row>
    <row r="58" spans="2:45" x14ac:dyDescent="0.25">
      <c r="B58" s="148"/>
      <c r="C58" s="1698"/>
      <c r="D58" s="288" t="s">
        <v>227</v>
      </c>
      <c r="E58" s="300">
        <f>'A2'!O53</f>
        <v>0</v>
      </c>
      <c r="F58" s="300">
        <f>'A2'!P53</f>
        <v>0</v>
      </c>
      <c r="G58" s="300">
        <f>'A2'!Q53</f>
        <v>0.32476518075209276</v>
      </c>
      <c r="H58" s="301">
        <f>'A2'!R53</f>
        <v>0</v>
      </c>
      <c r="I58" s="1057">
        <f>'A2'!Q71</f>
        <v>0</v>
      </c>
      <c r="J58" s="149"/>
      <c r="K58" s="143"/>
      <c r="L58" s="150"/>
      <c r="M58" s="307">
        <v>1</v>
      </c>
      <c r="N58" s="308" t="s">
        <v>1117</v>
      </c>
      <c r="O58" s="309"/>
      <c r="P58" s="310">
        <v>0.25</v>
      </c>
      <c r="Q58" s="151"/>
      <c r="R58" s="1378" t="s">
        <v>528</v>
      </c>
      <c r="S58" s="206">
        <f>'D1'!G27</f>
        <v>265</v>
      </c>
      <c r="T58" s="1379">
        <f>S58/S$61</f>
        <v>0.41417894500889868</v>
      </c>
      <c r="U58" s="305" t="s">
        <v>1116</v>
      </c>
      <c r="V58" s="206">
        <f>'A5'!P26</f>
        <v>0</v>
      </c>
      <c r="W58" s="1201">
        <f>V58/$V$62</f>
        <v>0</v>
      </c>
      <c r="X58" s="213"/>
      <c r="Y58" s="213" t="s">
        <v>872</v>
      </c>
      <c r="Z58" s="213"/>
      <c r="AA58" s="208"/>
      <c r="AR58" s="173"/>
      <c r="AS58" s="173"/>
    </row>
    <row r="59" spans="2:45" x14ac:dyDescent="0.25">
      <c r="B59" s="148"/>
      <c r="C59" s="1698"/>
      <c r="D59" s="311" t="s">
        <v>148</v>
      </c>
      <c r="E59" s="300">
        <f>'A2'!O54</f>
        <v>0</v>
      </c>
      <c r="F59" s="300">
        <f>'A2'!P54</f>
        <v>0</v>
      </c>
      <c r="G59" s="300">
        <f>'A2'!Q54</f>
        <v>5.7341193579059233</v>
      </c>
      <c r="H59" s="301">
        <f>'A2'!R54</f>
        <v>0</v>
      </c>
      <c r="I59" s="1057">
        <f>'A2'!R71</f>
        <v>0</v>
      </c>
      <c r="J59" s="149"/>
      <c r="K59" s="143"/>
      <c r="L59" s="150"/>
      <c r="M59" s="307">
        <f>M58+1</f>
        <v>2</v>
      </c>
      <c r="N59" s="308" t="s">
        <v>1118</v>
      </c>
      <c r="O59" s="309"/>
      <c r="P59" s="310">
        <v>0.25</v>
      </c>
      <c r="Q59" s="151"/>
      <c r="R59" s="1378" t="s">
        <v>1080</v>
      </c>
      <c r="S59" s="206">
        <f>'D1'!G28</f>
        <v>374.82006616561949</v>
      </c>
      <c r="T59" s="1379">
        <f>S59/S$61</f>
        <v>0.58582105499110138</v>
      </c>
      <c r="U59" s="305" t="str">
        <f>'D1'!J28</f>
        <v>Debt</v>
      </c>
      <c r="V59" s="206">
        <f>'D1'!L28</f>
        <v>0</v>
      </c>
      <c r="W59" s="1201">
        <f>V59/$V$62</f>
        <v>0</v>
      </c>
      <c r="X59" s="213"/>
      <c r="Y59" s="213"/>
      <c r="Z59" s="213"/>
      <c r="AA59" s="208"/>
      <c r="AR59" s="173"/>
      <c r="AS59" s="173"/>
    </row>
    <row r="60" spans="2:45" ht="15.75" x14ac:dyDescent="0.25">
      <c r="B60" s="148"/>
      <c r="C60" s="1698"/>
      <c r="D60" s="312"/>
      <c r="E60" s="181" t="s">
        <v>80</v>
      </c>
      <c r="F60" s="181" t="s">
        <v>80</v>
      </c>
      <c r="G60" s="181" t="s">
        <v>80</v>
      </c>
      <c r="H60" s="182" t="s">
        <v>80</v>
      </c>
      <c r="I60" s="1044" t="s">
        <v>80</v>
      </c>
      <c r="J60" s="149"/>
      <c r="K60" s="143"/>
      <c r="L60" s="150"/>
      <c r="M60" s="307">
        <f>M59+1</f>
        <v>3</v>
      </c>
      <c r="N60" s="308" t="s">
        <v>65</v>
      </c>
      <c r="O60" s="309"/>
      <c r="P60" s="310">
        <v>0</v>
      </c>
      <c r="Q60" s="151"/>
      <c r="R60" s="1378" t="s">
        <v>474</v>
      </c>
      <c r="S60" s="317">
        <f>'D1'!G29</f>
        <v>0</v>
      </c>
      <c r="T60" s="1381">
        <f>S60/S$61</f>
        <v>0</v>
      </c>
      <c r="U60" s="305" t="s">
        <v>479</v>
      </c>
      <c r="V60" s="206">
        <f>'D1'!L30</f>
        <v>639.82006616561944</v>
      </c>
      <c r="W60" s="1201">
        <f>V60/$V$62</f>
        <v>1</v>
      </c>
      <c r="X60" s="213"/>
      <c r="Y60" s="213"/>
      <c r="Z60" s="213"/>
      <c r="AA60" s="208"/>
      <c r="AF60" s="313" t="s">
        <v>265</v>
      </c>
      <c r="AG60" s="263">
        <f>CHOOSE(AG68,E71,E73)</f>
        <v>0</v>
      </c>
      <c r="AH60" s="263">
        <f>CHOOSE(AH68,F71,F73)</f>
        <v>0</v>
      </c>
      <c r="AI60" s="263">
        <f>CHOOSE(AI68,G71,G73)</f>
        <v>0</v>
      </c>
      <c r="AJ60" s="263">
        <f>CHOOSE(AJ68,H71,H73)</f>
        <v>0</v>
      </c>
      <c r="AK60" s="264">
        <f>CHOOSE(AK68,I71,I73)</f>
        <v>0</v>
      </c>
      <c r="AR60" s="173"/>
      <c r="AS60" s="173"/>
    </row>
    <row r="61" spans="2:45" x14ac:dyDescent="0.25">
      <c r="B61" s="148"/>
      <c r="C61" s="1698"/>
      <c r="D61" s="314" t="s">
        <v>142</v>
      </c>
      <c r="E61" s="315"/>
      <c r="F61" s="315"/>
      <c r="G61" s="315"/>
      <c r="H61" s="316"/>
      <c r="I61" s="1058"/>
      <c r="J61" s="149"/>
      <c r="K61" s="143"/>
      <c r="L61" s="150"/>
      <c r="M61" s="307">
        <f>M60+1</f>
        <v>4</v>
      </c>
      <c r="N61" s="308" t="s">
        <v>273</v>
      </c>
      <c r="O61" s="309"/>
      <c r="P61" s="310">
        <v>0</v>
      </c>
      <c r="Q61" s="151"/>
      <c r="R61" s="1378"/>
      <c r="S61" s="206">
        <f>'D1'!G30</f>
        <v>639.82006616561944</v>
      </c>
      <c r="T61" s="1379">
        <f>SUM(T58:T60)</f>
        <v>1</v>
      </c>
      <c r="U61" s="305" t="s">
        <v>478</v>
      </c>
      <c r="V61" s="317">
        <f>'D1'!L29</f>
        <v>0</v>
      </c>
      <c r="W61" s="1202">
        <f>V61/$V$62</f>
        <v>0</v>
      </c>
      <c r="X61" s="213"/>
      <c r="Y61" s="213"/>
      <c r="Z61" s="213"/>
      <c r="AA61" s="208"/>
      <c r="AR61" s="173"/>
      <c r="AS61" s="173"/>
    </row>
    <row r="62" spans="2:45" x14ac:dyDescent="0.25">
      <c r="B62" s="148"/>
      <c r="C62" s="1698"/>
      <c r="D62" s="288" t="s">
        <v>228</v>
      </c>
      <c r="E62" s="318">
        <f>E55</f>
        <v>0</v>
      </c>
      <c r="F62" s="318">
        <v>4.9000000000000004</v>
      </c>
      <c r="G62" s="318">
        <v>8</v>
      </c>
      <c r="H62" s="319">
        <v>8</v>
      </c>
      <c r="I62" s="1059">
        <v>3</v>
      </c>
      <c r="J62" s="149"/>
      <c r="K62" s="143"/>
      <c r="L62" s="150"/>
      <c r="M62" s="307">
        <f>M61+1</f>
        <v>5</v>
      </c>
      <c r="N62" s="308" t="s">
        <v>65</v>
      </c>
      <c r="O62" s="309"/>
      <c r="P62" s="320">
        <v>0</v>
      </c>
      <c r="Q62" s="151"/>
      <c r="R62" s="1380"/>
      <c r="S62" s="1199"/>
      <c r="T62" s="1198"/>
      <c r="U62" s="1200"/>
      <c r="V62" s="1199">
        <f>SUM(V58:V61)</f>
        <v>639.82006616561944</v>
      </c>
      <c r="W62" s="1203">
        <f>SUM(W58:W61)</f>
        <v>1</v>
      </c>
      <c r="X62" s="213"/>
      <c r="Y62" s="213"/>
      <c r="Z62" s="213"/>
      <c r="AA62" s="208"/>
      <c r="AG62" s="170" t="s">
        <v>459</v>
      </c>
      <c r="AH62" s="23"/>
      <c r="AI62" s="184"/>
      <c r="AR62" s="173"/>
      <c r="AS62" s="173"/>
    </row>
    <row r="63" spans="2:45" ht="17.25" x14ac:dyDescent="0.4">
      <c r="B63" s="148"/>
      <c r="C63" s="1698"/>
      <c r="D63" s="302" t="s">
        <v>145</v>
      </c>
      <c r="E63" s="318"/>
      <c r="F63" s="318"/>
      <c r="G63" s="318"/>
      <c r="H63" s="319"/>
      <c r="I63" s="1059"/>
      <c r="J63" s="149"/>
      <c r="K63" s="143"/>
      <c r="L63" s="150"/>
      <c r="N63" s="1" t="s">
        <v>13</v>
      </c>
      <c r="P63" s="77">
        <f>IF(Q2=TRUE,SUM(P58:P62),0)</f>
        <v>0</v>
      </c>
      <c r="Q63" s="151"/>
      <c r="R63" s="1384" t="s">
        <v>1087</v>
      </c>
      <c r="S63" s="1195"/>
      <c r="T63" s="1195" t="s">
        <v>510</v>
      </c>
      <c r="U63" s="1195" t="s">
        <v>949</v>
      </c>
      <c r="V63" s="1195" t="s">
        <v>13</v>
      </c>
      <c r="W63" s="1385"/>
      <c r="X63" s="213"/>
      <c r="Y63" s="213"/>
      <c r="Z63" s="213"/>
      <c r="AA63" s="208"/>
      <c r="AG63" s="172" t="b">
        <v>1</v>
      </c>
      <c r="AH63" s="1" t="b">
        <v>1</v>
      </c>
      <c r="AI63" s="188" t="b">
        <v>1</v>
      </c>
    </row>
    <row r="64" spans="2:45" x14ac:dyDescent="0.25">
      <c r="B64" s="148"/>
      <c r="C64" s="1698"/>
      <c r="D64" s="288" t="s">
        <v>146</v>
      </c>
      <c r="E64" s="318">
        <v>19</v>
      </c>
      <c r="F64" s="318">
        <v>18.7</v>
      </c>
      <c r="G64" s="318">
        <v>15</v>
      </c>
      <c r="H64" s="319">
        <v>15</v>
      </c>
      <c r="I64" s="1059">
        <v>10</v>
      </c>
      <c r="J64" s="149"/>
      <c r="K64" s="143"/>
      <c r="L64" s="150"/>
      <c r="Q64" s="151"/>
      <c r="R64" s="1382" t="s">
        <v>42</v>
      </c>
      <c r="S64" s="206"/>
      <c r="T64" s="206">
        <f>'D1'!F36</f>
        <v>639.82006616561944</v>
      </c>
      <c r="U64" s="206">
        <f>'D1'!G36</f>
        <v>0</v>
      </c>
      <c r="V64" s="206">
        <f>'D1'!H36</f>
        <v>639.82006616561944</v>
      </c>
      <c r="W64" s="214"/>
      <c r="X64" s="213"/>
      <c r="Y64" s="213"/>
      <c r="Z64" s="213"/>
      <c r="AA64" s="208"/>
      <c r="AG64" s="322">
        <f>IF(AG63=TRUE,1,0)</f>
        <v>1</v>
      </c>
      <c r="AH64" s="179">
        <f>IF(AH63=TRUE,1,0)</f>
        <v>1</v>
      </c>
      <c r="AI64" s="180">
        <f>IF(AI63=TRUE,1,0)</f>
        <v>1</v>
      </c>
    </row>
    <row r="65" spans="2:45" ht="15.75" thickBot="1" x14ac:dyDescent="0.3">
      <c r="B65" s="148"/>
      <c r="C65" s="1698"/>
      <c r="D65" s="288" t="s">
        <v>227</v>
      </c>
      <c r="E65" s="318">
        <f>E58</f>
        <v>0</v>
      </c>
      <c r="F65" s="318">
        <v>5</v>
      </c>
      <c r="G65" s="318">
        <v>10</v>
      </c>
      <c r="H65" s="319">
        <v>10</v>
      </c>
      <c r="I65" s="1059">
        <v>7</v>
      </c>
      <c r="J65" s="149"/>
      <c r="K65" s="143"/>
      <c r="L65" s="150"/>
      <c r="Q65" s="151"/>
      <c r="R65" s="1382" t="s">
        <v>221</v>
      </c>
      <c r="S65" s="317"/>
      <c r="T65" s="317">
        <f>'D1'!F37</f>
        <v>0</v>
      </c>
      <c r="U65" s="317">
        <f>'D1'!G37</f>
        <v>0</v>
      </c>
      <c r="V65" s="317">
        <f>'D1'!H37</f>
        <v>0</v>
      </c>
      <c r="W65" s="214"/>
      <c r="X65" s="213"/>
      <c r="Y65" s="213"/>
      <c r="Z65" s="213"/>
      <c r="AA65" s="208"/>
      <c r="AR65" s="173"/>
      <c r="AS65" s="173"/>
    </row>
    <row r="66" spans="2:45" ht="15.75" thickBot="1" x14ac:dyDescent="0.3">
      <c r="B66" s="148"/>
      <c r="C66" s="1699"/>
      <c r="D66" s="324" t="s">
        <v>148</v>
      </c>
      <c r="E66" s="325">
        <f>E59</f>
        <v>0</v>
      </c>
      <c r="F66" s="325">
        <v>4.2</v>
      </c>
      <c r="G66" s="325">
        <v>3</v>
      </c>
      <c r="H66" s="326">
        <v>3</v>
      </c>
      <c r="I66" s="1060">
        <v>3</v>
      </c>
      <c r="J66" s="149"/>
      <c r="K66" s="143"/>
      <c r="L66" s="256"/>
      <c r="M66" s="257"/>
      <c r="N66" s="257"/>
      <c r="O66" s="257"/>
      <c r="P66" s="257"/>
      <c r="Q66" s="258"/>
      <c r="R66" s="1383"/>
      <c r="S66" s="1196"/>
      <c r="T66" s="1196">
        <f>'D1'!F38</f>
        <v>639.82006616561944</v>
      </c>
      <c r="U66" s="1196">
        <f>'D1'!G38</f>
        <v>0</v>
      </c>
      <c r="V66" s="1196">
        <f>'D1'!H38</f>
        <v>639.82006616561944</v>
      </c>
      <c r="W66" s="230"/>
      <c r="X66" s="229"/>
      <c r="Y66" s="229"/>
      <c r="Z66" s="229"/>
      <c r="AA66" s="231"/>
      <c r="AF66" s="1" t="s">
        <v>132</v>
      </c>
      <c r="AG66" s="173" t="b">
        <v>0</v>
      </c>
      <c r="AH66" s="173" t="b">
        <v>0</v>
      </c>
      <c r="AI66" s="173" t="b">
        <v>0</v>
      </c>
      <c r="AJ66" s="173" t="b">
        <v>0</v>
      </c>
      <c r="AK66" s="173" t="b">
        <v>0</v>
      </c>
      <c r="AL66" s="1" t="s">
        <v>13</v>
      </c>
      <c r="AM66" s="330" t="s">
        <v>492</v>
      </c>
      <c r="AR66" s="173"/>
      <c r="AS66" s="173"/>
    </row>
    <row r="67" spans="2:45" ht="21" thickBot="1" x14ac:dyDescent="0.6">
      <c r="B67" s="148"/>
      <c r="J67" s="149"/>
      <c r="K67" s="143"/>
      <c r="L67" s="327" t="s">
        <v>267</v>
      </c>
      <c r="M67" s="328"/>
      <c r="N67" s="329"/>
      <c r="O67" s="292"/>
      <c r="Q67" s="4" t="s">
        <v>1123</v>
      </c>
      <c r="R67" s="1412">
        <v>0.03</v>
      </c>
      <c r="V67" s="1206"/>
      <c r="W67" s="1206"/>
      <c r="X67" s="1207">
        <v>1</v>
      </c>
      <c r="Y67" s="173" t="s">
        <v>295</v>
      </c>
      <c r="Z67" s="173" t="s">
        <v>296</v>
      </c>
      <c r="AA67" s="151"/>
      <c r="AG67" s="173">
        <f>IF(AG66=TRUE,1,0)</f>
        <v>0</v>
      </c>
      <c r="AH67" s="173">
        <f>IF(AH66=TRUE,1,0)</f>
        <v>0</v>
      </c>
      <c r="AI67" s="173">
        <f>IF(AI66=TRUE,1,0)</f>
        <v>0</v>
      </c>
      <c r="AJ67" s="173">
        <f>IF(AJ66=TRUE,1,0)</f>
        <v>0</v>
      </c>
      <c r="AK67" s="173">
        <f>IF(AK66=TRUE,1,0)</f>
        <v>0</v>
      </c>
      <c r="AL67" s="173">
        <f>SUM(AG67:AK67)</f>
        <v>0</v>
      </c>
      <c r="AM67" s="332">
        <f>IF(C70="a",1,2)</f>
        <v>2</v>
      </c>
      <c r="AN67" s="1">
        <f>IF(AM67=1,0,AL67*AM67)</f>
        <v>0</v>
      </c>
      <c r="AR67" s="173"/>
      <c r="AS67" s="173"/>
    </row>
    <row r="68" spans="2:45" ht="18" thickBot="1" x14ac:dyDescent="0.45">
      <c r="B68" s="148"/>
      <c r="C68" s="1046" t="s">
        <v>252</v>
      </c>
      <c r="D68" s="1047"/>
      <c r="E68" s="1047"/>
      <c r="F68" s="1047"/>
      <c r="G68" s="1047"/>
      <c r="H68" s="1047"/>
      <c r="I68" s="1048"/>
      <c r="J68" s="149"/>
      <c r="K68" s="143"/>
      <c r="L68" s="331" t="s">
        <v>247</v>
      </c>
      <c r="O68" s="275">
        <v>0.42499999999999999</v>
      </c>
      <c r="P68" s="336" t="str">
        <f>'A1'!E8</f>
        <v>Hemo Dialysis</v>
      </c>
      <c r="Q68" s="337"/>
      <c r="R68" s="338" t="str">
        <f>'A1'!G8</f>
        <v>Home Dialysis</v>
      </c>
      <c r="S68" s="337"/>
      <c r="T68" s="338" t="str">
        <f>'A1'!C68</f>
        <v>Acute Care</v>
      </c>
      <c r="U68" s="339"/>
      <c r="V68" s="340" t="s">
        <v>231</v>
      </c>
      <c r="W68" s="341"/>
      <c r="X68" s="341"/>
      <c r="Y68" s="291" t="s">
        <v>134</v>
      </c>
      <c r="Z68" s="291" t="s">
        <v>194</v>
      </c>
      <c r="AA68" s="151"/>
      <c r="AF68" s="1" t="s">
        <v>263</v>
      </c>
      <c r="AG68" s="173">
        <f>IF(E72="a",1,2)</f>
        <v>1</v>
      </c>
      <c r="AH68" s="173">
        <f>IF(F72="a",1,2)</f>
        <v>1</v>
      </c>
      <c r="AI68" s="173">
        <f>IF(G72="a",1,2)</f>
        <v>1</v>
      </c>
      <c r="AJ68" s="173">
        <f>IF(H72="a",1,2)</f>
        <v>1</v>
      </c>
      <c r="AK68" s="173">
        <f>IF(I72="a",1,2)</f>
        <v>1</v>
      </c>
      <c r="AM68" s="342">
        <f>IF(AL67=0,0,CHOOSE(AM67,D69,D70))</f>
        <v>0</v>
      </c>
      <c r="AR68" s="173">
        <f t="shared" ref="AR68:AR76" si="10">IF(W69="a",1,2)</f>
        <v>1</v>
      </c>
      <c r="AS68" s="163">
        <f t="shared" ref="AS68:AS75" si="11">CHOOSE(AR68,V69,X69)</f>
        <v>67.251505786676844</v>
      </c>
    </row>
    <row r="69" spans="2:45" ht="14.85" customHeight="1" x14ac:dyDescent="0.4">
      <c r="B69" s="148"/>
      <c r="C69" s="1040" t="s">
        <v>491</v>
      </c>
      <c r="D69" s="343">
        <f>'A2'!R63</f>
        <v>0</v>
      </c>
      <c r="E69" s="1049" t="s">
        <v>74</v>
      </c>
      <c r="F69" s="1050"/>
      <c r="G69" s="1051" t="s">
        <v>78</v>
      </c>
      <c r="H69" s="1051" t="s">
        <v>79</v>
      </c>
      <c r="I69" s="1052" t="s">
        <v>109</v>
      </c>
      <c r="J69" s="149"/>
      <c r="K69" s="143"/>
      <c r="L69" s="150">
        <v>1</v>
      </c>
      <c r="M69" s="344" t="s">
        <v>249</v>
      </c>
      <c r="N69" s="1" t="s">
        <v>250</v>
      </c>
      <c r="P69" s="1665">
        <v>1</v>
      </c>
      <c r="Q69" s="188" t="s">
        <v>225</v>
      </c>
      <c r="R69" s="1066">
        <v>1</v>
      </c>
      <c r="S69" s="188" t="s">
        <v>225</v>
      </c>
      <c r="T69" s="1066">
        <v>0</v>
      </c>
      <c r="U69" s="151" t="s">
        <v>225</v>
      </c>
      <c r="V69" s="345">
        <f>'A2'!$C$72</f>
        <v>67.251505786676844</v>
      </c>
      <c r="W69" s="346" t="s">
        <v>80</v>
      </c>
      <c r="X69" s="347">
        <v>50</v>
      </c>
      <c r="Y69" s="348">
        <f>AS68*(1+$O$68)</f>
        <v>95.833395746014503</v>
      </c>
      <c r="Z69" s="1067">
        <v>2080</v>
      </c>
      <c r="AA69" s="151"/>
      <c r="AF69" s="1" t="s">
        <v>266</v>
      </c>
      <c r="AG69" s="173">
        <f>AG67*AG68</f>
        <v>0</v>
      </c>
      <c r="AH69" s="173">
        <f>AH67*AH68</f>
        <v>0</v>
      </c>
      <c r="AI69" s="173">
        <f>AI67*AI68</f>
        <v>0</v>
      </c>
      <c r="AJ69" s="173">
        <f>AJ67*AJ68</f>
        <v>0</v>
      </c>
      <c r="AK69" s="173">
        <f>AK67*AK68</f>
        <v>0</v>
      </c>
      <c r="AR69" s="173">
        <f t="shared" si="10"/>
        <v>1</v>
      </c>
      <c r="AS69" s="163">
        <f t="shared" si="11"/>
        <v>0</v>
      </c>
    </row>
    <row r="70" spans="2:45" ht="16.5" thickBot="1" x14ac:dyDescent="0.3">
      <c r="B70" s="148"/>
      <c r="C70" s="349" t="s">
        <v>81</v>
      </c>
      <c r="D70" s="1041">
        <v>20</v>
      </c>
      <c r="E70" s="1053" t="s">
        <v>880</v>
      </c>
      <c r="F70" s="1054" t="s">
        <v>881</v>
      </c>
      <c r="G70" s="1055"/>
      <c r="H70" s="1055"/>
      <c r="I70" s="1056"/>
      <c r="J70" s="149"/>
      <c r="K70" s="143"/>
      <c r="L70" s="150">
        <f t="shared" ref="L70:L77" si="12">L69+1</f>
        <v>2</v>
      </c>
      <c r="M70" s="344" t="s">
        <v>249</v>
      </c>
      <c r="N70" s="1" t="s">
        <v>288</v>
      </c>
      <c r="P70" s="1665">
        <v>120</v>
      </c>
      <c r="Q70" s="188" t="s">
        <v>1287</v>
      </c>
      <c r="R70" s="350"/>
      <c r="S70" s="351"/>
      <c r="T70" s="1065"/>
      <c r="U70" s="352"/>
      <c r="V70" s="345">
        <f>'A2'!$D$72</f>
        <v>0</v>
      </c>
      <c r="W70" s="346" t="s">
        <v>80</v>
      </c>
      <c r="X70" s="347">
        <v>49</v>
      </c>
      <c r="Y70" s="348">
        <f t="shared" ref="Y70:Y76" si="13">AS69*(1+$O$68)</f>
        <v>0</v>
      </c>
      <c r="Z70" s="1067">
        <v>2080</v>
      </c>
      <c r="AA70" s="151"/>
      <c r="AR70" s="173">
        <f t="shared" si="10"/>
        <v>1</v>
      </c>
      <c r="AS70" s="163">
        <f t="shared" si="11"/>
        <v>0</v>
      </c>
    </row>
    <row r="71" spans="2:45" ht="15.75" x14ac:dyDescent="0.25">
      <c r="B71" s="148"/>
      <c r="C71" s="1701" t="s">
        <v>120</v>
      </c>
      <c r="D71" s="1704" t="s">
        <v>123</v>
      </c>
      <c r="E71" s="204">
        <f>'A2'!M63</f>
        <v>0</v>
      </c>
      <c r="F71" s="167">
        <f>'A2'!N63</f>
        <v>0</v>
      </c>
      <c r="G71" s="167">
        <f>'A2'!O63</f>
        <v>0</v>
      </c>
      <c r="H71" s="167">
        <f>'A2'!P63</f>
        <v>0</v>
      </c>
      <c r="I71" s="168">
        <f>'A2'!Q63</f>
        <v>0</v>
      </c>
      <c r="J71" s="149"/>
      <c r="K71" s="143"/>
      <c r="L71" s="150">
        <f t="shared" si="12"/>
        <v>3</v>
      </c>
      <c r="M71" s="344" t="s">
        <v>103</v>
      </c>
      <c r="N71" s="1" t="s">
        <v>248</v>
      </c>
      <c r="P71" s="1666">
        <v>1.5</v>
      </c>
      <c r="Q71" s="188" t="s">
        <v>1288</v>
      </c>
      <c r="R71" s="350"/>
      <c r="S71" s="351"/>
      <c r="T71" s="1668">
        <v>0.34</v>
      </c>
      <c r="U71" s="151" t="s">
        <v>1288</v>
      </c>
      <c r="V71" s="345">
        <f>'A2'!$E$72</f>
        <v>0</v>
      </c>
      <c r="W71" s="346" t="s">
        <v>80</v>
      </c>
      <c r="X71" s="347">
        <v>24.6</v>
      </c>
      <c r="Y71" s="348">
        <f t="shared" si="13"/>
        <v>0</v>
      </c>
      <c r="Z71" s="1067">
        <v>1872</v>
      </c>
      <c r="AA71" s="151"/>
      <c r="AR71" s="173">
        <f t="shared" si="10"/>
        <v>1</v>
      </c>
      <c r="AS71" s="163">
        <f t="shared" si="11"/>
        <v>51.264150080956092</v>
      </c>
    </row>
    <row r="72" spans="2:45" ht="14.85" customHeight="1" x14ac:dyDescent="0.25">
      <c r="B72" s="148"/>
      <c r="C72" s="1702"/>
      <c r="D72" s="1705"/>
      <c r="E72" s="210" t="s">
        <v>80</v>
      </c>
      <c r="F72" s="211" t="s">
        <v>80</v>
      </c>
      <c r="G72" s="211" t="s">
        <v>80</v>
      </c>
      <c r="H72" s="211" t="s">
        <v>80</v>
      </c>
      <c r="I72" s="212" t="s">
        <v>80</v>
      </c>
      <c r="J72" s="149"/>
      <c r="K72" s="143"/>
      <c r="L72" s="150">
        <f t="shared" si="12"/>
        <v>4</v>
      </c>
      <c r="M72" s="344" t="s">
        <v>103</v>
      </c>
      <c r="N72" s="1" t="s">
        <v>232</v>
      </c>
      <c r="P72" s="1666">
        <v>0.55000000000000004</v>
      </c>
      <c r="Q72" s="188" t="s">
        <v>1288</v>
      </c>
      <c r="R72" s="1073">
        <v>18</v>
      </c>
      <c r="S72" s="188" t="s">
        <v>287</v>
      </c>
      <c r="T72" s="1668">
        <v>4</v>
      </c>
      <c r="U72" s="151" t="s">
        <v>1288</v>
      </c>
      <c r="V72" s="345">
        <f>'A2'!$F$72</f>
        <v>51.264150080956092</v>
      </c>
      <c r="W72" s="346" t="s">
        <v>80</v>
      </c>
      <c r="X72" s="347">
        <v>50</v>
      </c>
      <c r="Y72" s="348">
        <f t="shared" si="13"/>
        <v>73.051413865362434</v>
      </c>
      <c r="Z72" s="1067">
        <v>1872</v>
      </c>
      <c r="AA72" s="151"/>
      <c r="AR72" s="173">
        <f t="shared" si="10"/>
        <v>1</v>
      </c>
      <c r="AS72" s="163">
        <f t="shared" si="11"/>
        <v>45.019197207678879</v>
      </c>
    </row>
    <row r="73" spans="2:45" ht="14.85" customHeight="1" thickBot="1" x14ac:dyDescent="0.3">
      <c r="B73" s="148"/>
      <c r="C73" s="1703"/>
      <c r="D73" s="1706"/>
      <c r="E73" s="195">
        <v>165</v>
      </c>
      <c r="F73" s="196">
        <v>135</v>
      </c>
      <c r="G73" s="196">
        <v>165</v>
      </c>
      <c r="H73" s="196">
        <v>200</v>
      </c>
      <c r="I73" s="197">
        <v>300</v>
      </c>
      <c r="J73" s="149"/>
      <c r="K73" s="143"/>
      <c r="L73" s="150">
        <f t="shared" si="12"/>
        <v>5</v>
      </c>
      <c r="M73" s="344" t="s">
        <v>249</v>
      </c>
      <c r="N73" s="1" t="s">
        <v>235</v>
      </c>
      <c r="P73" s="1666">
        <v>120</v>
      </c>
      <c r="Q73" s="188" t="s">
        <v>1289</v>
      </c>
      <c r="R73" s="1074"/>
      <c r="S73" s="351"/>
      <c r="T73" s="1065"/>
      <c r="U73" s="352"/>
      <c r="V73" s="345">
        <f>'A2'!$G$72</f>
        <v>45.019197207678879</v>
      </c>
      <c r="W73" s="346" t="s">
        <v>80</v>
      </c>
      <c r="X73" s="347">
        <v>40</v>
      </c>
      <c r="Y73" s="348">
        <f t="shared" si="13"/>
        <v>64.152356020942406</v>
      </c>
      <c r="Z73" s="1067">
        <v>2080</v>
      </c>
      <c r="AA73" s="151"/>
      <c r="AR73" s="173">
        <f t="shared" si="10"/>
        <v>1</v>
      </c>
      <c r="AS73" s="163">
        <f t="shared" si="11"/>
        <v>25.94099774585996</v>
      </c>
    </row>
    <row r="74" spans="2:45" ht="14.45" customHeight="1" x14ac:dyDescent="0.25">
      <c r="B74" s="148"/>
      <c r="C74" s="1688" t="s">
        <v>118</v>
      </c>
      <c r="D74" s="302" t="s">
        <v>90</v>
      </c>
      <c r="E74" s="275">
        <v>0.02</v>
      </c>
      <c r="F74" s="275">
        <v>0.02</v>
      </c>
      <c r="G74" s="275">
        <v>0.02</v>
      </c>
      <c r="H74" s="275">
        <v>0.02</v>
      </c>
      <c r="I74" s="276">
        <v>0.02</v>
      </c>
      <c r="J74" s="149"/>
      <c r="K74" s="143"/>
      <c r="L74" s="150">
        <f t="shared" si="12"/>
        <v>6</v>
      </c>
      <c r="M74" s="344" t="s">
        <v>103</v>
      </c>
      <c r="N74" s="1" t="s">
        <v>236</v>
      </c>
      <c r="P74" s="1666">
        <v>48</v>
      </c>
      <c r="Q74" s="188" t="s">
        <v>1289</v>
      </c>
      <c r="R74" s="1073">
        <v>20</v>
      </c>
      <c r="S74" s="188" t="s">
        <v>299</v>
      </c>
      <c r="T74" s="1668">
        <v>0.2</v>
      </c>
      <c r="U74" s="151" t="s">
        <v>1288</v>
      </c>
      <c r="V74" s="345">
        <f>'A2'!$H$72</f>
        <v>25.94099774585996</v>
      </c>
      <c r="W74" s="346" t="s">
        <v>80</v>
      </c>
      <c r="X74" s="347">
        <v>29</v>
      </c>
      <c r="Y74" s="348">
        <f t="shared" si="13"/>
        <v>36.965921787850441</v>
      </c>
      <c r="Z74" s="1067">
        <v>2080</v>
      </c>
      <c r="AA74" s="151"/>
      <c r="AR74" s="173">
        <f t="shared" si="10"/>
        <v>1</v>
      </c>
      <c r="AS74" s="163">
        <f t="shared" si="11"/>
        <v>44.704866716111866</v>
      </c>
    </row>
    <row r="75" spans="2:45" ht="15.75" x14ac:dyDescent="0.25">
      <c r="B75" s="148"/>
      <c r="C75" s="1689"/>
      <c r="D75" s="302" t="s">
        <v>91</v>
      </c>
      <c r="E75" s="275">
        <v>0.02</v>
      </c>
      <c r="F75" s="275">
        <v>0.02</v>
      </c>
      <c r="G75" s="275">
        <v>0.02</v>
      </c>
      <c r="H75" s="275">
        <v>0.02</v>
      </c>
      <c r="I75" s="276">
        <v>0.02</v>
      </c>
      <c r="J75" s="149"/>
      <c r="K75" s="143"/>
      <c r="L75" s="150">
        <f t="shared" si="12"/>
        <v>7</v>
      </c>
      <c r="M75" s="344" t="s">
        <v>103</v>
      </c>
      <c r="N75" s="1" t="s">
        <v>237</v>
      </c>
      <c r="P75" s="1666">
        <v>110</v>
      </c>
      <c r="Q75" s="188" t="s">
        <v>287</v>
      </c>
      <c r="R75" s="1073">
        <v>110</v>
      </c>
      <c r="S75" s="188" t="s">
        <v>287</v>
      </c>
      <c r="T75" s="350"/>
      <c r="U75" s="352"/>
      <c r="V75" s="345">
        <f>'A2'!$I$72</f>
        <v>44.704866716111866</v>
      </c>
      <c r="W75" s="346" t="s">
        <v>80</v>
      </c>
      <c r="X75" s="347">
        <v>42</v>
      </c>
      <c r="Y75" s="348">
        <f t="shared" si="13"/>
        <v>63.704435070459411</v>
      </c>
      <c r="Z75" s="1067">
        <v>2080</v>
      </c>
      <c r="AA75" s="151"/>
      <c r="AR75" s="173">
        <f t="shared" si="10"/>
        <v>1</v>
      </c>
      <c r="AS75" s="163">
        <f t="shared" si="11"/>
        <v>43.41810080696937</v>
      </c>
    </row>
    <row r="76" spans="2:45" ht="15.75" x14ac:dyDescent="0.25">
      <c r="B76" s="148"/>
      <c r="C76" s="1689"/>
      <c r="D76" s="302" t="s">
        <v>92</v>
      </c>
      <c r="E76" s="275">
        <v>0.02</v>
      </c>
      <c r="F76" s="275">
        <v>0.02</v>
      </c>
      <c r="G76" s="275">
        <v>0.02</v>
      </c>
      <c r="H76" s="275">
        <v>0.02</v>
      </c>
      <c r="I76" s="276">
        <v>0.02</v>
      </c>
      <c r="J76" s="149"/>
      <c r="K76" s="143"/>
      <c r="L76" s="150">
        <f t="shared" si="12"/>
        <v>8</v>
      </c>
      <c r="M76" s="344" t="s">
        <v>103</v>
      </c>
      <c r="N76" s="1" t="s">
        <v>238</v>
      </c>
      <c r="P76" s="1666">
        <v>110</v>
      </c>
      <c r="Q76" s="188" t="s">
        <v>287</v>
      </c>
      <c r="R76" s="1073">
        <v>110</v>
      </c>
      <c r="S76" s="188" t="s">
        <v>287</v>
      </c>
      <c r="T76" s="350"/>
      <c r="U76" s="352"/>
      <c r="V76" s="345">
        <f>'A2'!$J$72</f>
        <v>43.41810080696937</v>
      </c>
      <c r="W76" s="346" t="s">
        <v>80</v>
      </c>
      <c r="X76" s="347">
        <v>36.5</v>
      </c>
      <c r="Y76" s="348">
        <f t="shared" si="13"/>
        <v>61.870793649931358</v>
      </c>
      <c r="Z76" s="1067">
        <v>2080</v>
      </c>
      <c r="AA76" s="151"/>
      <c r="AR76" s="173">
        <f t="shared" si="10"/>
        <v>1</v>
      </c>
      <c r="AS76" s="163">
        <f>CHOOSE(AR76,V77,X77)</f>
        <v>28.315270321348759</v>
      </c>
    </row>
    <row r="77" spans="2:45" ht="16.5" thickBot="1" x14ac:dyDescent="0.3">
      <c r="B77" s="148"/>
      <c r="C77" s="1690"/>
      <c r="D77" s="302" t="s">
        <v>93</v>
      </c>
      <c r="E77" s="279">
        <v>0.02</v>
      </c>
      <c r="F77" s="279">
        <v>0.02</v>
      </c>
      <c r="G77" s="279">
        <v>0.02</v>
      </c>
      <c r="H77" s="279">
        <v>0.02</v>
      </c>
      <c r="I77" s="280">
        <v>0.02</v>
      </c>
      <c r="J77" s="149"/>
      <c r="K77" s="143"/>
      <c r="L77" s="150">
        <f t="shared" si="12"/>
        <v>9</v>
      </c>
      <c r="M77" s="344" t="s">
        <v>249</v>
      </c>
      <c r="N77" s="1" t="s">
        <v>239</v>
      </c>
      <c r="P77" s="1667">
        <v>50</v>
      </c>
      <c r="Q77" s="194" t="s">
        <v>287</v>
      </c>
      <c r="R77" s="1646">
        <v>30</v>
      </c>
      <c r="S77" s="194" t="s">
        <v>287</v>
      </c>
      <c r="T77" s="353"/>
      <c r="U77" s="354"/>
      <c r="V77" s="345">
        <f>'A2'!$K$72</f>
        <v>28.315270321348759</v>
      </c>
      <c r="W77" s="346" t="s">
        <v>80</v>
      </c>
      <c r="X77" s="347">
        <v>25</v>
      </c>
      <c r="Y77" s="348">
        <f>AS76*(1+$O$68)</f>
        <v>40.349260207921986</v>
      </c>
      <c r="Z77" s="1067">
        <v>2080</v>
      </c>
      <c r="AA77" s="151"/>
      <c r="AR77" s="173"/>
      <c r="AS77" s="173"/>
    </row>
    <row r="78" spans="2:45" ht="15.75" thickBot="1" x14ac:dyDescent="0.3">
      <c r="B78" s="355"/>
      <c r="C78" s="356"/>
      <c r="D78" s="356"/>
      <c r="E78" s="356"/>
      <c r="F78" s="356"/>
      <c r="G78" s="356"/>
      <c r="H78" s="356"/>
      <c r="I78" s="356"/>
      <c r="J78" s="357"/>
      <c r="K78" s="143"/>
      <c r="L78" s="256"/>
      <c r="M78" s="257"/>
      <c r="N78" s="257" t="s">
        <v>902</v>
      </c>
      <c r="O78" s="257"/>
      <c r="P78" s="257"/>
      <c r="Q78" s="257"/>
      <c r="R78" s="1101">
        <v>3</v>
      </c>
      <c r="S78" s="257" t="s">
        <v>303</v>
      </c>
      <c r="T78" s="257"/>
      <c r="U78" s="257"/>
      <c r="V78" s="257"/>
      <c r="W78" s="257"/>
      <c r="X78" s="257"/>
      <c r="Y78" s="257"/>
      <c r="Z78" s="1068"/>
      <c r="AA78" s="258"/>
      <c r="AR78" s="173"/>
      <c r="AS78" s="173"/>
    </row>
    <row r="79" spans="2:45" ht="15.75" thickTop="1" x14ac:dyDescent="0.25">
      <c r="AR79" s="173"/>
      <c r="AS79" s="173"/>
    </row>
    <row r="80" spans="2:45" x14ac:dyDescent="0.25">
      <c r="C80" s="170" t="s">
        <v>1128</v>
      </c>
      <c r="D80" s="23"/>
      <c r="E80" s="184"/>
      <c r="N80" s="173"/>
      <c r="O80" s="173"/>
      <c r="P80" s="173"/>
      <c r="Q80" s="173"/>
      <c r="R80" s="173"/>
      <c r="S80" s="173"/>
      <c r="T80" s="173"/>
      <c r="U80" s="173"/>
      <c r="V80" s="173"/>
      <c r="AR80" s="173"/>
      <c r="AS80" s="173"/>
    </row>
    <row r="81" spans="1:31" x14ac:dyDescent="0.25">
      <c r="C81" s="178" t="s">
        <v>1127</v>
      </c>
      <c r="D81" s="46"/>
      <c r="E81" s="1420" t="s">
        <v>1129</v>
      </c>
      <c r="L81" s="4"/>
      <c r="N81" s="1472"/>
      <c r="O81" s="1472"/>
      <c r="P81" s="1472"/>
      <c r="Q81" s="1472"/>
      <c r="R81" s="829"/>
      <c r="S81" s="829"/>
      <c r="T81" s="829"/>
      <c r="U81" s="829"/>
      <c r="V81" s="829"/>
    </row>
    <row r="83" spans="1:31" s="109" customFormat="1" ht="15.75" thickBot="1" x14ac:dyDescent="0.3">
      <c r="A83" s="358"/>
      <c r="B83" s="359" t="s">
        <v>449</v>
      </c>
    </row>
    <row r="84" spans="1:31" ht="15.75" thickBot="1" x14ac:dyDescent="0.3">
      <c r="B84" s="360">
        <f>MATCH(F2,C85:C86,0)</f>
        <v>2</v>
      </c>
      <c r="C84" s="361" t="s">
        <v>132</v>
      </c>
      <c r="D84" s="362"/>
      <c r="E84" s="363" t="s">
        <v>89</v>
      </c>
      <c r="F84" s="364" t="s">
        <v>138</v>
      </c>
      <c r="H84" s="364" t="str">
        <f>H3</f>
        <v>Non-acute Year 1 Patients</v>
      </c>
      <c r="M84" s="364" t="str">
        <f>H4</f>
        <v>Acute Year 1 Treatments</v>
      </c>
      <c r="P84" s="364"/>
      <c r="Q84" s="363" t="s">
        <v>221</v>
      </c>
      <c r="R84" s="1" t="s">
        <v>1025</v>
      </c>
      <c r="T84" s="1" t="s">
        <v>918</v>
      </c>
      <c r="W84" s="1" t="s">
        <v>919</v>
      </c>
    </row>
    <row r="85" spans="1:31" ht="15.75" x14ac:dyDescent="0.3">
      <c r="A85" s="1">
        <v>1</v>
      </c>
      <c r="B85" s="150"/>
      <c r="C85" s="81" t="s">
        <v>1126</v>
      </c>
      <c r="D85" s="151"/>
      <c r="E85" s="365" t="s">
        <v>80</v>
      </c>
      <c r="F85" s="81" t="s">
        <v>63</v>
      </c>
      <c r="G85" s="76">
        <v>0</v>
      </c>
      <c r="H85" s="81" t="s">
        <v>63</v>
      </c>
      <c r="M85" s="81" t="s">
        <v>63</v>
      </c>
      <c r="P85" s="81"/>
      <c r="Q85" s="1" t="s">
        <v>224</v>
      </c>
      <c r="R85" s="1">
        <v>1</v>
      </c>
      <c r="T85" s="1" t="str">
        <f>IF($Q$2=TRUE,N58,"No Partnering")</f>
        <v>No Partnering</v>
      </c>
      <c r="W85" s="1" t="s">
        <v>921</v>
      </c>
    </row>
    <row r="86" spans="1:31" ht="16.5" thickBot="1" x14ac:dyDescent="0.35">
      <c r="A86" s="1">
        <v>2</v>
      </c>
      <c r="B86" s="256"/>
      <c r="C86" s="366" t="s">
        <v>150</v>
      </c>
      <c r="D86" s="258"/>
      <c r="E86" s="365" t="s">
        <v>81</v>
      </c>
      <c r="F86" s="81" t="str">
        <f>TEXT($O$2,"0%") &amp; " More Commercial Mix"</f>
        <v>3% More Commercial Mix</v>
      </c>
      <c r="G86" s="76">
        <f>$O$2</f>
        <v>0.03</v>
      </c>
      <c r="H86" s="81" t="str">
        <f>TEXT($O$3,"0%") &amp; " More Patients Captured"</f>
        <v>20% More Patients Captured</v>
      </c>
      <c r="M86" s="81" t="str">
        <f>TEXT($O$4,"0%") &amp; " More Treatments Performed"</f>
        <v>15% More Treatments Performed</v>
      </c>
      <c r="P86" s="81"/>
      <c r="Q86" s="1" t="s">
        <v>329</v>
      </c>
      <c r="R86" s="1">
        <v>2</v>
      </c>
      <c r="T86" s="1" t="str">
        <f>IF($Q$2=TRUE,N59,"No Partnering")</f>
        <v>No Partnering</v>
      </c>
      <c r="W86" s="1" t="s">
        <v>920</v>
      </c>
    </row>
    <row r="87" spans="1:31" x14ac:dyDescent="0.25">
      <c r="A87" s="1">
        <v>3</v>
      </c>
      <c r="C87" s="1" t="s">
        <v>1126</v>
      </c>
      <c r="F87" s="81" t="str">
        <f>TEXT($O$2,"0%") &amp; " Less Commercial Mix"</f>
        <v>3% Less Commercial Mix</v>
      </c>
      <c r="G87" s="76">
        <f>-$O$2</f>
        <v>-0.03</v>
      </c>
      <c r="H87" s="81" t="str">
        <f>TEXT($O$3,"0%") &amp; " Less Patients Captured"</f>
        <v>20% Less Patients Captured</v>
      </c>
      <c r="M87" s="81" t="str">
        <f>TEXT($O$4,"0%") &amp; " Less Treatments Performed"</f>
        <v>15% Less Treatments Performed</v>
      </c>
      <c r="P87" s="81"/>
      <c r="Q87" s="1" t="s">
        <v>566</v>
      </c>
      <c r="R87" s="1">
        <v>3</v>
      </c>
      <c r="T87" s="1" t="str">
        <f>IF($Q$2=TRUE,N60,"No Partnering")</f>
        <v>No Partnering</v>
      </c>
    </row>
    <row r="88" spans="1:31" x14ac:dyDescent="0.25">
      <c r="A88" s="1">
        <v>4</v>
      </c>
      <c r="C88" s="1" t="s">
        <v>452</v>
      </c>
      <c r="E88" s="173"/>
      <c r="Q88" s="1" t="s">
        <v>1066</v>
      </c>
      <c r="R88" s="1">
        <v>4</v>
      </c>
      <c r="T88" s="1" t="str">
        <f>IF($Q$2=TRUE,N61,"No Partnering")</f>
        <v>No Partnering</v>
      </c>
    </row>
    <row r="89" spans="1:31" x14ac:dyDescent="0.25">
      <c r="A89" s="1">
        <v>5</v>
      </c>
      <c r="R89" s="1">
        <v>5</v>
      </c>
      <c r="T89" s="1" t="str">
        <f>IF($Q$2=TRUE,N62,"No Partnering")</f>
        <v>No Partnering</v>
      </c>
    </row>
    <row r="90" spans="1:31" s="34" customFormat="1" ht="14.25" x14ac:dyDescent="0.2">
      <c r="A90" s="34" t="s">
        <v>432</v>
      </c>
      <c r="C90" s="34" t="str">
        <f>CHOOSE(B84,C87,C88)</f>
        <v>Acquisition of an existing facility</v>
      </c>
      <c r="F90" s="34" t="str">
        <f>CHOOSE($N$2,F85,F86,F87)</f>
        <v>Base Case</v>
      </c>
      <c r="G90" s="1144">
        <f>CHOOSE($N$2,G85,G86,G87)</f>
        <v>0</v>
      </c>
      <c r="S90" s="1144">
        <f>LOOKUP(R2,M58:M62,P58:P62)</f>
        <v>0.25</v>
      </c>
      <c r="T90" s="34" t="str">
        <f>LOOKUP(R2,$A$85:$A$89,T85:T89)</f>
        <v>No Partnering</v>
      </c>
      <c r="AE90" s="1145"/>
    </row>
    <row r="94" spans="1:31" s="109" customFormat="1" x14ac:dyDescent="0.25">
      <c r="B94" s="359" t="s">
        <v>450</v>
      </c>
      <c r="C94" s="367"/>
    </row>
    <row r="95" spans="1:31" x14ac:dyDescent="0.25">
      <c r="E95" s="1" t="s">
        <v>418</v>
      </c>
      <c r="F95" s="1" t="s">
        <v>419</v>
      </c>
      <c r="G95" s="1" t="s">
        <v>595</v>
      </c>
      <c r="I95" s="1" t="s">
        <v>419</v>
      </c>
    </row>
    <row r="96" spans="1:31" x14ac:dyDescent="0.25">
      <c r="B96" s="1">
        <v>1</v>
      </c>
      <c r="C96" s="1" t="str">
        <f>"Month " &amp; B96</f>
        <v>Month 1</v>
      </c>
      <c r="D96" s="1" t="s">
        <v>434</v>
      </c>
      <c r="E96" s="80">
        <f t="array" ref="E96:E107">TRANSPOSE(ApndxB4!$G$29:$R$29)</f>
        <v>-4.9860529075050053</v>
      </c>
      <c r="F96" s="80">
        <f>ROUND(I96,0)</f>
        <v>635</v>
      </c>
      <c r="G96" s="173">
        <f>IF(F96&lt;0,1,0)</f>
        <v>0</v>
      </c>
      <c r="H96" s="80">
        <f t="array" ref="H96:H107">TRANSPOSE(ApndxB1!$G$32:$R$32)</f>
        <v>28.965307989100712</v>
      </c>
      <c r="I96" s="80">
        <f t="array" ref="I96:I107">TRANSPOSE(ApndxB4!$G$30:$R$30)</f>
        <v>634.8340132581144</v>
      </c>
      <c r="Q96" s="106" t="s">
        <v>448</v>
      </c>
    </row>
    <row r="97" spans="2:26" ht="15.75" thickBot="1" x14ac:dyDescent="0.3">
      <c r="B97" s="1">
        <f>B96+1</f>
        <v>2</v>
      </c>
      <c r="C97" s="1" t="str">
        <f t="shared" ref="C97:C107" si="14">"Month " &amp; B97</f>
        <v>Month 2</v>
      </c>
      <c r="D97" s="1" t="s">
        <v>435</v>
      </c>
      <c r="E97" s="80">
        <v>5.1347665242842382</v>
      </c>
      <c r="F97" s="80">
        <f t="shared" ref="F97:F114" si="15">ROUND(I97,0)</f>
        <v>640</v>
      </c>
      <c r="G97" s="173">
        <f t="shared" ref="G97:G114" si="16">IF(F97&lt;0,1,0)</f>
        <v>0</v>
      </c>
      <c r="H97" s="80">
        <v>29.012720429634495</v>
      </c>
      <c r="I97" s="80">
        <v>639.96877978239866</v>
      </c>
      <c r="Q97" s="170"/>
      <c r="R97" s="23"/>
      <c r="S97" s="1260" t="s">
        <v>968</v>
      </c>
      <c r="T97" s="1260" t="s">
        <v>969</v>
      </c>
      <c r="U97" s="23"/>
      <c r="V97" s="23"/>
      <c r="W97" s="23"/>
      <c r="X97" s="23"/>
      <c r="Y97" s="23"/>
      <c r="Z97" s="184"/>
    </row>
    <row r="98" spans="2:26" x14ac:dyDescent="0.25">
      <c r="B98" s="1">
        <f t="shared" ref="B98:B114" si="17">B97+1</f>
        <v>3</v>
      </c>
      <c r="C98" s="1" t="str">
        <f t="shared" si="14"/>
        <v>Month 3</v>
      </c>
      <c r="D98" s="1" t="s">
        <v>436</v>
      </c>
      <c r="E98" s="80">
        <v>-73.000299601058614</v>
      </c>
      <c r="F98" s="80">
        <f t="shared" si="15"/>
        <v>567</v>
      </c>
      <c r="G98" s="173">
        <f t="shared" si="16"/>
        <v>0</v>
      </c>
      <c r="H98" s="80">
        <v>29.107700526694813</v>
      </c>
      <c r="I98" s="80">
        <v>566.96848018134006</v>
      </c>
      <c r="Q98" s="172"/>
      <c r="S98" s="1" t="s">
        <v>522</v>
      </c>
      <c r="T98" s="165" t="s">
        <v>886</v>
      </c>
      <c r="U98" s="165" t="s">
        <v>972</v>
      </c>
      <c r="V98" s="165" t="s">
        <v>974</v>
      </c>
      <c r="W98" s="165" t="s">
        <v>971</v>
      </c>
      <c r="Z98" s="188"/>
    </row>
    <row r="99" spans="2:26" x14ac:dyDescent="0.25">
      <c r="B99" s="1">
        <f t="shared" si="17"/>
        <v>4</v>
      </c>
      <c r="C99" s="1" t="str">
        <f t="shared" si="14"/>
        <v>Month 4</v>
      </c>
      <c r="D99" s="1" t="s">
        <v>437</v>
      </c>
      <c r="E99" s="80">
        <v>5.619627671829253</v>
      </c>
      <c r="F99" s="80">
        <f t="shared" si="15"/>
        <v>573</v>
      </c>
      <c r="G99" s="173">
        <f t="shared" si="16"/>
        <v>0</v>
      </c>
      <c r="H99" s="80">
        <v>29.202991563877386</v>
      </c>
      <c r="I99" s="80">
        <v>572.58810785316928</v>
      </c>
      <c r="Q99" s="172"/>
      <c r="S99" s="1261">
        <f>U48/1000</f>
        <v>0.68631464635768225</v>
      </c>
      <c r="T99" s="1261">
        <f>U49/1000</f>
        <v>0</v>
      </c>
      <c r="U99" s="286">
        <f>S99+T99</f>
        <v>0.68631464635768225</v>
      </c>
      <c r="V99" s="1262">
        <f>U51/1000</f>
        <v>0</v>
      </c>
      <c r="W99" s="1262">
        <f>U99+V99</f>
        <v>0.68631464635768225</v>
      </c>
      <c r="Y99" s="368"/>
      <c r="Z99" s="369"/>
    </row>
    <row r="100" spans="2:26" ht="15.75" thickBot="1" x14ac:dyDescent="0.3">
      <c r="B100" s="1">
        <f t="shared" si="17"/>
        <v>5</v>
      </c>
      <c r="C100" s="1" t="str">
        <f t="shared" si="14"/>
        <v>Month 5</v>
      </c>
      <c r="D100" s="1" t="s">
        <v>438</v>
      </c>
      <c r="E100" s="80">
        <v>5.8632493760155491</v>
      </c>
      <c r="F100" s="80">
        <f t="shared" si="15"/>
        <v>578</v>
      </c>
      <c r="G100" s="173">
        <f t="shared" si="16"/>
        <v>0</v>
      </c>
      <c r="H100" s="80">
        <v>29.298594559119262</v>
      </c>
      <c r="I100" s="80">
        <v>578.45135722918485</v>
      </c>
      <c r="Q100" s="172"/>
      <c r="Z100" s="188"/>
    </row>
    <row r="101" spans="2:26" x14ac:dyDescent="0.25">
      <c r="B101" s="1">
        <f t="shared" si="17"/>
        <v>6</v>
      </c>
      <c r="C101" s="1" t="str">
        <f t="shared" si="14"/>
        <v>Month 6</v>
      </c>
      <c r="D101" s="1" t="s">
        <v>439</v>
      </c>
      <c r="E101" s="80">
        <v>-72.269431886034994</v>
      </c>
      <c r="F101" s="80">
        <f t="shared" si="15"/>
        <v>506</v>
      </c>
      <c r="G101" s="173">
        <f t="shared" si="16"/>
        <v>0</v>
      </c>
      <c r="H101" s="80">
        <v>29.394510533689967</v>
      </c>
      <c r="I101" s="80">
        <v>506.18192534314983</v>
      </c>
      <c r="Q101" s="172"/>
      <c r="R101" s="370" t="s">
        <v>409</v>
      </c>
      <c r="S101" s="165" t="str">
        <f>S98</f>
        <v>SH Equity Value</v>
      </c>
      <c r="T101" s="165" t="str">
        <f>T98</f>
        <v>Synergies</v>
      </c>
      <c r="U101" s="165" t="str">
        <f>U98</f>
        <v>Total Value to SH</v>
      </c>
      <c r="V101" s="165" t="str">
        <f>V98</f>
        <v>Partner Equity Value</v>
      </c>
      <c r="W101" s="165" t="str">
        <f>W98</f>
        <v>Total Equity Value</v>
      </c>
      <c r="Z101" s="188"/>
    </row>
    <row r="102" spans="2:26" x14ac:dyDescent="0.25">
      <c r="B102" s="1">
        <f t="shared" si="17"/>
        <v>7</v>
      </c>
      <c r="C102" s="1" t="str">
        <f t="shared" si="14"/>
        <v>Month 7</v>
      </c>
      <c r="D102" s="1" t="s">
        <v>440</v>
      </c>
      <c r="E102" s="80">
        <v>6.3528880575671565</v>
      </c>
      <c r="F102" s="80">
        <f t="shared" si="15"/>
        <v>513</v>
      </c>
      <c r="G102" s="173">
        <f t="shared" si="16"/>
        <v>0</v>
      </c>
      <c r="H102" s="80">
        <v>29.490740512202379</v>
      </c>
      <c r="I102" s="80">
        <v>512.53481340071698</v>
      </c>
      <c r="Q102" s="172"/>
      <c r="R102" s="150" t="s">
        <v>401</v>
      </c>
      <c r="S102" s="829">
        <v>0</v>
      </c>
      <c r="T102" s="829" t="e">
        <f>IF(T115&lt;=2,SUM($S99:S99),IF(T115=3,T117,IF(T115=4,T121,0)))</f>
        <v>#N/A</v>
      </c>
      <c r="U102" s="829">
        <v>0</v>
      </c>
      <c r="V102" s="829">
        <f>X115</f>
        <v>0</v>
      </c>
      <c r="W102" s="1284">
        <v>0</v>
      </c>
      <c r="Z102" s="188"/>
    </row>
    <row r="103" spans="2:26" x14ac:dyDescent="0.25">
      <c r="B103" s="1">
        <f t="shared" si="17"/>
        <v>8</v>
      </c>
      <c r="C103" s="1" t="str">
        <f t="shared" si="14"/>
        <v>Month 8</v>
      </c>
      <c r="D103" s="1" t="s">
        <v>441</v>
      </c>
      <c r="E103" s="80">
        <v>6.5989102654489713</v>
      </c>
      <c r="F103" s="80">
        <f t="shared" si="15"/>
        <v>519</v>
      </c>
      <c r="G103" s="173">
        <f t="shared" si="16"/>
        <v>0</v>
      </c>
      <c r="H103" s="80">
        <v>29.587285522623674</v>
      </c>
      <c r="I103" s="80">
        <v>519.13372366616591</v>
      </c>
      <c r="Q103" s="172"/>
      <c r="R103" s="374" t="s">
        <v>407</v>
      </c>
      <c r="S103" s="1285">
        <f>S99</f>
        <v>0.68631464635768225</v>
      </c>
      <c r="T103" s="1285" t="e">
        <f>IF(T115&lt;=2,T99,IF(T115=3,T118,IF(T115=4,T122,0)))</f>
        <v>#N/A</v>
      </c>
      <c r="U103" s="1285">
        <f>S99+T99</f>
        <v>0.68631464635768225</v>
      </c>
      <c r="V103" s="1285">
        <f>Y115</f>
        <v>0</v>
      </c>
      <c r="W103" s="1286">
        <f>W99</f>
        <v>0.68631464635768225</v>
      </c>
      <c r="Z103" s="188"/>
    </row>
    <row r="104" spans="2:26" x14ac:dyDescent="0.25">
      <c r="B104" s="1">
        <f t="shared" si="17"/>
        <v>9</v>
      </c>
      <c r="C104" s="1" t="str">
        <f t="shared" si="14"/>
        <v>Month 9</v>
      </c>
      <c r="D104" s="1" t="s">
        <v>442</v>
      </c>
      <c r="E104" s="80">
        <v>-71.531362634281621</v>
      </c>
      <c r="F104" s="80">
        <f t="shared" si="15"/>
        <v>448</v>
      </c>
      <c r="G104" s="173">
        <f t="shared" si="16"/>
        <v>0</v>
      </c>
      <c r="H104" s="80">
        <v>29.684146596286368</v>
      </c>
      <c r="I104" s="80">
        <v>447.6023610318843</v>
      </c>
      <c r="Q104" s="172"/>
      <c r="R104" s="150" t="s">
        <v>408</v>
      </c>
      <c r="S104" s="829">
        <v>0</v>
      </c>
      <c r="T104" s="829" t="e">
        <f>IF(T115&lt;=2,0,IF(T115=3,T119,IF(T115=4,T123,0)))</f>
        <v>#N/A</v>
      </c>
      <c r="U104" s="829"/>
      <c r="V104" s="829">
        <f>Z115</f>
        <v>0</v>
      </c>
      <c r="W104" s="1284">
        <v>0</v>
      </c>
      <c r="Z104" s="188"/>
    </row>
    <row r="105" spans="2:26" x14ac:dyDescent="0.25">
      <c r="B105" s="1">
        <f t="shared" si="17"/>
        <v>10</v>
      </c>
      <c r="C105" s="1" t="str">
        <f t="shared" si="14"/>
        <v>Month 10</v>
      </c>
      <c r="D105" s="1" t="s">
        <v>443</v>
      </c>
      <c r="E105" s="80">
        <v>7.0933735559919455</v>
      </c>
      <c r="F105" s="80">
        <f t="shared" si="15"/>
        <v>455</v>
      </c>
      <c r="G105" s="173">
        <f t="shared" si="16"/>
        <v>0</v>
      </c>
      <c r="H105" s="80">
        <v>29.781324767899253</v>
      </c>
      <c r="I105" s="80">
        <v>454.69573458787625</v>
      </c>
      <c r="Q105" s="172"/>
      <c r="R105" s="150" t="s">
        <v>404</v>
      </c>
      <c r="S105" s="368">
        <f>S99</f>
        <v>0.68631464635768225</v>
      </c>
      <c r="T105" s="368">
        <f>S105</f>
        <v>0.68631464635768225</v>
      </c>
      <c r="U105" s="368"/>
      <c r="V105" s="368">
        <f>U105</f>
        <v>0</v>
      </c>
      <c r="W105" s="151"/>
      <c r="Z105" s="188"/>
    </row>
    <row r="106" spans="2:26" x14ac:dyDescent="0.25">
      <c r="B106" s="1">
        <f t="shared" si="17"/>
        <v>11</v>
      </c>
      <c r="C106" s="1" t="str">
        <f t="shared" si="14"/>
        <v>Month 11</v>
      </c>
      <c r="D106" s="1" t="s">
        <v>444</v>
      </c>
      <c r="E106" s="80">
        <v>7.3418199207081969</v>
      </c>
      <c r="F106" s="80">
        <f t="shared" si="15"/>
        <v>462</v>
      </c>
      <c r="G106" s="173">
        <f t="shared" si="16"/>
        <v>0</v>
      </c>
      <c r="H106" s="80">
        <v>29.87882107555852</v>
      </c>
      <c r="I106" s="80">
        <v>462.03755450858444</v>
      </c>
      <c r="Q106" s="172"/>
      <c r="R106" s="150" t="s">
        <v>405</v>
      </c>
      <c r="T106" s="80"/>
      <c r="U106" s="80"/>
      <c r="V106" s="80">
        <f>W106</f>
        <v>0.68631464635768225</v>
      </c>
      <c r="W106" s="375">
        <f>W99</f>
        <v>0.68631464635768225</v>
      </c>
      <c r="Z106" s="188"/>
    </row>
    <row r="107" spans="2:26" ht="15.75" thickBot="1" x14ac:dyDescent="0.3">
      <c r="B107" s="1">
        <f t="shared" si="17"/>
        <v>12</v>
      </c>
      <c r="C107" s="1" t="str">
        <f t="shared" si="14"/>
        <v>Month 12</v>
      </c>
      <c r="D107" s="1" t="s">
        <v>445</v>
      </c>
      <c r="E107" s="80">
        <v>-70.786020886129393</v>
      </c>
      <c r="F107" s="80">
        <f t="shared" si="15"/>
        <v>391</v>
      </c>
      <c r="G107" s="173">
        <f t="shared" si="16"/>
        <v>0</v>
      </c>
      <c r="H107" s="80">
        <v>29.976636560758774</v>
      </c>
      <c r="I107" s="80">
        <v>391.25153362245504</v>
      </c>
      <c r="Q107" s="172"/>
      <c r="R107" s="256" t="s">
        <v>406</v>
      </c>
      <c r="S107" s="257"/>
      <c r="T107" s="376">
        <f>S99+T99</f>
        <v>0.68631464635768225</v>
      </c>
      <c r="U107" s="376">
        <f>T107</f>
        <v>0.68631464635768225</v>
      </c>
      <c r="V107" s="376">
        <f>U107</f>
        <v>0.68631464635768225</v>
      </c>
      <c r="W107" s="258"/>
      <c r="Z107" s="188"/>
    </row>
    <row r="108" spans="2:26" x14ac:dyDescent="0.25">
      <c r="B108" s="1">
        <f t="shared" si="17"/>
        <v>13</v>
      </c>
      <c r="C108" s="1" t="s">
        <v>596</v>
      </c>
      <c r="D108" s="1" t="s">
        <v>24</v>
      </c>
      <c r="E108" s="80">
        <f t="array" ref="E108:E111">TRANSPOSE(ApndxB4!$X$29:$AA$29)</f>
        <v>-179.82042900959499</v>
      </c>
      <c r="F108" s="80">
        <f t="shared" si="15"/>
        <v>211</v>
      </c>
      <c r="G108" s="173">
        <f t="shared" si="16"/>
        <v>0</v>
      </c>
      <c r="I108" s="80">
        <f t="array" ref="I108:I111">TRANSPOSE(ApndxB4!$X$30:$AA$30)</f>
        <v>211.43110461286028</v>
      </c>
      <c r="Q108" s="172"/>
      <c r="R108" s="150" t="s">
        <v>519</v>
      </c>
      <c r="U108" s="368">
        <f>SUM(S99:U99)</f>
        <v>1.3726292927153645</v>
      </c>
      <c r="Z108" s="188"/>
    </row>
    <row r="109" spans="2:26" x14ac:dyDescent="0.25">
      <c r="B109" s="1">
        <f t="shared" si="17"/>
        <v>14</v>
      </c>
      <c r="C109" s="1" t="s">
        <v>597</v>
      </c>
      <c r="D109" s="1" t="s">
        <v>25</v>
      </c>
      <c r="E109" s="80">
        <v>76.704415917880794</v>
      </c>
      <c r="F109" s="80">
        <f t="shared" si="15"/>
        <v>288</v>
      </c>
      <c r="G109" s="173">
        <f t="shared" si="16"/>
        <v>0</v>
      </c>
      <c r="I109" s="80">
        <v>288.13552053074108</v>
      </c>
      <c r="Q109" s="172"/>
      <c r="X109" s="170" t="s">
        <v>973</v>
      </c>
      <c r="Y109" s="23"/>
      <c r="Z109" s="184"/>
    </row>
    <row r="110" spans="2:26" x14ac:dyDescent="0.25">
      <c r="B110" s="1">
        <f t="shared" si="17"/>
        <v>15</v>
      </c>
      <c r="C110" s="1" t="s">
        <v>598</v>
      </c>
      <c r="D110" s="1" t="s">
        <v>26</v>
      </c>
      <c r="E110" s="80">
        <v>78.228521898331081</v>
      </c>
      <c r="F110" s="80">
        <f t="shared" si="15"/>
        <v>366</v>
      </c>
      <c r="G110" s="173">
        <f t="shared" si="16"/>
        <v>0</v>
      </c>
      <c r="I110" s="80">
        <v>366.36404242907213</v>
      </c>
      <c r="Q110" s="172"/>
      <c r="R110" s="1" t="s">
        <v>970</v>
      </c>
      <c r="S110" s="1">
        <v>0</v>
      </c>
      <c r="T110" s="368">
        <f>S99</f>
        <v>0.68631464635768225</v>
      </c>
      <c r="U110" s="368">
        <f>T99+S99</f>
        <v>0.68631464635768225</v>
      </c>
      <c r="V110" s="368">
        <f>U110</f>
        <v>0.68631464635768225</v>
      </c>
      <c r="W110" s="368">
        <f>V99+V110</f>
        <v>0.68631464635768225</v>
      </c>
      <c r="X110" s="172" t="str">
        <f>R102</f>
        <v>1st box</v>
      </c>
      <c r="Y110" s="1" t="str">
        <f>R103</f>
        <v>2nd box</v>
      </c>
      <c r="Z110" s="188" t="str">
        <f>R104</f>
        <v>3rd box</v>
      </c>
    </row>
    <row r="111" spans="2:26" x14ac:dyDescent="0.25">
      <c r="B111" s="1">
        <f t="shared" si="17"/>
        <v>16</v>
      </c>
      <c r="C111" s="1" t="s">
        <v>599</v>
      </c>
      <c r="D111" s="1" t="s">
        <v>27</v>
      </c>
      <c r="E111" s="80">
        <v>79.751883450933306</v>
      </c>
      <c r="F111" s="80">
        <f t="shared" si="15"/>
        <v>446</v>
      </c>
      <c r="G111" s="173">
        <f t="shared" si="16"/>
        <v>0</v>
      </c>
      <c r="I111" s="80">
        <v>446.11592588000542</v>
      </c>
      <c r="Q111" s="172">
        <v>1</v>
      </c>
      <c r="R111" s="1" t="s">
        <v>397</v>
      </c>
      <c r="S111" s="173">
        <f>IF(S99&lt;0,1,0)</f>
        <v>0</v>
      </c>
      <c r="T111" s="173">
        <f>IF(AND(S$99&gt;0,T$99&gt;0),1,0)</f>
        <v>0</v>
      </c>
      <c r="U111" s="173">
        <f>IF(AND(T$99&gt;0,U$99&gt;0),1,0)</f>
        <v>0</v>
      </c>
      <c r="V111" s="173">
        <f>IF(AND(V$110&gt;0,V$99&gt;0),1,0)</f>
        <v>0</v>
      </c>
      <c r="W111" s="173">
        <f>IF(W99&lt;0,1,0)</f>
        <v>0</v>
      </c>
      <c r="X111" s="1302">
        <f>V$110</f>
        <v>0.68631464635768225</v>
      </c>
      <c r="Y111" s="829">
        <f>IF(V111=1,$V$99,0)</f>
        <v>0</v>
      </c>
      <c r="Z111" s="188"/>
    </row>
    <row r="112" spans="2:26" x14ac:dyDescent="0.25">
      <c r="B112" s="1">
        <f t="shared" si="17"/>
        <v>17</v>
      </c>
      <c r="C112" s="1" t="s">
        <v>91</v>
      </c>
      <c r="D112" s="1" t="s">
        <v>429</v>
      </c>
      <c r="E112" s="80">
        <f t="array" ref="E112:E114">TRANSPOSE(ApndxB4!$AE$29:$AG$29)</f>
        <v>-7.7002825780107855</v>
      </c>
      <c r="F112" s="80">
        <f t="shared" si="15"/>
        <v>438</v>
      </c>
      <c r="G112" s="173">
        <f t="shared" si="16"/>
        <v>0</v>
      </c>
      <c r="I112" s="80">
        <f t="array" ref="I112:I114">TRANSPOSE(ApndxB4!$AE$30:$AG$30)</f>
        <v>438.41564330199412</v>
      </c>
      <c r="Q112" s="172">
        <v>2</v>
      </c>
      <c r="R112" s="1" t="s">
        <v>398</v>
      </c>
      <c r="S112" s="173">
        <f>IF(S99&gt;0,1,0)</f>
        <v>1</v>
      </c>
      <c r="T112" s="173">
        <f>IF(AND(S$99&lt;0,T$99&lt;0),1,0)</f>
        <v>0</v>
      </c>
      <c r="U112" s="173">
        <f>IF(AND(T$99&lt;0,U$99&lt;0),1,0)</f>
        <v>0</v>
      </c>
      <c r="V112" s="173">
        <f>IF(AND(V$110&lt;0,V$99&lt;0),1,0)</f>
        <v>0</v>
      </c>
      <c r="W112" s="173">
        <f>IF(W99&gt;0,1,0)</f>
        <v>1</v>
      </c>
      <c r="X112" s="1302">
        <f>V$110</f>
        <v>0.68631464635768225</v>
      </c>
      <c r="Y112" s="829">
        <f>$V$99</f>
        <v>0</v>
      </c>
      <c r="Z112" s="188"/>
    </row>
    <row r="113" spans="2:26" x14ac:dyDescent="0.25">
      <c r="B113" s="1">
        <f t="shared" si="17"/>
        <v>18</v>
      </c>
      <c r="C113" s="1" t="s">
        <v>92</v>
      </c>
      <c r="D113" s="1" t="s">
        <v>430</v>
      </c>
      <c r="E113" s="80">
        <v>25.694651489308399</v>
      </c>
      <c r="F113" s="80">
        <f t="shared" si="15"/>
        <v>464</v>
      </c>
      <c r="G113" s="173">
        <f t="shared" si="16"/>
        <v>0</v>
      </c>
      <c r="I113" s="80">
        <v>464.11029479130252</v>
      </c>
      <c r="Q113" s="172">
        <v>3</v>
      </c>
      <c r="R113" s="1" t="s">
        <v>399</v>
      </c>
      <c r="S113" s="173"/>
      <c r="T113" s="173">
        <f>IF(AND(S$99&gt;0,T$99&lt;0),1,0)</f>
        <v>0</v>
      </c>
      <c r="U113" s="173">
        <f>IF(AND(T$99&gt;0,U$99&lt;0),1,0)</f>
        <v>0</v>
      </c>
      <c r="V113" s="173">
        <f>IF(AND(V$110&gt;0,V$99&lt;0),1,0)</f>
        <v>0</v>
      </c>
      <c r="W113" s="173"/>
      <c r="X113" s="1302">
        <f>IF(V$110+V$99&gt;0,V$99+V$110,0)</f>
        <v>0.68631464635768225</v>
      </c>
      <c r="Y113" s="829">
        <f>IF(V$110+V$99&gt;0,-V$99,V$110)</f>
        <v>0</v>
      </c>
      <c r="Z113" s="1305">
        <f>IF(V$110+V$99&gt;0,0,V$110+V$99)</f>
        <v>0</v>
      </c>
    </row>
    <row r="114" spans="2:26" x14ac:dyDescent="0.25">
      <c r="B114" s="1">
        <f t="shared" si="17"/>
        <v>19</v>
      </c>
      <c r="C114" s="1" t="s">
        <v>93</v>
      </c>
      <c r="D114" s="1" t="s">
        <v>431</v>
      </c>
      <c r="E114" s="80">
        <v>27.31432505491955</v>
      </c>
      <c r="F114" s="80">
        <f t="shared" si="15"/>
        <v>491</v>
      </c>
      <c r="G114" s="173">
        <f t="shared" si="16"/>
        <v>0</v>
      </c>
      <c r="I114" s="80">
        <v>491.42461984622207</v>
      </c>
      <c r="Q114" s="172">
        <v>4</v>
      </c>
      <c r="R114" s="1" t="s">
        <v>400</v>
      </c>
      <c r="S114" s="173"/>
      <c r="T114" s="173">
        <f>IF(AND(S$99&lt;0,T$99&gt;0),1,0)</f>
        <v>0</v>
      </c>
      <c r="U114" s="173">
        <f>IF(AND(T$99&lt;0,U$99&gt;0),1,0)</f>
        <v>0</v>
      </c>
      <c r="V114" s="173">
        <f>IF(AND(V$110&lt;0,V$99&gt;0),1,0)</f>
        <v>0</v>
      </c>
      <c r="W114" s="173"/>
      <c r="X114" s="1302">
        <f>IF(V$110+V$99&lt;0,V$99+V$110,0)</f>
        <v>0</v>
      </c>
      <c r="Y114" s="829">
        <f>IF(V$110+V$99&lt;0,-V$99,V$110)</f>
        <v>0.68631464635768225</v>
      </c>
      <c r="Z114" s="1305">
        <f>IF(V$110+V$99&lt;0,0,V$110+V$99)</f>
        <v>0.68631464635768225</v>
      </c>
    </row>
    <row r="115" spans="2:26" x14ac:dyDescent="0.25">
      <c r="Q115" s="172"/>
      <c r="S115" s="173"/>
      <c r="T115" s="377" t="e">
        <f>MATCH(1,T111:T114,0)</f>
        <v>#N/A</v>
      </c>
      <c r="U115" s="377" t="e">
        <f>MATCH(1,U111:U114,0)</f>
        <v>#N/A</v>
      </c>
      <c r="V115" s="377" t="e">
        <f>MATCH(1,V111:V114,0)</f>
        <v>#N/A</v>
      </c>
      <c r="W115" s="173"/>
      <c r="X115" s="1303">
        <f>SUMPRODUCT(X111:X114,$V$111:$V$114)</f>
        <v>0</v>
      </c>
      <c r="Y115" s="1304">
        <f>SUMPRODUCT(Y111:Y114,$V$111:$V$114)</f>
        <v>0</v>
      </c>
      <c r="Z115" s="1305">
        <f>SUMPRODUCT(Z111:Z114,$V$111:$V$114)</f>
        <v>0</v>
      </c>
    </row>
    <row r="116" spans="2:26" x14ac:dyDescent="0.25">
      <c r="C116" s="1">
        <f>MATCH(F116,F96:F114,0)</f>
        <v>13</v>
      </c>
      <c r="D116" s="1" t="s">
        <v>594</v>
      </c>
      <c r="E116" s="1" t="str">
        <f>LOOKUP(C116,B96:B114,C96:C114)</f>
        <v>Y2 Q1</v>
      </c>
      <c r="F116" s="80">
        <f>MIN(F96:F114)</f>
        <v>211</v>
      </c>
      <c r="G116" s="173">
        <f>SUM(G96:G114)</f>
        <v>0</v>
      </c>
      <c r="Q116" s="172"/>
      <c r="S116" s="173"/>
      <c r="T116" s="173"/>
      <c r="U116" s="173"/>
      <c r="V116" s="173"/>
      <c r="W116" s="173"/>
      <c r="Z116" s="188"/>
    </row>
    <row r="117" spans="2:26" x14ac:dyDescent="0.25">
      <c r="Q117" s="172">
        <v>3</v>
      </c>
      <c r="R117" s="1" t="s">
        <v>401</v>
      </c>
      <c r="T117" s="173" t="e">
        <f>IF(AND(T$115=3,S$99+T$99&gt;0),S$99+T$99,0)</f>
        <v>#N/A</v>
      </c>
      <c r="U117" s="173" t="e">
        <f>IF(AND(U$115=3,T$99+U$99&gt;0),T$99+U$99,0)</f>
        <v>#N/A</v>
      </c>
      <c r="V117" s="173" t="e">
        <f>IF(AND(V$115=3,U$99+V$99&gt;0),U$99+V$99,0)</f>
        <v>#N/A</v>
      </c>
      <c r="W117" s="173"/>
      <c r="Z117" s="188"/>
    </row>
    <row r="118" spans="2:26" x14ac:dyDescent="0.25">
      <c r="Q118" s="172"/>
      <c r="R118" s="1" t="s">
        <v>402</v>
      </c>
      <c r="T118" s="173">
        <f>IF(S$99+T$99&gt;0,-T$99,S$99)</f>
        <v>0</v>
      </c>
      <c r="U118" s="173">
        <f>IF(T$99+U$99&gt;0,-U$99,T$99)</f>
        <v>-0.68631464635768225</v>
      </c>
      <c r="V118" s="173">
        <f>IF(U$99+V$99&gt;0,V$99,U$99)</f>
        <v>0</v>
      </c>
      <c r="Z118" s="188"/>
    </row>
    <row r="119" spans="2:26" x14ac:dyDescent="0.25">
      <c r="Q119" s="172"/>
      <c r="R119" s="1" t="s">
        <v>403</v>
      </c>
      <c r="T119" s="371">
        <f>T$99+T$118</f>
        <v>0</v>
      </c>
      <c r="U119" s="371">
        <f>U$99+U$118</f>
        <v>0</v>
      </c>
      <c r="V119" s="371">
        <f>V$99+V$118</f>
        <v>0</v>
      </c>
      <c r="Z119" s="188"/>
    </row>
    <row r="120" spans="2:26" x14ac:dyDescent="0.25">
      <c r="Q120" s="172"/>
      <c r="T120" s="173"/>
      <c r="U120" s="173"/>
      <c r="V120" s="173"/>
      <c r="Z120" s="188"/>
    </row>
    <row r="121" spans="2:26" x14ac:dyDescent="0.25">
      <c r="Q121" s="172">
        <v>4</v>
      </c>
      <c r="R121" s="1" t="s">
        <v>401</v>
      </c>
      <c r="T121" s="173" t="e">
        <f>IF(AND(T$115=4,S$99+T$99&lt;0),S$99+T$99,0)</f>
        <v>#N/A</v>
      </c>
      <c r="U121" s="173" t="e">
        <f>IF(AND(U$115=4,T$99+U$99&lt;0),T$99+U$99,0)</f>
        <v>#N/A</v>
      </c>
      <c r="V121" s="173" t="e">
        <f>IF(AND(V$115=4,U$99+V$99&lt;0),U$99+V$99,0)</f>
        <v>#N/A</v>
      </c>
      <c r="Z121" s="188"/>
    </row>
    <row r="122" spans="2:26" x14ac:dyDescent="0.25">
      <c r="Q122" s="172"/>
      <c r="R122" s="1" t="s">
        <v>402</v>
      </c>
      <c r="T122" s="173">
        <f>IF(S$99+T$99&lt;0,-T$99,S$99)</f>
        <v>0.68631464635768225</v>
      </c>
      <c r="U122" s="173">
        <f>IF(T$99+U$99&lt;0,-U$99,T$99)</f>
        <v>0</v>
      </c>
      <c r="V122" s="173">
        <f>IF(U$99+V$99&lt;0,-V$99,U$99)</f>
        <v>0.68631464635768225</v>
      </c>
      <c r="Z122" s="188"/>
    </row>
    <row r="123" spans="2:26" x14ac:dyDescent="0.25">
      <c r="Q123" s="178"/>
      <c r="R123" s="46" t="s">
        <v>403</v>
      </c>
      <c r="S123" s="46"/>
      <c r="T123" s="277">
        <f>T$99+T$122</f>
        <v>0.68631464635768225</v>
      </c>
      <c r="U123" s="277">
        <f>U$99+U$122</f>
        <v>0.68631464635768225</v>
      </c>
      <c r="V123" s="277">
        <f>V$99+V$122</f>
        <v>0.68631464635768225</v>
      </c>
      <c r="W123" s="46"/>
      <c r="X123" s="46"/>
      <c r="Y123" s="46"/>
      <c r="Z123" s="188"/>
    </row>
    <row r="127" spans="2:26" x14ac:dyDescent="0.25">
      <c r="S127" s="173" t="s">
        <v>427</v>
      </c>
      <c r="T127" s="173" t="s">
        <v>428</v>
      </c>
      <c r="U127" s="173" t="s">
        <v>429</v>
      </c>
      <c r="V127" s="173" t="s">
        <v>430</v>
      </c>
      <c r="W127" s="173" t="s">
        <v>431</v>
      </c>
    </row>
    <row r="128" spans="2:26" x14ac:dyDescent="0.25">
      <c r="R128" s="1" t="s">
        <v>32</v>
      </c>
      <c r="S128" s="789">
        <f>S17/1000</f>
        <v>3.533807806374456</v>
      </c>
      <c r="T128" s="789">
        <f>T17/1000</f>
        <v>3.6936922412977857</v>
      </c>
      <c r="U128" s="789">
        <f>U17/1000</f>
        <v>3.8425480386220867</v>
      </c>
      <c r="V128" s="789">
        <f>V17/1000</f>
        <v>3.9974027245785568</v>
      </c>
      <c r="W128" s="789">
        <f>W17/1000</f>
        <v>4.1584980543790717</v>
      </c>
    </row>
    <row r="129" spans="18:24" x14ac:dyDescent="0.25">
      <c r="R129" s="1" t="s">
        <v>38</v>
      </c>
      <c r="S129" s="789">
        <f>ApndxA1!J46/1000</f>
        <v>0.41379553739481456</v>
      </c>
      <c r="T129" s="789">
        <f>ApndxA1!K46/1000</f>
        <v>0.3797648342577461</v>
      </c>
      <c r="U129" s="789">
        <f>ApndxA1!L46/1000</f>
        <v>0.33522289220613311</v>
      </c>
      <c r="V129" s="789">
        <f>ApndxA1!M46/1000</f>
        <v>0.28452036624813581</v>
      </c>
      <c r="W129" s="789">
        <f>ApndxA1!N46/1000</f>
        <v>0.22710109560929448</v>
      </c>
    </row>
    <row r="130" spans="18:24" x14ac:dyDescent="0.25">
      <c r="R130" s="1" t="s">
        <v>417</v>
      </c>
      <c r="S130" s="789">
        <f>ApndxA1!J42/1000</f>
        <v>0.40107908596624314</v>
      </c>
      <c r="T130" s="789">
        <f>ApndxA1!K42/1000</f>
        <v>0.25604838282917469</v>
      </c>
      <c r="U130" s="789">
        <f>ApndxA1!L42/1000</f>
        <v>0.22173460077756169</v>
      </c>
      <c r="V130" s="789">
        <f>ApndxA1!M42/1000</f>
        <v>0.17103207481956439</v>
      </c>
      <c r="W130" s="789">
        <f>ApndxA1!N42/1000</f>
        <v>0.11361280418072306</v>
      </c>
    </row>
    <row r="132" spans="18:24" x14ac:dyDescent="0.25">
      <c r="R132" s="379" t="str">
        <f>'C12'!C19</f>
        <v>Network Capacity Available (Exceeded)</v>
      </c>
      <c r="S132" s="23"/>
      <c r="T132" s="23"/>
      <c r="U132" s="23"/>
      <c r="V132" s="23"/>
      <c r="W132" s="23"/>
      <c r="X132" s="184"/>
    </row>
    <row r="133" spans="18:24" x14ac:dyDescent="0.25">
      <c r="R133" s="172"/>
      <c r="S133" s="173" t="s">
        <v>427</v>
      </c>
      <c r="T133" s="173" t="s">
        <v>428</v>
      </c>
      <c r="U133" s="173" t="s">
        <v>429</v>
      </c>
      <c r="V133" s="173" t="s">
        <v>430</v>
      </c>
      <c r="W133" s="173" t="s">
        <v>431</v>
      </c>
      <c r="X133" s="188"/>
    </row>
    <row r="134" spans="18:24" x14ac:dyDescent="0.25">
      <c r="R134" s="172" t="s">
        <v>75</v>
      </c>
      <c r="S134" s="13">
        <f>'C12'!H17</f>
        <v>0</v>
      </c>
      <c r="T134" s="13">
        <f>'C12'!I17</f>
        <v>0</v>
      </c>
      <c r="U134" s="13">
        <f>'C12'!J17</f>
        <v>0</v>
      </c>
      <c r="V134" s="13">
        <f>'C12'!K17</f>
        <v>0</v>
      </c>
      <c r="W134" s="13">
        <f>'C12'!L17</f>
        <v>0</v>
      </c>
      <c r="X134" s="188"/>
    </row>
    <row r="135" spans="18:24" x14ac:dyDescent="0.25">
      <c r="R135" s="172" t="s">
        <v>503</v>
      </c>
      <c r="S135" s="13">
        <f>'C12'!H18</f>
        <v>0</v>
      </c>
      <c r="T135" s="13">
        <f>'C12'!I18</f>
        <v>0</v>
      </c>
      <c r="U135" s="13">
        <f>'C12'!J18</f>
        <v>0</v>
      </c>
      <c r="V135" s="13">
        <f>'C12'!K18</f>
        <v>0</v>
      </c>
      <c r="W135" s="13">
        <f>'C12'!L18</f>
        <v>0</v>
      </c>
      <c r="X135" s="188"/>
    </row>
    <row r="136" spans="18:24" x14ac:dyDescent="0.25">
      <c r="R136" s="172" t="s">
        <v>504</v>
      </c>
      <c r="S136" s="13">
        <f>S134</f>
        <v>0</v>
      </c>
      <c r="X136" s="188"/>
    </row>
    <row r="137" spans="18:24" x14ac:dyDescent="0.25">
      <c r="R137" s="172"/>
      <c r="S137" s="1">
        <f>IF(S135&gt;S134,1,0)</f>
        <v>0</v>
      </c>
      <c r="T137" s="1">
        <f>IF(T135&gt;T134,1,0)</f>
        <v>0</v>
      </c>
      <c r="U137" s="1">
        <f>IF(U135&gt;U134,1,0)</f>
        <v>0</v>
      </c>
      <c r="V137" s="1">
        <f>IF(V135&gt;V134,1,0)</f>
        <v>0</v>
      </c>
      <c r="W137" s="1">
        <f>IF(W135&gt;W134,1,0)</f>
        <v>0</v>
      </c>
      <c r="X137" s="188">
        <f>SUM(S137:W137)</f>
        <v>0</v>
      </c>
    </row>
    <row r="138" spans="18:24" x14ac:dyDescent="0.25">
      <c r="R138" s="178"/>
      <c r="S138" s="46"/>
      <c r="T138" s="46"/>
      <c r="U138" s="46"/>
      <c r="V138" s="46"/>
      <c r="W138" s="46"/>
      <c r="X138" s="380"/>
    </row>
    <row r="139" spans="18:24" x14ac:dyDescent="0.25">
      <c r="R139" s="172" t="s">
        <v>76</v>
      </c>
      <c r="S139" s="1">
        <f>'C12'!H24</f>
        <v>0</v>
      </c>
      <c r="T139" s="1">
        <f>'C12'!I24</f>
        <v>0</v>
      </c>
      <c r="U139" s="1">
        <f>'C12'!J24</f>
        <v>0</v>
      </c>
      <c r="V139" s="1">
        <f>'C12'!K24</f>
        <v>0</v>
      </c>
      <c r="W139" s="1">
        <f>'C12'!L24</f>
        <v>0</v>
      </c>
      <c r="X139" s="188"/>
    </row>
    <row r="140" spans="18:24" x14ac:dyDescent="0.25">
      <c r="R140" s="172" t="str">
        <f>R135</f>
        <v>Forecast</v>
      </c>
      <c r="S140" s="13">
        <f>'C12'!H25</f>
        <v>0</v>
      </c>
      <c r="T140" s="13">
        <f>'C12'!I25</f>
        <v>0</v>
      </c>
      <c r="U140" s="13">
        <f>'C12'!J25</f>
        <v>0</v>
      </c>
      <c r="V140" s="13">
        <f>'C12'!K25</f>
        <v>0</v>
      </c>
      <c r="W140" s="13">
        <f>'C12'!L25</f>
        <v>0</v>
      </c>
    </row>
    <row r="141" spans="18:24" x14ac:dyDescent="0.25">
      <c r="R141" s="172" t="str">
        <f>R136</f>
        <v>Capacity</v>
      </c>
      <c r="S141" s="381">
        <f>S139</f>
        <v>0</v>
      </c>
    </row>
    <row r="142" spans="18:24" x14ac:dyDescent="0.25">
      <c r="R142" s="172"/>
      <c r="S142" s="1">
        <f>IF(S140&gt;S139,1,0)</f>
        <v>0</v>
      </c>
      <c r="T142" s="1">
        <f>IF(T140&gt;T139,1,0)</f>
        <v>0</v>
      </c>
      <c r="U142" s="1">
        <f>IF(U140&gt;U139,1,0)</f>
        <v>0</v>
      </c>
      <c r="V142" s="1">
        <f>IF(V140&gt;V139,1,0)</f>
        <v>0</v>
      </c>
      <c r="W142" s="1">
        <f>IF(W140&gt;W139,1,0)</f>
        <v>0</v>
      </c>
      <c r="X142" s="188">
        <f>SUM(S142:W142)</f>
        <v>0</v>
      </c>
    </row>
    <row r="143" spans="18:24" x14ac:dyDescent="0.25">
      <c r="R143" s="172"/>
      <c r="X143" s="188">
        <f>X137+X142</f>
        <v>0</v>
      </c>
    </row>
    <row r="144" spans="18:24" x14ac:dyDescent="0.25">
      <c r="R144" s="172"/>
      <c r="V144" s="1" t="s">
        <v>506</v>
      </c>
      <c r="X144" s="188"/>
    </row>
    <row r="145" spans="18:24" x14ac:dyDescent="0.25">
      <c r="R145" s="172"/>
      <c r="V145" s="1" t="s">
        <v>505</v>
      </c>
      <c r="X145" s="188"/>
    </row>
    <row r="146" spans="18:24" x14ac:dyDescent="0.25">
      <c r="R146" s="178"/>
      <c r="S146" s="46"/>
      <c r="T146" s="46"/>
      <c r="U146" s="46"/>
      <c r="V146" s="46" t="str">
        <f>IF(X143&gt;0,V144,V145)</f>
        <v>Facility Patient Capacity vs. Forecast</v>
      </c>
      <c r="W146" s="46"/>
      <c r="X146" s="380"/>
    </row>
    <row r="149" spans="18:24" x14ac:dyDescent="0.25">
      <c r="S149" s="173" t="s">
        <v>427</v>
      </c>
      <c r="T149" s="173" t="s">
        <v>428</v>
      </c>
      <c r="U149" s="173" t="s">
        <v>429</v>
      </c>
      <c r="V149" s="173" t="s">
        <v>430</v>
      </c>
      <c r="W149" s="173" t="s">
        <v>431</v>
      </c>
    </row>
    <row r="150" spans="18:24" x14ac:dyDescent="0.25">
      <c r="R150" s="1" t="s">
        <v>234</v>
      </c>
      <c r="S150" s="382">
        <f>S8</f>
        <v>59.160381718422364</v>
      </c>
      <c r="T150" s="382">
        <f>T8</f>
        <v>61.224800000000037</v>
      </c>
      <c r="U150" s="382">
        <f>U8</f>
        <v>63.061544000000033</v>
      </c>
      <c r="V150" s="382">
        <f>V8</f>
        <v>64.95339032000004</v>
      </c>
      <c r="W150" s="382">
        <f>W8</f>
        <v>66.901992029600038</v>
      </c>
    </row>
    <row r="151" spans="18:24" x14ac:dyDescent="0.25">
      <c r="R151" s="1" t="s">
        <v>433</v>
      </c>
      <c r="S151" s="36">
        <f>S9/1000</f>
        <v>9.1632354854031028</v>
      </c>
      <c r="T151" s="36">
        <f>T9/1000</f>
        <v>9.4829891838241682</v>
      </c>
      <c r="U151" s="36">
        <f>U9/1000</f>
        <v>9.7674788593388904</v>
      </c>
      <c r="V151" s="36">
        <f>V9/1000</f>
        <v>10.060503225119058</v>
      </c>
      <c r="W151" s="36">
        <f>W9/1000</f>
        <v>10.36231832187263</v>
      </c>
    </row>
    <row r="157" spans="18:24" x14ac:dyDescent="0.25">
      <c r="R157" s="82" t="s">
        <v>528</v>
      </c>
      <c r="S157" s="80">
        <f>S58</f>
        <v>265</v>
      </c>
    </row>
    <row r="158" spans="18:24" x14ac:dyDescent="0.25">
      <c r="R158" s="82" t="s">
        <v>529</v>
      </c>
      <c r="S158" s="80">
        <f>S59</f>
        <v>374.82006616561949</v>
      </c>
    </row>
    <row r="159" spans="18:24" x14ac:dyDescent="0.25">
      <c r="R159" s="82" t="s">
        <v>474</v>
      </c>
      <c r="S159" s="80">
        <f>S60</f>
        <v>0</v>
      </c>
    </row>
    <row r="172" spans="17:18" x14ac:dyDescent="0.25">
      <c r="Q172" s="173"/>
      <c r="R172" s="173"/>
    </row>
    <row r="173" spans="17:18" x14ac:dyDescent="0.25">
      <c r="Q173" s="173"/>
      <c r="R173" s="173"/>
    </row>
    <row r="174" spans="17:18" x14ac:dyDescent="0.25">
      <c r="Q174" s="173"/>
      <c r="R174" s="173"/>
    </row>
    <row r="175" spans="17:18" x14ac:dyDescent="0.25">
      <c r="Q175" s="173"/>
      <c r="R175" s="173"/>
    </row>
  </sheetData>
  <mergeCells count="13">
    <mergeCell ref="Z2:AA2"/>
    <mergeCell ref="C11:C21"/>
    <mergeCell ref="C71:C73"/>
    <mergeCell ref="D71:D73"/>
    <mergeCell ref="Y23:Z23"/>
    <mergeCell ref="Y21:Z21"/>
    <mergeCell ref="Y22:Z22"/>
    <mergeCell ref="C51:C66"/>
    <mergeCell ref="C74:C77"/>
    <mergeCell ref="C25:C43"/>
    <mergeCell ref="C44:C46"/>
    <mergeCell ref="C47:C50"/>
    <mergeCell ref="C22:C24"/>
  </mergeCells>
  <conditionalFormatting sqref="Q8:Q9">
    <cfRule type="expression" dxfId="174" priority="107">
      <formula>$AR9=2</formula>
    </cfRule>
  </conditionalFormatting>
  <conditionalFormatting sqref="X69:X77">
    <cfRule type="expression" dxfId="173" priority="40">
      <formula>$AR68=2</formula>
    </cfRule>
  </conditionalFormatting>
  <conditionalFormatting sqref="Q16:Q19">
    <cfRule type="expression" dxfId="172" priority="39">
      <formula>$AR17=2</formula>
    </cfRule>
  </conditionalFormatting>
  <conditionalFormatting sqref="M58:P62">
    <cfRule type="expression" dxfId="171" priority="114">
      <formula>$Q$2=TRUE</formula>
    </cfRule>
  </conditionalFormatting>
  <conditionalFormatting sqref="Q45:Q48">
    <cfRule type="expression" dxfId="170" priority="115">
      <formula>$N45="Term"</formula>
    </cfRule>
  </conditionalFormatting>
  <conditionalFormatting sqref="P49">
    <cfRule type="expression" dxfId="169" priority="36">
      <formula>$O$49=0</formula>
    </cfRule>
  </conditionalFormatting>
  <conditionalFormatting sqref="V24:AA24">
    <cfRule type="expression" dxfId="168" priority="119">
      <formula>$X$143</formula>
    </cfRule>
  </conditionalFormatting>
  <conditionalFormatting sqref="E73:I73">
    <cfRule type="expression" dxfId="167" priority="121">
      <formula>AG$69=2</formula>
    </cfRule>
  </conditionalFormatting>
  <conditionalFormatting sqref="E71:I72">
    <cfRule type="expression" dxfId="166" priority="122">
      <formula>AG$67=1</formula>
    </cfRule>
  </conditionalFormatting>
  <conditionalFormatting sqref="E74:I77">
    <cfRule type="expression" dxfId="165" priority="123">
      <formula>AG$67=0</formula>
    </cfRule>
  </conditionalFormatting>
  <conditionalFormatting sqref="E44:H45 E55:H60 E11:H16 E26:H34">
    <cfRule type="expression" dxfId="164" priority="124">
      <formula>AG$9=1</formula>
    </cfRule>
  </conditionalFormatting>
  <conditionalFormatting sqref="E47:F50">
    <cfRule type="expression" dxfId="163" priority="125">
      <formula>AG$9=0</formula>
    </cfRule>
  </conditionalFormatting>
  <conditionalFormatting sqref="E53:H54">
    <cfRule type="expression" dxfId="162" priority="127">
      <formula>AG$9=1</formula>
    </cfRule>
  </conditionalFormatting>
  <conditionalFormatting sqref="E17:H21">
    <cfRule type="expression" dxfId="161" priority="129">
      <formula>AM$16=2</formula>
    </cfRule>
  </conditionalFormatting>
  <conditionalFormatting sqref="E35:H42">
    <cfRule type="expression" dxfId="160" priority="130">
      <formula>AM$17=2</formula>
    </cfRule>
  </conditionalFormatting>
  <conditionalFormatting sqref="E46:H46">
    <cfRule type="expression" dxfId="159" priority="132">
      <formula>AM$18=2</formula>
    </cfRule>
  </conditionalFormatting>
  <conditionalFormatting sqref="D69">
    <cfRule type="expression" dxfId="158" priority="32">
      <formula>$AL$67=0</formula>
    </cfRule>
  </conditionalFormatting>
  <conditionalFormatting sqref="D70">
    <cfRule type="expression" dxfId="157" priority="31">
      <formula>$AN$67&gt;0</formula>
    </cfRule>
  </conditionalFormatting>
  <conditionalFormatting sqref="E23:H23">
    <cfRule type="expression" dxfId="156" priority="30">
      <formula>AG$9=1</formula>
    </cfRule>
  </conditionalFormatting>
  <conditionalFormatting sqref="E22:H22">
    <cfRule type="expression" dxfId="155" priority="29">
      <formula>AG$9=1</formula>
    </cfRule>
  </conditionalFormatting>
  <conditionalFormatting sqref="E43:H43">
    <cfRule type="expression" dxfId="154" priority="136">
      <formula>AM$17=2</formula>
    </cfRule>
  </conditionalFormatting>
  <conditionalFormatting sqref="E61:H66">
    <cfRule type="expression" dxfId="153" priority="137">
      <formula>AM$19=2</formula>
    </cfRule>
  </conditionalFormatting>
  <conditionalFormatting sqref="E24:H24">
    <cfRule type="expression" dxfId="152" priority="28">
      <formula>AM$20=2</formula>
    </cfRule>
  </conditionalFormatting>
  <conditionalFormatting sqref="M36:Q41">
    <cfRule type="expression" dxfId="151" priority="27">
      <formula>$B$84=2</formula>
    </cfRule>
  </conditionalFormatting>
  <conditionalFormatting sqref="Q54:Q55">
    <cfRule type="expression" dxfId="150" priority="25">
      <formula>$AR54=2</formula>
    </cfRule>
  </conditionalFormatting>
  <conditionalFormatting sqref="L55:Q55">
    <cfRule type="expression" dxfId="149" priority="24">
      <formula>$Q$2=FALSE</formula>
    </cfRule>
  </conditionalFormatting>
  <conditionalFormatting sqref="U51 R51">
    <cfRule type="expression" dxfId="148" priority="22">
      <formula>$Q$2=FALSE</formula>
    </cfRule>
  </conditionalFormatting>
  <conditionalFormatting sqref="X20">
    <cfRule type="expression" dxfId="147" priority="21">
      <formula>$Q$2=FALSE</formula>
    </cfRule>
  </conditionalFormatting>
  <conditionalFormatting sqref="E4:G4">
    <cfRule type="expression" dxfId="146" priority="20">
      <formula>$G$116&gt;0</formula>
    </cfRule>
  </conditionalFormatting>
  <conditionalFormatting sqref="Y8:Y13">
    <cfRule type="expression" dxfId="145" priority="18">
      <formula>$Q$2=FALSE</formula>
    </cfRule>
  </conditionalFormatting>
  <conditionalFormatting sqref="I60">
    <cfRule type="expression" dxfId="144" priority="17">
      <formula>AK$9=1</formula>
    </cfRule>
  </conditionalFormatting>
  <conditionalFormatting sqref="I61:I66">
    <cfRule type="expression" dxfId="143" priority="16">
      <formula>$AQ$12=2</formula>
    </cfRule>
  </conditionalFormatting>
  <conditionalFormatting sqref="O51:O52">
    <cfRule type="expression" dxfId="142" priority="14">
      <formula>$B$84=2</formula>
    </cfRule>
  </conditionalFormatting>
  <conditionalFormatting sqref="P45:P48">
    <cfRule type="expression" dxfId="141" priority="13">
      <formula>$O45=0</formula>
    </cfRule>
  </conditionalFormatting>
  <conditionalFormatting sqref="Y18:Y20">
    <cfRule type="expression" dxfId="140" priority="10">
      <formula>$Q$2=FALSE</formula>
    </cfRule>
  </conditionalFormatting>
  <conditionalFormatting sqref="H2:I2">
    <cfRule type="expression" dxfId="139" priority="9">
      <formula>$AH$3=1</formula>
    </cfRule>
  </conditionalFormatting>
  <conditionalFormatting sqref="Y9:Z9">
    <cfRule type="expression" dxfId="138" priority="8">
      <formula>$AH$3=1</formula>
    </cfRule>
  </conditionalFormatting>
  <conditionalFormatting sqref="E25:H25">
    <cfRule type="expression" dxfId="137" priority="6">
      <formula>AK$30&gt;0</formula>
    </cfRule>
    <cfRule type="expression" dxfId="136" priority="7">
      <formula>AG$9=1</formula>
    </cfRule>
  </conditionalFormatting>
  <conditionalFormatting sqref="Z11:Z12">
    <cfRule type="expression" dxfId="135" priority="5">
      <formula>$Q$2=FALSE</formula>
    </cfRule>
  </conditionalFormatting>
  <conditionalFormatting sqref="D3">
    <cfRule type="expression" dxfId="134" priority="4">
      <formula>$AH$4=1</formula>
    </cfRule>
  </conditionalFormatting>
  <conditionalFormatting sqref="G47:H50">
    <cfRule type="expression" dxfId="133" priority="1">
      <formula>AI$9=0</formula>
    </cfRule>
  </conditionalFormatting>
  <dataValidations count="5">
    <dataValidation type="list" allowBlank="1" showInputMessage="1" showErrorMessage="1" sqref="F2">
      <formula1>$C$85:$C$86</formula1>
    </dataValidation>
    <dataValidation type="list" allowBlank="1" showInputMessage="1" showErrorMessage="1" sqref="E16:H16 P8:P9 E23:H23 C70 P54:P55 W69:W77 E34:H34 E72:I72 E45:H45 E60:I60 P16:P19">
      <formula1>$E$85:$E$86</formula1>
    </dataValidation>
    <dataValidation type="list" allowBlank="1" showInputMessage="1" showErrorMessage="1" sqref="N45:N48">
      <formula1>$Q$85:$Q$88</formula1>
    </dataValidation>
    <dataValidation type="list" allowBlank="1" showInputMessage="1" showErrorMessage="1" sqref="Q45:Q48">
      <formula1>$R$85:$R$89</formula1>
    </dataValidation>
    <dataValidation type="list" allowBlank="1" showInputMessage="1" showErrorMessage="1" sqref="E81">
      <formula1>"Yes,No"</formula1>
    </dataValidation>
  </dataValidations>
  <printOptions horizontalCentered="1"/>
  <pageMargins left="0.5" right="0.5" top="0.5" bottom="0.5" header="0.3" footer="0.3"/>
  <pageSetup scale="46" orientation="landscape" r:id="rId1"/>
  <cellWatches>
    <cellWatch r="U55"/>
  </cellWatches>
  <ignoredErrors>
    <ignoredError sqref="A4:M4 O16:O19 O9 E12:F15 D17:D21 S8:W8 L70:O70 M50 L49:O49 Q49 Y70:Y76 A115:H116 Q100 R132:Z151 P68:V68 AF13:AS28 AF10:AF12 AG10:AS11 AG9:AJ9 Q9 E71:I78 G70:I70 L48:P48 D69 AF66 AL66:AS66 AF67:AS75 O54:O55 E51:H51 E61:I61 E58:H59 E57:F57 E55:I56 I57:I59 E63:I63 F62:H62 E67:I69 F64:H66 AG12:AP12 AR12:AS12 AF50:AS50 AF49:AJ49 AL49:AS49 AF54:AS65 S2:W2 Q99:R99 X99 S9:X13 E46:H46 G45:H45 E43:H44 E35:I35 L43:Q44 Q128:R130 X128:Z130 L78:M78 O78:Q78 T78:X78 L59:M59 O59 Q59 S14:W20 G20:I20 I16 I34 F18:F19 H17:I19 E42:F42 F36:F41 H36:I42 E22:I25 E21:F21 H21:I21 P2 R69:S69 V69 L60:Q63 P46 G2:H2 L73:O73 L72:O72 V72 L75:O75 L74:O74 V74 J2:M2 Q102:S102 Q101:R101 X101:Y101 Q124:Z127 Q111:T123 W116:Y123 Q103:T105 Q106:U109 W102:Y108 Q110 W111:W115 W109 Y100:Z100 AF39:AS42 AO36:AS37 AL38:AS38 AF29:AJ32 AO29:AS32 Y2:AA2 A2:E3 R3:AA3 A96:E114 G96:H114 O4:AA4 AL9:AS9 L45:M47 G3:M3 L71:O71 X71 X74 E26:H33 AO35:AQ35 F81:G81 AO33:AR34 E79:G80 S72 AF76:AR76 H57 AL51:AS51 AF51:AJ51 L77:O77 L76:O76 AF53:AH53 AJ53:AS53 AF34:AJ38 AF33:AH33 AJ33 AF44:AS48 AF43:AH43 AJ43:AS43 E11:F11 I11 I12:I15 R70:S70 R73:S73 R75 R74:S74 R71:S71 V73:X73 V71 V76:X76 V77:X77 V70:X70 V75:X75" unlockedFormula="1"/>
    <ignoredError sqref="P49" evalError="1" unlockedFormula="1"/>
    <ignoredError sqref="U49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42" r:id="rId4" name="Check Box 6">
              <controlPr defaultSize="0" autoFill="0" autoLine="0" autoPict="0">
                <anchor moveWithCells="1">
                  <from>
                    <xdr:col>4</xdr:col>
                    <xdr:colOff>352425</xdr:colOff>
                    <xdr:row>9</xdr:row>
                    <xdr:rowOff>0</xdr:rowOff>
                  </from>
                  <to>
                    <xdr:col>4</xdr:col>
                    <xdr:colOff>676275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3" r:id="rId5" name="Check Box 7">
              <controlPr defaultSize="0" autoFill="0" autoLine="0" autoPict="0">
                <anchor moveWithCells="1">
                  <from>
                    <xdr:col>5</xdr:col>
                    <xdr:colOff>390525</xdr:colOff>
                    <xdr:row>9</xdr:row>
                    <xdr:rowOff>0</xdr:rowOff>
                  </from>
                  <to>
                    <xdr:col>5</xdr:col>
                    <xdr:colOff>771525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4" r:id="rId6" name="Check Box 8">
              <controlPr defaultSize="0" autoFill="0" autoLine="0" autoPict="0">
                <anchor moveWithCells="1">
                  <from>
                    <xdr:col>7</xdr:col>
                    <xdr:colOff>409575</xdr:colOff>
                    <xdr:row>9</xdr:row>
                    <xdr:rowOff>0</xdr:rowOff>
                  </from>
                  <to>
                    <xdr:col>7</xdr:col>
                    <xdr:colOff>638175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5" r:id="rId7" name="Check Box 9">
              <controlPr defaultSize="0" autoFill="0" autoLine="0" autoPict="0">
                <anchor moveWithCells="1">
                  <from>
                    <xdr:col>6</xdr:col>
                    <xdr:colOff>371475</xdr:colOff>
                    <xdr:row>9</xdr:row>
                    <xdr:rowOff>0</xdr:rowOff>
                  </from>
                  <to>
                    <xdr:col>6</xdr:col>
                    <xdr:colOff>676275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6" r:id="rId8" name="Check Box 10">
              <controlPr defaultSize="0" autoFill="0" autoLine="0" autoPict="0">
                <anchor moveWithCells="1">
                  <from>
                    <xdr:col>6</xdr:col>
                    <xdr:colOff>600075</xdr:colOff>
                    <xdr:row>69</xdr:row>
                    <xdr:rowOff>0</xdr:rowOff>
                  </from>
                  <to>
                    <xdr:col>6</xdr:col>
                    <xdr:colOff>866775</xdr:colOff>
                    <xdr:row>70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7" r:id="rId9" name="Check Box 11">
              <controlPr defaultSize="0" autoFill="0" autoLine="0" autoPict="0">
                <anchor moveWithCells="1">
                  <from>
                    <xdr:col>7</xdr:col>
                    <xdr:colOff>600075</xdr:colOff>
                    <xdr:row>69</xdr:row>
                    <xdr:rowOff>0</xdr:rowOff>
                  </from>
                  <to>
                    <xdr:col>8</xdr:col>
                    <xdr:colOff>0</xdr:colOff>
                    <xdr:row>70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8" r:id="rId10" name="Check Box 12">
              <controlPr defaultSize="0" autoFill="0" autoLine="0" autoPict="0">
                <anchor moveWithCells="1">
                  <from>
                    <xdr:col>4</xdr:col>
                    <xdr:colOff>752475</xdr:colOff>
                    <xdr:row>69</xdr:row>
                    <xdr:rowOff>0</xdr:rowOff>
                  </from>
                  <to>
                    <xdr:col>5</xdr:col>
                    <xdr:colOff>0</xdr:colOff>
                    <xdr:row>70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9" r:id="rId11" name="Check Box 13">
              <controlPr defaultSize="0" autoFill="0" autoLine="0" autoPict="0">
                <anchor moveWithCells="1">
                  <from>
                    <xdr:col>8</xdr:col>
                    <xdr:colOff>561975</xdr:colOff>
                    <xdr:row>69</xdr:row>
                    <xdr:rowOff>0</xdr:rowOff>
                  </from>
                  <to>
                    <xdr:col>9</xdr:col>
                    <xdr:colOff>0</xdr:colOff>
                    <xdr:row>70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0" r:id="rId12" name="Check Box 14">
              <controlPr defaultSize="0" autoFill="0" autoLine="0" autoPict="0">
                <anchor moveWithCells="1">
                  <from>
                    <xdr:col>5</xdr:col>
                    <xdr:colOff>723900</xdr:colOff>
                    <xdr:row>69</xdr:row>
                    <xdr:rowOff>0</xdr:rowOff>
                  </from>
                  <to>
                    <xdr:col>6</xdr:col>
                    <xdr:colOff>0</xdr:colOff>
                    <xdr:row>70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8" r:id="rId13" name="Drop Down 22">
              <controlPr defaultSize="0" autoLine="0" autoPict="0">
                <anchor moveWithCells="1">
                  <from>
                    <xdr:col>9</xdr:col>
                    <xdr:colOff>9525</xdr:colOff>
                    <xdr:row>1</xdr:row>
                    <xdr:rowOff>47625</xdr:rowOff>
                  </from>
                  <to>
                    <xdr:col>14</xdr:col>
                    <xdr:colOff>219075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9" r:id="rId14" name="Drop Down 23">
              <controlPr defaultSize="0" autoLine="0" autoPict="0">
                <anchor moveWithCells="1">
                  <from>
                    <xdr:col>9</xdr:col>
                    <xdr:colOff>38100</xdr:colOff>
                    <xdr:row>2</xdr:row>
                    <xdr:rowOff>47625</xdr:rowOff>
                  </from>
                  <to>
                    <xdr:col>14</xdr:col>
                    <xdr:colOff>247650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0" r:id="rId15" name="Drop Down 24">
              <controlPr defaultSize="0" autoLine="0" autoPict="0">
                <anchor moveWithCells="1">
                  <from>
                    <xdr:col>9</xdr:col>
                    <xdr:colOff>28575</xdr:colOff>
                    <xdr:row>3</xdr:row>
                    <xdr:rowOff>47625</xdr:rowOff>
                  </from>
                  <to>
                    <xdr:col>14</xdr:col>
                    <xdr:colOff>228600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2" r:id="rId16" name="Drop Down 26">
              <controlPr defaultSize="0" autoLine="0" autoPict="0">
                <anchor moveWithCells="1">
                  <from>
                    <xdr:col>16</xdr:col>
                    <xdr:colOff>219075</xdr:colOff>
                    <xdr:row>1</xdr:row>
                    <xdr:rowOff>47625</xdr:rowOff>
                  </from>
                  <to>
                    <xdr:col>18</xdr:col>
                    <xdr:colOff>762000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3" r:id="rId17" name="Check Box 27">
              <controlPr defaultSize="0" autoFill="0" autoLine="0" autoPict="0">
                <anchor moveWithCells="1">
                  <from>
                    <xdr:col>15</xdr:col>
                    <xdr:colOff>0</xdr:colOff>
                    <xdr:row>1</xdr:row>
                    <xdr:rowOff>104775</xdr:rowOff>
                  </from>
                  <to>
                    <xdr:col>15</xdr:col>
                    <xdr:colOff>219075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7" r:id="rId18" name="Drop Down 41">
              <controlPr defaultSize="0" autoLine="0" autoPict="0">
                <anchor moveWithCells="1">
                  <from>
                    <xdr:col>21</xdr:col>
                    <xdr:colOff>38100</xdr:colOff>
                    <xdr:row>65</xdr:row>
                    <xdr:rowOff>200025</xdr:rowOff>
                  </from>
                  <to>
                    <xdr:col>23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9" r:id="rId19" name="Option Button 43">
              <controlPr defaultSize="0" autoFill="0" autoLine="0" autoPict="0">
                <anchor moveWithCells="1">
                  <from>
                    <xdr:col>15</xdr:col>
                    <xdr:colOff>676275</xdr:colOff>
                    <xdr:row>2</xdr:row>
                    <xdr:rowOff>104775</xdr:rowOff>
                  </from>
                  <to>
                    <xdr:col>16</xdr:col>
                    <xdr:colOff>771525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80" r:id="rId20" name="Option Button 44">
              <controlPr defaultSize="0" autoFill="0" autoLine="0" autoPict="0">
                <anchor moveWithCells="1">
                  <from>
                    <xdr:col>17</xdr:col>
                    <xdr:colOff>47625</xdr:colOff>
                    <xdr:row>2</xdr:row>
                    <xdr:rowOff>85725</xdr:rowOff>
                  </from>
                  <to>
                    <xdr:col>18</xdr:col>
                    <xdr:colOff>457200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rgb="FFFFFF00"/>
    <pageSetUpPr fitToPage="1"/>
  </sheetPr>
  <dimension ref="A1:X72"/>
  <sheetViews>
    <sheetView showGridLines="0" zoomScale="85" zoomScaleNormal="85" workbookViewId="0"/>
  </sheetViews>
  <sheetFormatPr defaultColWidth="9.42578125" defaultRowHeight="15" x14ac:dyDescent="0.25"/>
  <cols>
    <col min="1" max="1" width="1.5703125" style="1" customWidth="1"/>
    <col min="2" max="2" width="17" style="1" customWidth="1"/>
    <col min="3" max="18" width="11.42578125" style="1" customWidth="1"/>
    <col min="19" max="16384" width="9.42578125" style="1"/>
  </cols>
  <sheetData>
    <row r="1" spans="1:19" ht="9" customHeight="1" thickBot="1" x14ac:dyDescent="0.3">
      <c r="B1" s="85"/>
      <c r="C1" s="85"/>
      <c r="D1" s="86"/>
      <c r="E1" s="85"/>
      <c r="F1" s="85"/>
      <c r="G1" s="85"/>
      <c r="H1" s="383"/>
      <c r="I1" s="85"/>
      <c r="J1" s="85"/>
      <c r="K1" s="85"/>
      <c r="L1" s="85"/>
      <c r="M1" s="85"/>
      <c r="N1" s="85"/>
      <c r="O1" s="85"/>
      <c r="P1" s="85"/>
      <c r="Q1" s="85"/>
      <c r="R1" s="85"/>
      <c r="S1" s="384"/>
    </row>
    <row r="2" spans="1:19" ht="16.5" thickTop="1" x14ac:dyDescent="0.25">
      <c r="B2" s="110" t="str">
        <f>MainOutline!B2</f>
        <v>WB Santa Cruz</v>
      </c>
      <c r="C2" s="110"/>
      <c r="D2" s="111"/>
      <c r="E2" s="111"/>
      <c r="F2" s="111"/>
      <c r="G2" s="111"/>
      <c r="H2" s="385"/>
      <c r="I2" s="111"/>
      <c r="J2" s="111"/>
      <c r="K2" s="111"/>
      <c r="L2" s="111"/>
      <c r="M2" s="111"/>
      <c r="N2" s="111"/>
      <c r="O2" s="111"/>
      <c r="P2" s="111"/>
      <c r="Q2" s="111"/>
      <c r="R2" s="1409">
        <f>$A3</f>
        <v>2</v>
      </c>
      <c r="S2" s="384"/>
    </row>
    <row r="3" spans="1:19" ht="15.75" x14ac:dyDescent="0.25">
      <c r="A3" s="123">
        <f>MainOutline!B9</f>
        <v>2</v>
      </c>
      <c r="B3" s="102" t="str">
        <f>MainOutline!C9</f>
        <v>Exhibit A2</v>
      </c>
      <c r="C3" s="102"/>
      <c r="D3" s="89"/>
      <c r="E3" s="89"/>
      <c r="F3" s="89"/>
      <c r="G3" s="89"/>
      <c r="H3" s="386"/>
      <c r="I3" s="89"/>
      <c r="J3" s="89"/>
      <c r="K3" s="89"/>
      <c r="L3" s="89"/>
      <c r="M3" s="89"/>
      <c r="N3" s="89"/>
      <c r="O3" s="89"/>
      <c r="P3" s="89"/>
      <c r="Q3" s="89"/>
      <c r="R3" s="89"/>
      <c r="S3" s="384"/>
    </row>
    <row r="4" spans="1:19" ht="16.5" thickBot="1" x14ac:dyDescent="0.3">
      <c r="B4" s="104" t="s">
        <v>246</v>
      </c>
      <c r="C4" s="104"/>
      <c r="D4" s="97"/>
      <c r="E4" s="97"/>
      <c r="F4" s="97"/>
      <c r="G4" s="97"/>
      <c r="H4" s="387"/>
      <c r="I4" s="97"/>
      <c r="J4" s="97"/>
      <c r="K4" s="97"/>
      <c r="L4" s="97"/>
      <c r="M4" s="97"/>
      <c r="N4" s="97"/>
      <c r="O4" s="97"/>
      <c r="P4" s="97"/>
      <c r="Q4" s="97"/>
      <c r="R4" s="388"/>
      <c r="S4" s="384"/>
    </row>
    <row r="5" spans="1:19" ht="16.5" thickTop="1" x14ac:dyDescent="0.25">
      <c r="S5" s="384"/>
    </row>
    <row r="6" spans="1:19" s="384" customFormat="1" ht="15.75" x14ac:dyDescent="0.25">
      <c r="B6" s="384">
        <v>1</v>
      </c>
      <c r="C6" s="989" t="s">
        <v>240</v>
      </c>
      <c r="D6" s="990"/>
      <c r="E6" s="991" t="str">
        <f>+TM1used!V42</f>
        <v>95076 - WB Santa Cruz</v>
      </c>
      <c r="F6" s="990"/>
      <c r="G6" s="990"/>
      <c r="H6" s="992"/>
      <c r="J6" s="996" t="s">
        <v>875</v>
      </c>
      <c r="K6" s="997">
        <f>TM1used!Y42</f>
        <v>0</v>
      </c>
      <c r="L6" s="990"/>
      <c r="M6" s="990"/>
      <c r="N6" s="992"/>
    </row>
    <row r="7" spans="1:19" ht="15.75" x14ac:dyDescent="0.25">
      <c r="B7" s="1">
        <v>2</v>
      </c>
      <c r="C7" s="993" t="s">
        <v>241</v>
      </c>
      <c r="E7" s="389">
        <f>+TM1used!V43</f>
        <v>0</v>
      </c>
      <c r="H7" s="188"/>
      <c r="J7" s="998" t="s">
        <v>874</v>
      </c>
      <c r="K7" s="391">
        <f>TM1used!Y43</f>
        <v>0</v>
      </c>
      <c r="N7" s="188"/>
    </row>
    <row r="8" spans="1:19" ht="15.75" x14ac:dyDescent="0.25">
      <c r="B8" s="1">
        <v>3</v>
      </c>
      <c r="C8" s="994" t="s">
        <v>242</v>
      </c>
      <c r="D8" s="46"/>
      <c r="E8" s="995">
        <f>+TM1used!V44</f>
        <v>0</v>
      </c>
      <c r="F8" s="46"/>
      <c r="G8" s="46"/>
      <c r="H8" s="380"/>
      <c r="J8" s="999" t="s">
        <v>873</v>
      </c>
      <c r="K8" s="1000">
        <f>TM1used!Y44</f>
        <v>0</v>
      </c>
      <c r="L8" s="46"/>
      <c r="M8" s="46"/>
      <c r="N8" s="380"/>
    </row>
    <row r="9" spans="1:19" ht="15.75" thickBot="1" x14ac:dyDescent="0.3"/>
    <row r="10" spans="1:19" ht="15" customHeight="1" x14ac:dyDescent="0.25">
      <c r="B10" s="1710" t="s">
        <v>88</v>
      </c>
      <c r="C10" s="392" t="str">
        <f>$E$6</f>
        <v>95076 - WB Santa Cruz</v>
      </c>
      <c r="D10" s="393"/>
      <c r="E10" s="393"/>
      <c r="F10" s="394"/>
      <c r="G10" s="392">
        <f>$E$7</f>
        <v>0</v>
      </c>
      <c r="H10" s="393"/>
      <c r="I10" s="393"/>
      <c r="J10" s="394"/>
      <c r="K10" s="392">
        <f>$E$8</f>
        <v>0</v>
      </c>
      <c r="L10" s="393"/>
      <c r="M10" s="395"/>
      <c r="N10" s="396"/>
      <c r="O10" s="398" t="s">
        <v>245</v>
      </c>
      <c r="P10" s="398"/>
      <c r="Q10" s="399"/>
      <c r="R10" s="400"/>
    </row>
    <row r="11" spans="1:19" ht="17.25" x14ac:dyDescent="0.4">
      <c r="B11" s="1711"/>
      <c r="C11" s="469" t="s">
        <v>74</v>
      </c>
      <c r="D11" s="470"/>
      <c r="E11" s="470" t="s">
        <v>77</v>
      </c>
      <c r="F11" s="471"/>
      <c r="G11" s="469" t="s">
        <v>74</v>
      </c>
      <c r="H11" s="470"/>
      <c r="I11" s="470" t="s">
        <v>77</v>
      </c>
      <c r="J11" s="471"/>
      <c r="K11" s="469" t="s">
        <v>74</v>
      </c>
      <c r="L11" s="470"/>
      <c r="M11" s="470" t="s">
        <v>77</v>
      </c>
      <c r="N11" s="471"/>
      <c r="O11" s="1032" t="s">
        <v>74</v>
      </c>
      <c r="P11" s="1032"/>
      <c r="Q11" s="1032" t="s">
        <v>77</v>
      </c>
      <c r="R11" s="1033"/>
    </row>
    <row r="12" spans="1:19" ht="15.75" thickBot="1" x14ac:dyDescent="0.3">
      <c r="B12" s="1712"/>
      <c r="C12" s="407" t="s">
        <v>75</v>
      </c>
      <c r="D12" s="408" t="s">
        <v>76</v>
      </c>
      <c r="E12" s="408" t="s">
        <v>78</v>
      </c>
      <c r="F12" s="409" t="s">
        <v>83</v>
      </c>
      <c r="G12" s="407" t="s">
        <v>75</v>
      </c>
      <c r="H12" s="408" t="s">
        <v>76</v>
      </c>
      <c r="I12" s="408" t="s">
        <v>78</v>
      </c>
      <c r="J12" s="409" t="s">
        <v>83</v>
      </c>
      <c r="K12" s="407" t="s">
        <v>75</v>
      </c>
      <c r="L12" s="408" t="s">
        <v>76</v>
      </c>
      <c r="M12" s="408" t="s">
        <v>78</v>
      </c>
      <c r="N12" s="409" t="s">
        <v>83</v>
      </c>
      <c r="O12" s="411" t="s">
        <v>75</v>
      </c>
      <c r="P12" s="411" t="s">
        <v>76</v>
      </c>
      <c r="Q12" s="411" t="s">
        <v>78</v>
      </c>
      <c r="R12" s="412" t="s">
        <v>83</v>
      </c>
    </row>
    <row r="13" spans="1:19" x14ac:dyDescent="0.25">
      <c r="B13" s="1019" t="s">
        <v>106</v>
      </c>
      <c r="C13" s="414"/>
      <c r="D13" s="415"/>
      <c r="E13" s="415"/>
      <c r="F13" s="416"/>
      <c r="G13" s="414"/>
      <c r="H13" s="415"/>
      <c r="I13" s="415"/>
      <c r="J13" s="416"/>
      <c r="K13" s="414"/>
      <c r="L13" s="415"/>
      <c r="M13" s="415"/>
      <c r="N13" s="416"/>
      <c r="O13" s="418">
        <v>1</v>
      </c>
      <c r="P13" s="418">
        <f>+O13</f>
        <v>1</v>
      </c>
      <c r="Q13" s="418">
        <f>+P13</f>
        <v>1</v>
      </c>
      <c r="R13" s="419">
        <v>1</v>
      </c>
    </row>
    <row r="14" spans="1:19" x14ac:dyDescent="0.25">
      <c r="B14" s="1020" t="s">
        <v>84</v>
      </c>
      <c r="C14" s="420">
        <f>TM1used!W52</f>
        <v>0</v>
      </c>
      <c r="D14" s="421">
        <f>TM1used!X52</f>
        <v>0</v>
      </c>
      <c r="E14" s="421">
        <f>TM1used!Y52</f>
        <v>330.11999999999995</v>
      </c>
      <c r="F14" s="422">
        <f>TM1used!Z52</f>
        <v>0</v>
      </c>
      <c r="G14" s="420">
        <f>TM1used!AB52</f>
        <v>0</v>
      </c>
      <c r="H14" s="421">
        <f>TM1used!AC52</f>
        <v>0</v>
      </c>
      <c r="I14" s="421">
        <f>TM1used!AD52</f>
        <v>0</v>
      </c>
      <c r="J14" s="422">
        <f>TM1used!AE52</f>
        <v>0</v>
      </c>
      <c r="K14" s="420">
        <f>TM1used!AG52</f>
        <v>0</v>
      </c>
      <c r="L14" s="421">
        <f>TM1used!AH52</f>
        <v>0</v>
      </c>
      <c r="M14" s="421">
        <f>TM1used!AI52</f>
        <v>0</v>
      </c>
      <c r="N14" s="422">
        <f>TM1used!AJ52</f>
        <v>0</v>
      </c>
      <c r="O14" s="424">
        <f t="shared" ref="O14:R18" si="0">CHOOSE(O$13,C14,G14,K14)</f>
        <v>0</v>
      </c>
      <c r="P14" s="424">
        <f t="shared" si="0"/>
        <v>0</v>
      </c>
      <c r="Q14" s="424">
        <f t="shared" si="0"/>
        <v>330.11999999999995</v>
      </c>
      <c r="R14" s="425">
        <f t="shared" si="0"/>
        <v>0</v>
      </c>
    </row>
    <row r="15" spans="1:19" x14ac:dyDescent="0.25">
      <c r="B15" s="450" t="s">
        <v>85</v>
      </c>
      <c r="C15" s="426">
        <f>TM1used!W53</f>
        <v>0</v>
      </c>
      <c r="D15" s="371">
        <f>TM1used!X53</f>
        <v>0</v>
      </c>
      <c r="E15" s="371">
        <f>TM1used!Y53</f>
        <v>593.31233126834047</v>
      </c>
      <c r="F15" s="372">
        <f>TM1used!Z53</f>
        <v>0</v>
      </c>
      <c r="G15" s="426">
        <f>TM1used!AB53</f>
        <v>0</v>
      </c>
      <c r="H15" s="371">
        <f>TM1used!AC53</f>
        <v>0</v>
      </c>
      <c r="I15" s="371">
        <f>TM1used!AD53</f>
        <v>0</v>
      </c>
      <c r="J15" s="372">
        <f>TM1used!AE53</f>
        <v>0</v>
      </c>
      <c r="K15" s="426">
        <f>TM1used!AG53</f>
        <v>0</v>
      </c>
      <c r="L15" s="371">
        <f>TM1used!AH53</f>
        <v>0</v>
      </c>
      <c r="M15" s="371">
        <f>TM1used!AI53</f>
        <v>0</v>
      </c>
      <c r="N15" s="372">
        <f>TM1used!AJ53</f>
        <v>0</v>
      </c>
      <c r="O15" s="428">
        <f t="shared" si="0"/>
        <v>0</v>
      </c>
      <c r="P15" s="428">
        <f t="shared" si="0"/>
        <v>0</v>
      </c>
      <c r="Q15" s="428">
        <f t="shared" si="0"/>
        <v>593.31233126834047</v>
      </c>
      <c r="R15" s="429">
        <f t="shared" si="0"/>
        <v>0</v>
      </c>
    </row>
    <row r="16" spans="1:19" x14ac:dyDescent="0.25">
      <c r="B16" s="450" t="s">
        <v>86</v>
      </c>
      <c r="C16" s="426">
        <f>TM1used!W54</f>
        <v>0</v>
      </c>
      <c r="D16" s="371">
        <f>TM1used!X54</f>
        <v>0</v>
      </c>
      <c r="E16" s="371">
        <f>TM1used!Y54</f>
        <v>387.66181660899645</v>
      </c>
      <c r="F16" s="372">
        <f>TM1used!Z54</f>
        <v>340.02599999999995</v>
      </c>
      <c r="G16" s="426">
        <f>TM1used!AB54</f>
        <v>0</v>
      </c>
      <c r="H16" s="371">
        <f>TM1used!AC54</f>
        <v>0</v>
      </c>
      <c r="I16" s="371">
        <f>TM1used!AD54</f>
        <v>0</v>
      </c>
      <c r="J16" s="372">
        <f>TM1used!AE54</f>
        <v>0</v>
      </c>
      <c r="K16" s="426">
        <f>TM1used!AG54</f>
        <v>0</v>
      </c>
      <c r="L16" s="371">
        <f>TM1used!AH54</f>
        <v>0</v>
      </c>
      <c r="M16" s="371">
        <f>TM1used!AI54</f>
        <v>0</v>
      </c>
      <c r="N16" s="372">
        <f>TM1used!AJ54</f>
        <v>0</v>
      </c>
      <c r="O16" s="428">
        <f t="shared" si="0"/>
        <v>0</v>
      </c>
      <c r="P16" s="428">
        <f t="shared" si="0"/>
        <v>0</v>
      </c>
      <c r="Q16" s="428">
        <f t="shared" si="0"/>
        <v>387.66181660899645</v>
      </c>
      <c r="R16" s="429">
        <f t="shared" si="0"/>
        <v>340.02599999999995</v>
      </c>
    </row>
    <row r="17" spans="2:18" x14ac:dyDescent="0.25">
      <c r="B17" s="450" t="s">
        <v>65</v>
      </c>
      <c r="C17" s="426">
        <f>TM1used!W55</f>
        <v>0</v>
      </c>
      <c r="D17" s="371">
        <f>TM1used!X55</f>
        <v>0</v>
      </c>
      <c r="E17" s="371">
        <f>TM1used!Y55</f>
        <v>362.1350109079242</v>
      </c>
      <c r="F17" s="372">
        <f>TM1used!Z55</f>
        <v>0</v>
      </c>
      <c r="G17" s="426">
        <f>TM1used!AB55</f>
        <v>0</v>
      </c>
      <c r="H17" s="371">
        <f>TM1used!AC55</f>
        <v>0</v>
      </c>
      <c r="I17" s="371">
        <f>TM1used!AD55</f>
        <v>0</v>
      </c>
      <c r="J17" s="372">
        <f>TM1used!AE55</f>
        <v>0</v>
      </c>
      <c r="K17" s="426">
        <f>TM1used!AG55</f>
        <v>0</v>
      </c>
      <c r="L17" s="371">
        <f>TM1used!AH55</f>
        <v>0</v>
      </c>
      <c r="M17" s="371">
        <f>TM1used!AI55</f>
        <v>0</v>
      </c>
      <c r="N17" s="372">
        <f>TM1used!AJ55</f>
        <v>0</v>
      </c>
      <c r="O17" s="428">
        <f t="shared" si="0"/>
        <v>0</v>
      </c>
      <c r="P17" s="428">
        <f t="shared" si="0"/>
        <v>0</v>
      </c>
      <c r="Q17" s="428">
        <f t="shared" si="0"/>
        <v>362.1350109079242</v>
      </c>
      <c r="R17" s="429">
        <f t="shared" si="0"/>
        <v>0</v>
      </c>
    </row>
    <row r="18" spans="2:18" ht="15.75" thickBot="1" x14ac:dyDescent="0.3">
      <c r="B18" s="1021" t="s">
        <v>72</v>
      </c>
      <c r="C18" s="1016"/>
      <c r="D18" s="1017"/>
      <c r="E18" s="1017"/>
      <c r="F18" s="1018"/>
      <c r="G18" s="1016"/>
      <c r="H18" s="1017"/>
      <c r="I18" s="1017"/>
      <c r="J18" s="1018"/>
      <c r="K18" s="1016"/>
      <c r="L18" s="1017"/>
      <c r="M18" s="1017"/>
      <c r="N18" s="1018"/>
      <c r="O18" s="431">
        <f t="shared" si="0"/>
        <v>0</v>
      </c>
      <c r="P18" s="431">
        <f t="shared" si="0"/>
        <v>0</v>
      </c>
      <c r="Q18" s="431">
        <f t="shared" si="0"/>
        <v>0</v>
      </c>
      <c r="R18" s="432">
        <f t="shared" si="0"/>
        <v>0</v>
      </c>
    </row>
    <row r="20" spans="2:18" ht="15.75" thickBot="1" x14ac:dyDescent="0.3">
      <c r="O20" s="433" t="s">
        <v>257</v>
      </c>
      <c r="P20" s="434"/>
      <c r="Q20" s="434"/>
      <c r="R20" s="434"/>
    </row>
    <row r="21" spans="2:18" x14ac:dyDescent="0.25">
      <c r="B21" s="1713" t="s">
        <v>71</v>
      </c>
      <c r="C21" s="392" t="str">
        <f>$E$6</f>
        <v>95076 - WB Santa Cruz</v>
      </c>
      <c r="D21" s="393"/>
      <c r="E21" s="393"/>
      <c r="F21" s="394"/>
      <c r="G21" s="392">
        <f>$E$7</f>
        <v>0</v>
      </c>
      <c r="H21" s="393"/>
      <c r="I21" s="393"/>
      <c r="J21" s="394"/>
      <c r="K21" s="392">
        <f>$E$8</f>
        <v>0</v>
      </c>
      <c r="L21" s="393"/>
      <c r="M21" s="395"/>
      <c r="N21" s="396"/>
      <c r="O21" s="398" t="s">
        <v>245</v>
      </c>
      <c r="P21" s="399"/>
      <c r="Q21" s="399"/>
      <c r="R21" s="400"/>
    </row>
    <row r="22" spans="2:18" ht="17.25" x14ac:dyDescent="0.4">
      <c r="B22" s="1714"/>
      <c r="C22" s="469" t="s">
        <v>74</v>
      </c>
      <c r="D22" s="470"/>
      <c r="E22" s="470" t="s">
        <v>77</v>
      </c>
      <c r="F22" s="471"/>
      <c r="G22" s="469" t="s">
        <v>74</v>
      </c>
      <c r="H22" s="470"/>
      <c r="I22" s="470" t="s">
        <v>77</v>
      </c>
      <c r="J22" s="471"/>
      <c r="K22" s="469" t="s">
        <v>74</v>
      </c>
      <c r="L22" s="470"/>
      <c r="M22" s="470" t="s">
        <v>77</v>
      </c>
      <c r="N22" s="471"/>
      <c r="O22" s="1032" t="s">
        <v>74</v>
      </c>
      <c r="P22" s="1032"/>
      <c r="Q22" s="1032" t="s">
        <v>77</v>
      </c>
      <c r="R22" s="1033"/>
    </row>
    <row r="23" spans="2:18" ht="15.75" thickBot="1" x14ac:dyDescent="0.3">
      <c r="B23" s="1715"/>
      <c r="C23" s="1007" t="s">
        <v>75</v>
      </c>
      <c r="D23" s="435" t="s">
        <v>76</v>
      </c>
      <c r="E23" s="435" t="s">
        <v>78</v>
      </c>
      <c r="F23" s="1008" t="s">
        <v>83</v>
      </c>
      <c r="G23" s="1007" t="s">
        <v>75</v>
      </c>
      <c r="H23" s="435" t="s">
        <v>76</v>
      </c>
      <c r="I23" s="435" t="s">
        <v>78</v>
      </c>
      <c r="J23" s="1008" t="s">
        <v>83</v>
      </c>
      <c r="K23" s="1007" t="s">
        <v>75</v>
      </c>
      <c r="L23" s="435" t="s">
        <v>76</v>
      </c>
      <c r="M23" s="435" t="s">
        <v>78</v>
      </c>
      <c r="N23" s="1008" t="s">
        <v>83</v>
      </c>
      <c r="O23" s="436" t="s">
        <v>75</v>
      </c>
      <c r="P23" s="436" t="s">
        <v>76</v>
      </c>
      <c r="Q23" s="436" t="s">
        <v>78</v>
      </c>
      <c r="R23" s="437" t="s">
        <v>83</v>
      </c>
    </row>
    <row r="24" spans="2:18" x14ac:dyDescent="0.25">
      <c r="B24" s="984" t="s">
        <v>47</v>
      </c>
      <c r="C24" s="438"/>
      <c r="D24" s="439"/>
      <c r="E24" s="439"/>
      <c r="F24" s="1009"/>
      <c r="G24" s="438"/>
      <c r="H24" s="439"/>
      <c r="I24" s="439"/>
      <c r="J24" s="1009"/>
      <c r="K24" s="438"/>
      <c r="L24" s="439"/>
      <c r="M24" s="439"/>
      <c r="N24" s="1009"/>
      <c r="O24" s="440"/>
      <c r="P24" s="440"/>
      <c r="Q24" s="440"/>
      <c r="R24" s="441"/>
    </row>
    <row r="25" spans="2:18" x14ac:dyDescent="0.25">
      <c r="B25" s="1015" t="s">
        <v>84</v>
      </c>
      <c r="C25" s="442">
        <f>TM1used!W61</f>
        <v>0</v>
      </c>
      <c r="D25" s="443">
        <f>TM1used!X61</f>
        <v>0</v>
      </c>
      <c r="E25" s="443">
        <f>TM1used!Y61</f>
        <v>2.0415012025281055E-2</v>
      </c>
      <c r="F25" s="1010">
        <f>TM1used!Z61</f>
        <v>0</v>
      </c>
      <c r="G25" s="442">
        <f>TM1used!AB61</f>
        <v>0</v>
      </c>
      <c r="H25" s="443">
        <f>TM1used!AC61</f>
        <v>0</v>
      </c>
      <c r="I25" s="443">
        <f>TM1used!AD61</f>
        <v>0</v>
      </c>
      <c r="J25" s="1010">
        <f>TM1used!AE61</f>
        <v>0</v>
      </c>
      <c r="K25" s="442">
        <f>TM1used!AG61</f>
        <v>0</v>
      </c>
      <c r="L25" s="443">
        <f>TM1used!AH61</f>
        <v>0</v>
      </c>
      <c r="M25" s="443">
        <f>TM1used!AI61</f>
        <v>0</v>
      </c>
      <c r="N25" s="1010">
        <f>TM1used!AJ61</f>
        <v>0</v>
      </c>
      <c r="O25" s="444">
        <f t="shared" ref="O25:R31" si="1">CHOOSE(O$13,C25,G25,K25,)</f>
        <v>0</v>
      </c>
      <c r="P25" s="444">
        <f t="shared" si="1"/>
        <v>0</v>
      </c>
      <c r="Q25" s="444">
        <f>CHOOSE(Q$13,E25,I25,M25,)</f>
        <v>2.0415012025281055E-2</v>
      </c>
      <c r="R25" s="445">
        <f t="shared" si="1"/>
        <v>0</v>
      </c>
    </row>
    <row r="26" spans="2:18" x14ac:dyDescent="0.25">
      <c r="B26" s="1015" t="s">
        <v>85</v>
      </c>
      <c r="C26" s="442">
        <f>TM1used!W62</f>
        <v>0</v>
      </c>
      <c r="D26" s="443">
        <f>TM1used!X62</f>
        <v>0</v>
      </c>
      <c r="E26" s="443">
        <f>TM1used!Y62</f>
        <v>0.17154203255215617</v>
      </c>
      <c r="F26" s="1010">
        <f>TM1used!Z62</f>
        <v>0</v>
      </c>
      <c r="G26" s="442">
        <f>TM1used!AB62</f>
        <v>0</v>
      </c>
      <c r="H26" s="443">
        <f>TM1used!AC62</f>
        <v>0</v>
      </c>
      <c r="I26" s="443">
        <f>TM1used!AD62</f>
        <v>0</v>
      </c>
      <c r="J26" s="1010">
        <f>TM1used!AE62</f>
        <v>0</v>
      </c>
      <c r="K26" s="442">
        <f>TM1used!AG62</f>
        <v>0</v>
      </c>
      <c r="L26" s="443">
        <f>TM1used!AH62</f>
        <v>0</v>
      </c>
      <c r="M26" s="443">
        <f>TM1used!AI62</f>
        <v>0</v>
      </c>
      <c r="N26" s="1010">
        <f>TM1used!AJ62</f>
        <v>0</v>
      </c>
      <c r="O26" s="444">
        <f t="shared" si="1"/>
        <v>0</v>
      </c>
      <c r="P26" s="444">
        <f t="shared" si="1"/>
        <v>0</v>
      </c>
      <c r="Q26" s="444">
        <f t="shared" si="1"/>
        <v>0.17154203255215617</v>
      </c>
      <c r="R26" s="445">
        <f t="shared" si="1"/>
        <v>0</v>
      </c>
    </row>
    <row r="27" spans="2:18" x14ac:dyDescent="0.25">
      <c r="B27" s="1015" t="s">
        <v>86</v>
      </c>
      <c r="C27" s="446">
        <f>TM1used!W63</f>
        <v>0</v>
      </c>
      <c r="D27" s="447">
        <f>TM1used!X63</f>
        <v>0</v>
      </c>
      <c r="E27" s="447">
        <f>TM1used!Y63</f>
        <v>1.6164215000838974E-2</v>
      </c>
      <c r="F27" s="1011">
        <f>TM1used!Z63</f>
        <v>1.6008537886872998E-2</v>
      </c>
      <c r="G27" s="446">
        <f>TM1used!AB63</f>
        <v>0</v>
      </c>
      <c r="H27" s="447">
        <f>TM1used!AC63</f>
        <v>0</v>
      </c>
      <c r="I27" s="447">
        <f>TM1used!AD63</f>
        <v>0</v>
      </c>
      <c r="J27" s="1011">
        <f>TM1used!AE63</f>
        <v>0</v>
      </c>
      <c r="K27" s="446">
        <f>TM1used!AG63</f>
        <v>0</v>
      </c>
      <c r="L27" s="447">
        <f>TM1used!AH63</f>
        <v>0</v>
      </c>
      <c r="M27" s="447">
        <f>TM1used!AI63</f>
        <v>0</v>
      </c>
      <c r="N27" s="1011">
        <f>TM1used!AJ63</f>
        <v>0</v>
      </c>
      <c r="O27" s="448">
        <f t="shared" si="1"/>
        <v>0</v>
      </c>
      <c r="P27" s="448">
        <f t="shared" si="1"/>
        <v>0</v>
      </c>
      <c r="Q27" s="448">
        <f t="shared" si="1"/>
        <v>1.6164215000838974E-2</v>
      </c>
      <c r="R27" s="449">
        <f t="shared" si="1"/>
        <v>1.6008537886872998E-2</v>
      </c>
    </row>
    <row r="28" spans="2:18" x14ac:dyDescent="0.25">
      <c r="B28" s="296" t="s">
        <v>48</v>
      </c>
      <c r="C28" s="446">
        <f>TM1used!W64</f>
        <v>0</v>
      </c>
      <c r="D28" s="447">
        <f>TM1used!X64</f>
        <v>0</v>
      </c>
      <c r="E28" s="447">
        <f>TM1used!Y64</f>
        <v>0.5187091000615246</v>
      </c>
      <c r="F28" s="1011">
        <f>TM1used!Z64</f>
        <v>0.96584845250800422</v>
      </c>
      <c r="G28" s="446">
        <f>TM1used!AB64</f>
        <v>0</v>
      </c>
      <c r="H28" s="447">
        <f>TM1used!AC64</f>
        <v>0</v>
      </c>
      <c r="I28" s="447">
        <f>TM1used!AD64</f>
        <v>0</v>
      </c>
      <c r="J28" s="1011">
        <f>TM1used!AE64</f>
        <v>0</v>
      </c>
      <c r="K28" s="446">
        <f>TM1used!AG64</f>
        <v>0</v>
      </c>
      <c r="L28" s="447">
        <f>TM1used!AH64</f>
        <v>0</v>
      </c>
      <c r="M28" s="447">
        <f>TM1used!AI64</f>
        <v>0</v>
      </c>
      <c r="N28" s="1011">
        <f>TM1used!AJ64</f>
        <v>0</v>
      </c>
      <c r="O28" s="448">
        <f t="shared" si="1"/>
        <v>0</v>
      </c>
      <c r="P28" s="448">
        <f t="shared" si="1"/>
        <v>0</v>
      </c>
      <c r="Q28" s="448">
        <f t="shared" si="1"/>
        <v>0.5187091000615246</v>
      </c>
      <c r="R28" s="449">
        <f t="shared" si="1"/>
        <v>0.96584845250800422</v>
      </c>
    </row>
    <row r="29" spans="2:18" x14ac:dyDescent="0.25">
      <c r="B29" s="296" t="s">
        <v>49</v>
      </c>
      <c r="C29" s="446">
        <f>TM1used!W65</f>
        <v>0</v>
      </c>
      <c r="D29" s="447">
        <f>TM1used!X65</f>
        <v>0</v>
      </c>
      <c r="E29" s="447">
        <f>TM1used!Y65</f>
        <v>0.21505677051289218</v>
      </c>
      <c r="F29" s="1011">
        <f>TM1used!Z65</f>
        <v>1.8143009605122731E-2</v>
      </c>
      <c r="G29" s="446">
        <f>TM1used!AB65</f>
        <v>0</v>
      </c>
      <c r="H29" s="447">
        <f>TM1used!AC65</f>
        <v>0</v>
      </c>
      <c r="I29" s="447">
        <f>TM1used!AD65</f>
        <v>0</v>
      </c>
      <c r="J29" s="1011">
        <f>TM1used!AE65</f>
        <v>0</v>
      </c>
      <c r="K29" s="446">
        <f>TM1used!AG65</f>
        <v>0</v>
      </c>
      <c r="L29" s="447">
        <f>TM1used!AH65</f>
        <v>0</v>
      </c>
      <c r="M29" s="447">
        <f>TM1used!AI65</f>
        <v>0</v>
      </c>
      <c r="N29" s="1011">
        <f>TM1used!AJ65</f>
        <v>0</v>
      </c>
      <c r="O29" s="448">
        <f t="shared" si="1"/>
        <v>0</v>
      </c>
      <c r="P29" s="448">
        <f t="shared" si="1"/>
        <v>0</v>
      </c>
      <c r="Q29" s="448">
        <f t="shared" si="1"/>
        <v>0.21505677051289218</v>
      </c>
      <c r="R29" s="449">
        <f t="shared" si="1"/>
        <v>1.8143009605122731E-2</v>
      </c>
    </row>
    <row r="30" spans="2:18" x14ac:dyDescent="0.25">
      <c r="B30" s="296" t="s">
        <v>65</v>
      </c>
      <c r="C30" s="446">
        <f>TM1used!W66</f>
        <v>0</v>
      </c>
      <c r="D30" s="447">
        <f>TM1used!X66</f>
        <v>0</v>
      </c>
      <c r="E30" s="447">
        <f>TM1used!Y66</f>
        <v>5.8112869847306896E-2</v>
      </c>
      <c r="F30" s="1011">
        <f>TM1used!Z66</f>
        <v>0</v>
      </c>
      <c r="G30" s="446">
        <f>TM1used!AB66</f>
        <v>0</v>
      </c>
      <c r="H30" s="447">
        <f>TM1used!AC66</f>
        <v>0</v>
      </c>
      <c r="I30" s="447">
        <f>TM1used!AD66</f>
        <v>0</v>
      </c>
      <c r="J30" s="1011">
        <f>TM1used!AE66</f>
        <v>0</v>
      </c>
      <c r="K30" s="446">
        <f>TM1used!AG66</f>
        <v>0</v>
      </c>
      <c r="L30" s="447">
        <f>TM1used!AH66</f>
        <v>0</v>
      </c>
      <c r="M30" s="447">
        <f>TM1used!AI66</f>
        <v>0</v>
      </c>
      <c r="N30" s="1011">
        <f>TM1used!AJ66</f>
        <v>0</v>
      </c>
      <c r="O30" s="448">
        <f t="shared" si="1"/>
        <v>0</v>
      </c>
      <c r="P30" s="448">
        <f t="shared" si="1"/>
        <v>0</v>
      </c>
      <c r="Q30" s="448">
        <f t="shared" si="1"/>
        <v>5.8112869847306896E-2</v>
      </c>
      <c r="R30" s="449">
        <f t="shared" si="1"/>
        <v>0</v>
      </c>
    </row>
    <row r="31" spans="2:18" x14ac:dyDescent="0.25">
      <c r="B31" s="296" t="s">
        <v>72</v>
      </c>
      <c r="C31" s="1012"/>
      <c r="D31" s="451"/>
      <c r="E31" s="451"/>
      <c r="F31" s="1013"/>
      <c r="G31" s="1012"/>
      <c r="H31" s="451"/>
      <c r="I31" s="451"/>
      <c r="J31" s="1013"/>
      <c r="K31" s="1012"/>
      <c r="L31" s="451"/>
      <c r="M31" s="451"/>
      <c r="N31" s="1013"/>
      <c r="O31" s="452">
        <f t="shared" si="1"/>
        <v>0</v>
      </c>
      <c r="P31" s="452">
        <f t="shared" si="1"/>
        <v>0</v>
      </c>
      <c r="Q31" s="452">
        <f t="shared" si="1"/>
        <v>0</v>
      </c>
      <c r="R31" s="453">
        <f t="shared" si="1"/>
        <v>0</v>
      </c>
    </row>
    <row r="32" spans="2:18" ht="15.75" thickBot="1" x14ac:dyDescent="0.3">
      <c r="B32" s="430" t="s">
        <v>13</v>
      </c>
      <c r="C32" s="454">
        <f t="shared" ref="C32:R32" si="2">SUM(C25:C31)</f>
        <v>0</v>
      </c>
      <c r="D32" s="455">
        <f t="shared" si="2"/>
        <v>0</v>
      </c>
      <c r="E32" s="455">
        <f t="shared" si="2"/>
        <v>0.99999999999999989</v>
      </c>
      <c r="F32" s="1014">
        <f t="shared" si="2"/>
        <v>0.99999999999999989</v>
      </c>
      <c r="G32" s="454">
        <f t="shared" si="2"/>
        <v>0</v>
      </c>
      <c r="H32" s="455">
        <f t="shared" si="2"/>
        <v>0</v>
      </c>
      <c r="I32" s="455">
        <f t="shared" si="2"/>
        <v>0</v>
      </c>
      <c r="J32" s="1014">
        <f t="shared" si="2"/>
        <v>0</v>
      </c>
      <c r="K32" s="454">
        <f t="shared" si="2"/>
        <v>0</v>
      </c>
      <c r="L32" s="455">
        <f t="shared" si="2"/>
        <v>0</v>
      </c>
      <c r="M32" s="455">
        <f t="shared" si="2"/>
        <v>0</v>
      </c>
      <c r="N32" s="1014">
        <f t="shared" si="2"/>
        <v>0</v>
      </c>
      <c r="O32" s="456">
        <f t="shared" si="2"/>
        <v>0</v>
      </c>
      <c r="P32" s="456">
        <f t="shared" si="2"/>
        <v>0</v>
      </c>
      <c r="Q32" s="456">
        <f t="shared" si="2"/>
        <v>0.99999999999999989</v>
      </c>
      <c r="R32" s="457">
        <f t="shared" si="2"/>
        <v>0.99999999999999989</v>
      </c>
    </row>
    <row r="34" spans="2:18" ht="15.75" thickBot="1" x14ac:dyDescent="0.3"/>
    <row r="35" spans="2:18" ht="16.5" thickBot="1" x14ac:dyDescent="0.3">
      <c r="C35" s="458" t="s">
        <v>111</v>
      </c>
      <c r="D35" s="459"/>
      <c r="E35" s="460"/>
      <c r="F35" s="461"/>
      <c r="G35" s="458" t="s">
        <v>489</v>
      </c>
      <c r="H35" s="461"/>
      <c r="I35" s="462" t="s">
        <v>490</v>
      </c>
      <c r="J35" s="463"/>
      <c r="K35" s="463"/>
      <c r="L35" s="464"/>
      <c r="M35" s="462" t="s">
        <v>279</v>
      </c>
      <c r="N35" s="982"/>
      <c r="O35" s="982"/>
      <c r="P35" s="983"/>
    </row>
    <row r="36" spans="2:18" ht="17.25" x14ac:dyDescent="0.4">
      <c r="B36" s="1025" t="s">
        <v>96</v>
      </c>
      <c r="C36" s="465" t="str">
        <f>C22</f>
        <v>Hemo Dialysis</v>
      </c>
      <c r="D36" s="466"/>
      <c r="E36" s="466" t="str">
        <f>E22</f>
        <v>Home Dialysis</v>
      </c>
      <c r="F36" s="467"/>
      <c r="G36" s="468"/>
      <c r="H36" s="1023"/>
      <c r="I36" s="469" t="str">
        <f>K22</f>
        <v>Hemo Dialysis</v>
      </c>
      <c r="J36" s="470"/>
      <c r="K36" s="470" t="str">
        <f>M22</f>
        <v>Home Dialysis</v>
      </c>
      <c r="L36" s="471"/>
      <c r="M36" s="984"/>
      <c r="N36" s="23"/>
      <c r="O36" s="23"/>
      <c r="P36" s="985"/>
    </row>
    <row r="37" spans="2:18" ht="32.25" x14ac:dyDescent="0.4">
      <c r="B37" s="1026" t="s">
        <v>97</v>
      </c>
      <c r="C37" s="472" t="str">
        <f>C23</f>
        <v>In Center</v>
      </c>
      <c r="D37" s="473" t="str">
        <f>D23</f>
        <v>Nocturnal</v>
      </c>
      <c r="E37" s="473" t="str">
        <f>E23</f>
        <v>Peritoneal</v>
      </c>
      <c r="F37" s="474" t="str">
        <f>F23</f>
        <v>Home HD</v>
      </c>
      <c r="G37" s="475" t="s">
        <v>243</v>
      </c>
      <c r="H37" s="1024" t="s">
        <v>244</v>
      </c>
      <c r="I37" s="476" t="str">
        <f>K23</f>
        <v>In Center</v>
      </c>
      <c r="J37" s="477" t="str">
        <f>L23</f>
        <v>Nocturnal</v>
      </c>
      <c r="K37" s="477" t="str">
        <f>M23</f>
        <v>Peritoneal</v>
      </c>
      <c r="L37" s="478" t="str">
        <f>N23</f>
        <v>Home HD</v>
      </c>
      <c r="M37" s="986" t="str">
        <f>'A1'!M16</f>
        <v>Utilities</v>
      </c>
      <c r="N37" s="987" t="str">
        <f>'A1'!M17</f>
        <v>Office Expense</v>
      </c>
      <c r="O37" s="987" t="str">
        <f>'A1'!M18</f>
        <v>Outside Service</v>
      </c>
      <c r="P37" s="988" t="str">
        <f>'A1'!M19</f>
        <v>Other G&amp;A</v>
      </c>
    </row>
    <row r="38" spans="2:18" x14ac:dyDescent="0.25">
      <c r="B38" s="1027" t="str">
        <f>E6</f>
        <v>95076 - WB Santa Cruz</v>
      </c>
      <c r="C38" s="479">
        <f>TM1used!W72</f>
        <v>0</v>
      </c>
      <c r="D38" s="480">
        <f>TM1used!X72</f>
        <v>0</v>
      </c>
      <c r="E38" s="480">
        <f>TM1used!Y72</f>
        <v>12.49988347704498</v>
      </c>
      <c r="F38" s="481">
        <f>TM1used!Z72</f>
        <v>16.438596491228068</v>
      </c>
      <c r="G38" s="420">
        <f>TM1used!Y77</f>
        <v>334.03635659353108</v>
      </c>
      <c r="H38" s="422">
        <f>TM1used!Y78</f>
        <v>69.554731395611896</v>
      </c>
      <c r="I38" s="426">
        <f>TM1used!W76</f>
        <v>0</v>
      </c>
      <c r="J38" s="421">
        <f>TM1used!X76</f>
        <v>0</v>
      </c>
      <c r="K38" s="421">
        <f>TM1used!Y76</f>
        <v>170.64324162982226</v>
      </c>
      <c r="L38" s="422">
        <f>TM1used!Z76</f>
        <v>161.26529411764704</v>
      </c>
      <c r="M38" s="1001">
        <f>TM1used!W108</f>
        <v>23762.71</v>
      </c>
      <c r="N38" s="1002">
        <f>TM1used!W109</f>
        <v>9371.17</v>
      </c>
      <c r="O38" s="1002">
        <f>TM1used!W110</f>
        <v>26213.57</v>
      </c>
      <c r="P38" s="1003">
        <f>TM1used!W111</f>
        <v>83158.399999999994</v>
      </c>
    </row>
    <row r="39" spans="2:18" x14ac:dyDescent="0.25">
      <c r="B39" s="1027">
        <f>E7</f>
        <v>0</v>
      </c>
      <c r="C39" s="482">
        <f>TM1used!AB72</f>
        <v>0</v>
      </c>
      <c r="D39" s="483">
        <f>TM1used!AC72</f>
        <v>0</v>
      </c>
      <c r="E39" s="483">
        <f>TM1used!AD72</f>
        <v>0</v>
      </c>
      <c r="F39" s="484">
        <f>TM1used!AE72</f>
        <v>0</v>
      </c>
      <c r="G39" s="426">
        <f>TM1used!AB77</f>
        <v>0</v>
      </c>
      <c r="H39" s="372">
        <f>TM1used!AB78</f>
        <v>0</v>
      </c>
      <c r="I39" s="426">
        <f>TM1used!AB76</f>
        <v>0</v>
      </c>
      <c r="J39" s="371">
        <f>TM1used!AC76</f>
        <v>0</v>
      </c>
      <c r="K39" s="371">
        <f>TM1used!AD76</f>
        <v>0</v>
      </c>
      <c r="L39" s="372">
        <f>TM1used!AE76</f>
        <v>0</v>
      </c>
      <c r="M39" s="1001">
        <f>TM1used!AB108</f>
        <v>0</v>
      </c>
      <c r="N39" s="1002">
        <f>TM1used!AB109</f>
        <v>0</v>
      </c>
      <c r="O39" s="1002">
        <f>TM1used!AB110</f>
        <v>0</v>
      </c>
      <c r="P39" s="1003">
        <f>TM1used!AB111</f>
        <v>0</v>
      </c>
    </row>
    <row r="40" spans="2:18" x14ac:dyDescent="0.25">
      <c r="B40" s="1028">
        <f>E8</f>
        <v>0</v>
      </c>
      <c r="C40" s="485">
        <f>TM1used!AG72</f>
        <v>0</v>
      </c>
      <c r="D40" s="486">
        <f>TM1used!AH72</f>
        <v>0</v>
      </c>
      <c r="E40" s="486">
        <f>TM1used!AI72</f>
        <v>0</v>
      </c>
      <c r="F40" s="487">
        <f>TM1used!AJ72</f>
        <v>0</v>
      </c>
      <c r="G40" s="426">
        <f>TM1used!AG77</f>
        <v>0</v>
      </c>
      <c r="H40" s="372">
        <f>TM1used!AG78</f>
        <v>0</v>
      </c>
      <c r="I40" s="426">
        <f>TM1used!AG76</f>
        <v>0</v>
      </c>
      <c r="J40" s="277">
        <f>TM1used!AH76</f>
        <v>0</v>
      </c>
      <c r="K40" s="277">
        <f>TM1used!AI76</f>
        <v>0</v>
      </c>
      <c r="L40" s="1022">
        <f>TM1used!AJ76</f>
        <v>0</v>
      </c>
      <c r="M40" s="1001">
        <f>TM1used!AG108</f>
        <v>0</v>
      </c>
      <c r="N40" s="1002">
        <f>TM1used!AG109</f>
        <v>0</v>
      </c>
      <c r="O40" s="1002">
        <f>TM1used!AG110</f>
        <v>0</v>
      </c>
      <c r="P40" s="1003">
        <f>TM1used!AG111</f>
        <v>0</v>
      </c>
    </row>
    <row r="41" spans="2:18" x14ac:dyDescent="0.25">
      <c r="B41" s="1029" t="s">
        <v>106</v>
      </c>
      <c r="C41" s="488">
        <v>1</v>
      </c>
      <c r="D41" s="489">
        <v>1</v>
      </c>
      <c r="E41" s="418">
        <v>1</v>
      </c>
      <c r="F41" s="419">
        <v>1</v>
      </c>
      <c r="G41" s="417">
        <v>1</v>
      </c>
      <c r="H41" s="419">
        <v>1</v>
      </c>
      <c r="I41" s="417">
        <v>1</v>
      </c>
      <c r="J41" s="418">
        <v>1</v>
      </c>
      <c r="K41" s="418">
        <v>1</v>
      </c>
      <c r="L41" s="419">
        <v>1</v>
      </c>
      <c r="M41" s="417">
        <v>1</v>
      </c>
      <c r="N41" s="418">
        <v>1</v>
      </c>
      <c r="O41" s="418">
        <v>1</v>
      </c>
      <c r="P41" s="419">
        <v>1</v>
      </c>
    </row>
    <row r="42" spans="2:18" ht="15.75" thickBot="1" x14ac:dyDescent="0.3">
      <c r="B42" s="1162" t="s">
        <v>926</v>
      </c>
      <c r="C42" s="490">
        <f t="shared" ref="C42:L42" si="3">CHOOSE(C41,C38,C39,C40)</f>
        <v>0</v>
      </c>
      <c r="D42" s="491">
        <f t="shared" si="3"/>
        <v>0</v>
      </c>
      <c r="E42" s="491">
        <f>CHOOSE(E41,E38,E39,E40)</f>
        <v>12.49988347704498</v>
      </c>
      <c r="F42" s="492">
        <f t="shared" si="3"/>
        <v>16.438596491228068</v>
      </c>
      <c r="G42" s="493">
        <f t="shared" si="3"/>
        <v>334.03635659353108</v>
      </c>
      <c r="H42" s="495">
        <f t="shared" si="3"/>
        <v>69.554731395611896</v>
      </c>
      <c r="I42" s="493">
        <f t="shared" si="3"/>
        <v>0</v>
      </c>
      <c r="J42" s="494">
        <f t="shared" si="3"/>
        <v>0</v>
      </c>
      <c r="K42" s="494">
        <f t="shared" si="3"/>
        <v>170.64324162982226</v>
      </c>
      <c r="L42" s="495">
        <f t="shared" si="3"/>
        <v>161.26529411764704</v>
      </c>
      <c r="M42" s="1004">
        <f>CHOOSE(M41,M38,M39,M40)</f>
        <v>23762.71</v>
      </c>
      <c r="N42" s="1005">
        <f>CHOOSE(N41,N38,N39,N40)</f>
        <v>9371.17</v>
      </c>
      <c r="O42" s="1005">
        <f>CHOOSE(O41,O38,O39,O40)</f>
        <v>26213.57</v>
      </c>
      <c r="P42" s="1006">
        <f>CHOOSE(P41,P38,P39,P40)</f>
        <v>83158.399999999994</v>
      </c>
    </row>
    <row r="44" spans="2:18" ht="15.75" thickBot="1" x14ac:dyDescent="0.3"/>
    <row r="45" spans="2:18" ht="15" customHeight="1" x14ac:dyDescent="0.25">
      <c r="B45" s="1710" t="s">
        <v>149</v>
      </c>
      <c r="C45" s="392" t="str">
        <f>$E$6</f>
        <v>95076 - WB Santa Cruz</v>
      </c>
      <c r="D45" s="393"/>
      <c r="E45" s="393"/>
      <c r="F45" s="394"/>
      <c r="G45" s="392">
        <f>$E$7</f>
        <v>0</v>
      </c>
      <c r="H45" s="393"/>
      <c r="I45" s="393"/>
      <c r="J45" s="394"/>
      <c r="K45" s="392">
        <f>$E$8</f>
        <v>0</v>
      </c>
      <c r="L45" s="393"/>
      <c r="M45" s="395"/>
      <c r="N45" s="396"/>
      <c r="O45" s="397" t="s">
        <v>245</v>
      </c>
      <c r="P45" s="398"/>
      <c r="Q45" s="399"/>
      <c r="R45" s="400"/>
    </row>
    <row r="46" spans="2:18" ht="16.5" x14ac:dyDescent="0.35">
      <c r="B46" s="1711"/>
      <c r="C46" s="401" t="s">
        <v>74</v>
      </c>
      <c r="D46" s="402"/>
      <c r="E46" s="402" t="s">
        <v>77</v>
      </c>
      <c r="F46" s="403"/>
      <c r="G46" s="401" t="s">
        <v>74</v>
      </c>
      <c r="H46" s="402"/>
      <c r="I46" s="402" t="s">
        <v>77</v>
      </c>
      <c r="J46" s="403"/>
      <c r="K46" s="401" t="s">
        <v>74</v>
      </c>
      <c r="L46" s="402"/>
      <c r="M46" s="402" t="s">
        <v>77</v>
      </c>
      <c r="N46" s="403"/>
      <c r="O46" s="404" t="s">
        <v>74</v>
      </c>
      <c r="P46" s="405"/>
      <c r="Q46" s="405" t="s">
        <v>77</v>
      </c>
      <c r="R46" s="406"/>
    </row>
    <row r="47" spans="2:18" ht="15.75" thickBot="1" x14ac:dyDescent="0.3">
      <c r="B47" s="1712"/>
      <c r="C47" s="407" t="s">
        <v>75</v>
      </c>
      <c r="D47" s="408" t="s">
        <v>76</v>
      </c>
      <c r="E47" s="408" t="s">
        <v>78</v>
      </c>
      <c r="F47" s="409" t="s">
        <v>83</v>
      </c>
      <c r="G47" s="407" t="s">
        <v>75</v>
      </c>
      <c r="H47" s="408" t="s">
        <v>76</v>
      </c>
      <c r="I47" s="408" t="s">
        <v>78</v>
      </c>
      <c r="J47" s="409" t="s">
        <v>83</v>
      </c>
      <c r="K47" s="407" t="s">
        <v>75</v>
      </c>
      <c r="L47" s="408" t="s">
        <v>76</v>
      </c>
      <c r="M47" s="408" t="s">
        <v>78</v>
      </c>
      <c r="N47" s="409" t="s">
        <v>83</v>
      </c>
      <c r="O47" s="410" t="s">
        <v>75</v>
      </c>
      <c r="P47" s="411" t="s">
        <v>76</v>
      </c>
      <c r="Q47" s="411" t="s">
        <v>78</v>
      </c>
      <c r="R47" s="412" t="s">
        <v>83</v>
      </c>
    </row>
    <row r="48" spans="2:18" x14ac:dyDescent="0.25">
      <c r="B48" s="413" t="s">
        <v>106</v>
      </c>
      <c r="C48" s="414"/>
      <c r="D48" s="415"/>
      <c r="E48" s="415"/>
      <c r="F48" s="416"/>
      <c r="G48" s="414"/>
      <c r="H48" s="415"/>
      <c r="I48" s="415"/>
      <c r="J48" s="416"/>
      <c r="K48" s="414"/>
      <c r="L48" s="415"/>
      <c r="M48" s="415"/>
      <c r="N48" s="416"/>
      <c r="O48" s="417">
        <v>1</v>
      </c>
      <c r="P48" s="418">
        <v>1</v>
      </c>
      <c r="Q48" s="418">
        <v>1</v>
      </c>
      <c r="R48" s="419">
        <v>1</v>
      </c>
    </row>
    <row r="49" spans="2:24" x14ac:dyDescent="0.25">
      <c r="B49" s="497" t="s">
        <v>142</v>
      </c>
      <c r="C49" s="420"/>
      <c r="D49" s="421"/>
      <c r="E49" s="421"/>
      <c r="F49" s="422"/>
      <c r="G49" s="420"/>
      <c r="H49" s="421"/>
      <c r="I49" s="421"/>
      <c r="J49" s="422"/>
      <c r="K49" s="420"/>
      <c r="L49" s="421"/>
      <c r="M49" s="421"/>
      <c r="N49" s="422"/>
      <c r="O49" s="423"/>
      <c r="P49" s="424"/>
      <c r="Q49" s="424"/>
      <c r="R49" s="425"/>
    </row>
    <row r="50" spans="2:24" x14ac:dyDescent="0.25">
      <c r="B50" s="498" t="s">
        <v>228</v>
      </c>
      <c r="C50" s="426">
        <f>TM1used!W84</f>
        <v>0</v>
      </c>
      <c r="D50" s="371">
        <f>TM1used!X84</f>
        <v>0</v>
      </c>
      <c r="E50" s="371">
        <f>TM1used!Y84</f>
        <v>5.8832639782239902</v>
      </c>
      <c r="F50" s="372">
        <f>TM1used!Z84</f>
        <v>0</v>
      </c>
      <c r="G50" s="426">
        <f>TM1used!AB84</f>
        <v>0</v>
      </c>
      <c r="H50" s="371">
        <f>TM1used!AC84</f>
        <v>2.1</v>
      </c>
      <c r="I50" s="371">
        <f>TM1used!AD84</f>
        <v>0</v>
      </c>
      <c r="J50" s="372">
        <f>TM1used!AE84</f>
        <v>0</v>
      </c>
      <c r="K50" s="426">
        <f>TM1used!AG84</f>
        <v>0</v>
      </c>
      <c r="L50" s="371">
        <f>TM1used!AH84</f>
        <v>0</v>
      </c>
      <c r="M50" s="371">
        <f>TM1used!AI84</f>
        <v>0</v>
      </c>
      <c r="N50" s="372">
        <f>TM1used!AJ84</f>
        <v>0</v>
      </c>
      <c r="O50" s="427">
        <f>CHOOSE(O$48,C50,G50,K50)</f>
        <v>0</v>
      </c>
      <c r="P50" s="428">
        <f>CHOOSE(P$48,D50,H50,L50)</f>
        <v>0</v>
      </c>
      <c r="Q50" s="428">
        <f>CHOOSE(Q$48,E50,I50,M50)</f>
        <v>5.8832639782239902</v>
      </c>
      <c r="R50" s="429">
        <f>CHOOSE(R$48,F50,J50,N50)</f>
        <v>0</v>
      </c>
    </row>
    <row r="51" spans="2:24" x14ac:dyDescent="0.25">
      <c r="B51" s="499" t="s">
        <v>145</v>
      </c>
      <c r="C51" s="426"/>
      <c r="D51" s="371"/>
      <c r="E51" s="371"/>
      <c r="F51" s="372"/>
      <c r="G51" s="426"/>
      <c r="H51" s="371"/>
      <c r="I51" s="371"/>
      <c r="J51" s="372"/>
      <c r="K51" s="426"/>
      <c r="L51" s="371"/>
      <c r="M51" s="371"/>
      <c r="N51" s="372"/>
      <c r="O51" s="427"/>
      <c r="P51" s="428"/>
      <c r="Q51" s="428"/>
      <c r="R51" s="429"/>
    </row>
    <row r="52" spans="2:24" x14ac:dyDescent="0.25">
      <c r="B52" s="498" t="s">
        <v>146</v>
      </c>
      <c r="C52" s="426">
        <f>TM1used!W85</f>
        <v>0</v>
      </c>
      <c r="D52" s="371">
        <f>TM1used!X85</f>
        <v>0</v>
      </c>
      <c r="E52" s="371">
        <f>TM1used!Y85</f>
        <v>118</v>
      </c>
      <c r="F52" s="372">
        <f>TM1used!Z85</f>
        <v>120</v>
      </c>
      <c r="G52" s="426">
        <f>TM1used!AB85</f>
        <v>0</v>
      </c>
      <c r="H52" s="371">
        <f>TM1used!AC85</f>
        <v>8</v>
      </c>
      <c r="I52" s="371">
        <f>TM1used!AD85</f>
        <v>0</v>
      </c>
      <c r="J52" s="372">
        <f>TM1used!AE85</f>
        <v>0</v>
      </c>
      <c r="K52" s="426">
        <f>TM1used!AG85</f>
        <v>0</v>
      </c>
      <c r="L52" s="371">
        <f>TM1used!AH85</f>
        <v>0</v>
      </c>
      <c r="M52" s="371">
        <f>TM1used!AI85</f>
        <v>0</v>
      </c>
      <c r="N52" s="372">
        <f>TM1used!AJ85</f>
        <v>0</v>
      </c>
      <c r="O52" s="427">
        <f t="shared" ref="O52:R54" si="4">CHOOSE(O$48,C52,G52,K52)</f>
        <v>0</v>
      </c>
      <c r="P52" s="428">
        <f t="shared" si="4"/>
        <v>0</v>
      </c>
      <c r="Q52" s="428">
        <f t="shared" si="4"/>
        <v>118</v>
      </c>
      <c r="R52" s="429">
        <f t="shared" si="4"/>
        <v>120</v>
      </c>
    </row>
    <row r="53" spans="2:24" x14ac:dyDescent="0.25">
      <c r="B53" s="498" t="s">
        <v>227</v>
      </c>
      <c r="C53" s="426">
        <f>TM1used!W86</f>
        <v>0</v>
      </c>
      <c r="D53" s="371">
        <f>TM1used!X86</f>
        <v>0</v>
      </c>
      <c r="E53" s="371">
        <f>TM1used!Y86</f>
        <v>0.32476518075209276</v>
      </c>
      <c r="F53" s="372">
        <f>TM1used!Z86</f>
        <v>0</v>
      </c>
      <c r="G53" s="426">
        <f>TM1used!AB86</f>
        <v>0</v>
      </c>
      <c r="H53" s="371">
        <f>TM1used!AC86</f>
        <v>0</v>
      </c>
      <c r="I53" s="371">
        <f>TM1used!AD86</f>
        <v>0</v>
      </c>
      <c r="J53" s="372">
        <f>TM1used!AE86</f>
        <v>0</v>
      </c>
      <c r="K53" s="426">
        <f>TM1used!AG86</f>
        <v>0</v>
      </c>
      <c r="L53" s="371">
        <f>TM1used!AH86</f>
        <v>0</v>
      </c>
      <c r="M53" s="371">
        <f>TM1used!AI86</f>
        <v>0</v>
      </c>
      <c r="N53" s="372">
        <f>TM1used!AJ86</f>
        <v>0</v>
      </c>
      <c r="O53" s="427">
        <f t="shared" si="4"/>
        <v>0</v>
      </c>
      <c r="P53" s="428">
        <f t="shared" si="4"/>
        <v>0</v>
      </c>
      <c r="Q53" s="428">
        <f t="shared" si="4"/>
        <v>0.32476518075209276</v>
      </c>
      <c r="R53" s="429">
        <f t="shared" si="4"/>
        <v>0</v>
      </c>
    </row>
    <row r="54" spans="2:24" ht="15.75" thickBot="1" x14ac:dyDescent="0.3">
      <c r="B54" s="500" t="s">
        <v>148</v>
      </c>
      <c r="C54" s="501">
        <f>TM1used!W87</f>
        <v>0</v>
      </c>
      <c r="D54" s="502">
        <f>TM1used!X87</f>
        <v>0</v>
      </c>
      <c r="E54" s="502">
        <f>TM1used!Y87</f>
        <v>5.7341193579059233</v>
      </c>
      <c r="F54" s="503">
        <f>TM1used!Z87</f>
        <v>0</v>
      </c>
      <c r="G54" s="501">
        <f>TM1used!AB87</f>
        <v>0</v>
      </c>
      <c r="H54" s="502">
        <f>TM1used!AC87</f>
        <v>0</v>
      </c>
      <c r="I54" s="502">
        <f>TM1used!AD87</f>
        <v>0</v>
      </c>
      <c r="J54" s="503">
        <f>TM1used!AE87</f>
        <v>0</v>
      </c>
      <c r="K54" s="501">
        <f>TM1used!AG87</f>
        <v>0</v>
      </c>
      <c r="L54" s="502">
        <f>TM1used!AH87</f>
        <v>0</v>
      </c>
      <c r="M54" s="502">
        <f>TM1used!AI87</f>
        <v>0</v>
      </c>
      <c r="N54" s="503">
        <f>TM1used!AJ87</f>
        <v>0</v>
      </c>
      <c r="O54" s="504">
        <f t="shared" si="4"/>
        <v>0</v>
      </c>
      <c r="P54" s="431">
        <f t="shared" si="4"/>
        <v>0</v>
      </c>
      <c r="Q54" s="431">
        <f t="shared" si="4"/>
        <v>5.7341193579059233</v>
      </c>
      <c r="R54" s="432">
        <f t="shared" si="4"/>
        <v>0</v>
      </c>
    </row>
    <row r="56" spans="2:24" ht="15.75" thickBot="1" x14ac:dyDescent="0.3"/>
    <row r="57" spans="2:24" ht="16.5" thickBot="1" x14ac:dyDescent="0.3">
      <c r="B57" s="1">
        <f>'A1'!X67</f>
        <v>1</v>
      </c>
      <c r="C57" s="462" t="s">
        <v>292</v>
      </c>
      <c r="D57" s="982"/>
      <c r="E57" s="463"/>
      <c r="F57" s="463"/>
      <c r="G57" s="463"/>
      <c r="H57" s="463"/>
      <c r="I57" s="463"/>
      <c r="J57" s="463"/>
      <c r="K57" s="464"/>
      <c r="M57" s="458" t="s">
        <v>107</v>
      </c>
      <c r="N57" s="460"/>
      <c r="O57" s="460"/>
      <c r="P57" s="460"/>
      <c r="Q57" s="461"/>
      <c r="R57" s="461"/>
    </row>
    <row r="58" spans="2:24" ht="45" x14ac:dyDescent="0.25">
      <c r="B58" s="1122" t="s">
        <v>298</v>
      </c>
      <c r="C58" s="1123" t="s">
        <v>250</v>
      </c>
      <c r="D58" s="1123" t="s">
        <v>288</v>
      </c>
      <c r="E58" s="1123" t="s">
        <v>248</v>
      </c>
      <c r="F58" s="1123" t="s">
        <v>232</v>
      </c>
      <c r="G58" s="1123" t="s">
        <v>235</v>
      </c>
      <c r="H58" s="1123" t="s">
        <v>236</v>
      </c>
      <c r="I58" s="1123" t="s">
        <v>237</v>
      </c>
      <c r="J58" s="1123" t="s">
        <v>238</v>
      </c>
      <c r="K58" s="1124" t="s">
        <v>239</v>
      </c>
      <c r="M58" s="1042" t="str">
        <f>'A1'!E69 &amp; ":  "
&amp; 'A1'!E70</f>
        <v>Hemo Dialysis:  1x1</v>
      </c>
      <c r="N58" s="1030" t="str">
        <f>'A1'!E69 &amp; ":  " &amp; 'A1'!F70</f>
        <v>Hemo Dialysis:  2x1</v>
      </c>
      <c r="O58" s="473" t="str">
        <f>'A1'!G69</f>
        <v>Peritoneal</v>
      </c>
      <c r="P58" s="473" t="str">
        <f>'A1'!H69</f>
        <v>CRRT</v>
      </c>
      <c r="Q58" s="473" t="str">
        <f>'A1'!I69</f>
        <v>Apheresis</v>
      </c>
      <c r="R58" s="1031" t="s">
        <v>879</v>
      </c>
      <c r="X58" s="496"/>
    </row>
    <row r="59" spans="2:24" ht="17.25" x14ac:dyDescent="0.4">
      <c r="B59" s="1142" t="s">
        <v>917</v>
      </c>
      <c r="C59" s="155"/>
      <c r="D59" s="155"/>
      <c r="E59" s="155"/>
      <c r="F59" s="155"/>
      <c r="G59" s="155"/>
      <c r="H59" s="155"/>
      <c r="I59" s="155"/>
      <c r="J59" s="155"/>
      <c r="K59" s="1119"/>
      <c r="L59" s="150">
        <f>K6</f>
        <v>0</v>
      </c>
      <c r="M59" s="426">
        <f>TM1used!W117</f>
        <v>0</v>
      </c>
      <c r="N59" s="371">
        <f>TM1used!X117</f>
        <v>0</v>
      </c>
      <c r="O59" s="371">
        <f>TM1used!Y117</f>
        <v>0</v>
      </c>
      <c r="P59" s="371">
        <f>TM1used!Z117</f>
        <v>0</v>
      </c>
      <c r="Q59" s="371">
        <f>TM1used!AA117</f>
        <v>0</v>
      </c>
      <c r="R59" s="372">
        <f>TM1used!AB117</f>
        <v>0</v>
      </c>
      <c r="X59" s="496"/>
    </row>
    <row r="60" spans="2:24" x14ac:dyDescent="0.25">
      <c r="B60" s="1140" t="str">
        <f>E6</f>
        <v>95076 - WB Santa Cruz</v>
      </c>
      <c r="C60" s="371">
        <f>TM1used!W94</f>
        <v>67.251505786676844</v>
      </c>
      <c r="D60" s="371">
        <f>TM1used!X94</f>
        <v>0</v>
      </c>
      <c r="E60" s="371">
        <f>TM1used!Y94</f>
        <v>0</v>
      </c>
      <c r="F60" s="371">
        <f>TM1used!Z94</f>
        <v>51.264150080956092</v>
      </c>
      <c r="G60" s="371">
        <f>TM1used!AA94</f>
        <v>45.019197207678879</v>
      </c>
      <c r="H60" s="371">
        <f>TM1used!AB94</f>
        <v>25.94099774585996</v>
      </c>
      <c r="I60" s="371">
        <f>TM1used!AC94</f>
        <v>44.704866716111866</v>
      </c>
      <c r="J60" s="371">
        <f>TM1used!AD94</f>
        <v>43.41810080696937</v>
      </c>
      <c r="K60" s="372">
        <f>TM1used!AE94</f>
        <v>28.315270321348759</v>
      </c>
      <c r="L60" s="150">
        <f>K7</f>
        <v>0</v>
      </c>
      <c r="M60" s="426">
        <f>TM1used!W118</f>
        <v>0</v>
      </c>
      <c r="N60" s="371">
        <f>TM1used!X118</f>
        <v>0</v>
      </c>
      <c r="O60" s="371">
        <f>TM1used!Y118</f>
        <v>0</v>
      </c>
      <c r="P60" s="371">
        <f>TM1used!Z118</f>
        <v>0</v>
      </c>
      <c r="Q60" s="371">
        <f>TM1used!AA118</f>
        <v>0</v>
      </c>
      <c r="R60" s="372">
        <f>TM1used!AB118</f>
        <v>0</v>
      </c>
    </row>
    <row r="61" spans="2:24" x14ac:dyDescent="0.25">
      <c r="B61" s="1140">
        <f>E7</f>
        <v>0</v>
      </c>
      <c r="C61" s="371">
        <f>TM1used!W95</f>
        <v>0</v>
      </c>
      <c r="D61" s="371">
        <f>TM1used!X95</f>
        <v>0</v>
      </c>
      <c r="E61" s="371">
        <f>TM1used!Y95</f>
        <v>0</v>
      </c>
      <c r="F61" s="371">
        <f>TM1used!Z95</f>
        <v>0</v>
      </c>
      <c r="G61" s="371">
        <f>TM1used!AA95</f>
        <v>0</v>
      </c>
      <c r="H61" s="371">
        <f>TM1used!AB95</f>
        <v>0</v>
      </c>
      <c r="I61" s="371">
        <f>TM1used!AC95</f>
        <v>0</v>
      </c>
      <c r="J61" s="371">
        <f>TM1used!AD95</f>
        <v>0</v>
      </c>
      <c r="K61" s="372">
        <f>TM1used!AE95</f>
        <v>0</v>
      </c>
      <c r="L61" s="150">
        <f>K8</f>
        <v>0</v>
      </c>
      <c r="M61" s="426">
        <f>TM1used!W119</f>
        <v>0</v>
      </c>
      <c r="N61" s="371">
        <f>TM1used!X119</f>
        <v>0</v>
      </c>
      <c r="O61" s="371">
        <f>TM1used!Y119</f>
        <v>0</v>
      </c>
      <c r="P61" s="371">
        <f>TM1used!Z119</f>
        <v>0</v>
      </c>
      <c r="Q61" s="371">
        <f>TM1used!AA119</f>
        <v>0</v>
      </c>
      <c r="R61" s="372">
        <f>TM1used!AB119</f>
        <v>0</v>
      </c>
    </row>
    <row r="62" spans="2:24" x14ac:dyDescent="0.25">
      <c r="B62" s="1141">
        <f>E8</f>
        <v>0</v>
      </c>
      <c r="C62" s="371">
        <f>TM1used!W97</f>
        <v>0</v>
      </c>
      <c r="D62" s="371">
        <f>TM1used!X97</f>
        <v>0</v>
      </c>
      <c r="E62" s="371">
        <f>TM1used!Y97</f>
        <v>0</v>
      </c>
      <c r="F62" s="371">
        <f>TM1used!Z97</f>
        <v>0</v>
      </c>
      <c r="G62" s="371">
        <f>TM1used!AA97</f>
        <v>0</v>
      </c>
      <c r="H62" s="371">
        <f>TM1used!AB97</f>
        <v>0</v>
      </c>
      <c r="I62" s="371">
        <f>TM1used!AC97</f>
        <v>0</v>
      </c>
      <c r="J62" s="371">
        <f>TM1used!AD97</f>
        <v>0</v>
      </c>
      <c r="K62" s="372">
        <f>TM1used!AE97</f>
        <v>0</v>
      </c>
      <c r="L62" s="1163" t="s">
        <v>106</v>
      </c>
      <c r="M62" s="417">
        <v>1</v>
      </c>
      <c r="N62" s="418">
        <v>1</v>
      </c>
      <c r="O62" s="418">
        <v>1</v>
      </c>
      <c r="P62" s="418">
        <v>1</v>
      </c>
      <c r="Q62" s="418">
        <v>1</v>
      </c>
      <c r="R62" s="419">
        <v>1</v>
      </c>
    </row>
    <row r="63" spans="2:24" ht="14.85" customHeight="1" thickBot="1" x14ac:dyDescent="0.3">
      <c r="B63" s="1138" t="s">
        <v>106</v>
      </c>
      <c r="C63" s="1120">
        <v>1</v>
      </c>
      <c r="D63" s="1120">
        <v>1</v>
      </c>
      <c r="E63" s="1120">
        <v>1</v>
      </c>
      <c r="F63" s="1120">
        <v>1</v>
      </c>
      <c r="G63" s="1120">
        <v>1</v>
      </c>
      <c r="H63" s="1120">
        <v>1</v>
      </c>
      <c r="I63" s="1120">
        <v>1</v>
      </c>
      <c r="J63" s="1120">
        <v>1</v>
      </c>
      <c r="K63" s="1121">
        <v>1</v>
      </c>
      <c r="L63" s="1162" t="s">
        <v>926</v>
      </c>
      <c r="M63" s="493">
        <f t="shared" ref="M63:R63" si="5">CHOOSE(M62,M59,M60,M61)</f>
        <v>0</v>
      </c>
      <c r="N63" s="494">
        <f t="shared" si="5"/>
        <v>0</v>
      </c>
      <c r="O63" s="494">
        <f t="shared" si="5"/>
        <v>0</v>
      </c>
      <c r="P63" s="494">
        <f t="shared" si="5"/>
        <v>0</v>
      </c>
      <c r="Q63" s="494">
        <f t="shared" si="5"/>
        <v>0</v>
      </c>
      <c r="R63" s="495">
        <f t="shared" si="5"/>
        <v>0</v>
      </c>
    </row>
    <row r="64" spans="2:24" ht="14.85" customHeight="1" thickBot="1" x14ac:dyDescent="0.3">
      <c r="B64" s="1161" t="s">
        <v>917</v>
      </c>
      <c r="C64" s="1125">
        <f>CHOOSE(C63,C60,C61,C62)</f>
        <v>67.251505786676844</v>
      </c>
      <c r="D64" s="1125">
        <f t="shared" ref="D64:K64" si="6">CHOOSE(D63,D60,D61,D62)</f>
        <v>0</v>
      </c>
      <c r="E64" s="1125">
        <f t="shared" si="6"/>
        <v>0</v>
      </c>
      <c r="F64" s="1125">
        <f t="shared" si="6"/>
        <v>51.264150080956092</v>
      </c>
      <c r="G64" s="1125">
        <f t="shared" si="6"/>
        <v>45.019197207678879</v>
      </c>
      <c r="H64" s="1125">
        <f t="shared" si="6"/>
        <v>25.94099774585996</v>
      </c>
      <c r="I64" s="1125">
        <f t="shared" si="6"/>
        <v>44.704866716111866</v>
      </c>
      <c r="J64" s="1125">
        <f t="shared" si="6"/>
        <v>43.41810080696937</v>
      </c>
      <c r="K64" s="1126">
        <f t="shared" si="6"/>
        <v>28.315270321348759</v>
      </c>
    </row>
    <row r="65" spans="2:18" ht="18" x14ac:dyDescent="0.4">
      <c r="B65" s="1143" t="s">
        <v>265</v>
      </c>
      <c r="K65" s="151"/>
      <c r="O65" s="458" t="s">
        <v>882</v>
      </c>
      <c r="P65" s="460"/>
      <c r="Q65" s="460"/>
      <c r="R65" s="461"/>
    </row>
    <row r="66" spans="2:18" ht="60" x14ac:dyDescent="0.25">
      <c r="B66" s="1136">
        <f>K6</f>
        <v>0</v>
      </c>
      <c r="C66" s="371">
        <f>TM1used!W98</f>
        <v>0</v>
      </c>
      <c r="D66" s="371">
        <f>TM1used!X98</f>
        <v>0</v>
      </c>
      <c r="E66" s="371">
        <f>TM1used!Y98</f>
        <v>0</v>
      </c>
      <c r="F66" s="371">
        <f>TM1used!Z98</f>
        <v>0</v>
      </c>
      <c r="G66" s="371">
        <f>TM1used!AA98</f>
        <v>0</v>
      </c>
      <c r="H66" s="371">
        <f>TM1used!AB98</f>
        <v>0</v>
      </c>
      <c r="I66" s="371">
        <f>TM1used!AC98</f>
        <v>0</v>
      </c>
      <c r="J66" s="371">
        <f>TM1used!AD98</f>
        <v>0</v>
      </c>
      <c r="K66" s="372">
        <f>TM1used!AE98</f>
        <v>0</v>
      </c>
      <c r="O66" s="986" t="str">
        <f>TM1used!V84</f>
        <v>Drugs - Others</v>
      </c>
      <c r="P66" s="987" t="str">
        <f>TM1used!V85</f>
        <v>Dialysis Supplies - Operations</v>
      </c>
      <c r="Q66" s="987" t="str">
        <f>TM1used!V86</f>
        <v>Other Direct Costs - Operations</v>
      </c>
      <c r="R66" s="988" t="str">
        <f>TM1used!V87</f>
        <v>Lab Services</v>
      </c>
    </row>
    <row r="67" spans="2:18" x14ac:dyDescent="0.25">
      <c r="B67" s="1136">
        <f>K7</f>
        <v>0</v>
      </c>
      <c r="C67" s="371">
        <f>TM1used!W99</f>
        <v>0</v>
      </c>
      <c r="D67" s="371">
        <f>TM1used!X99</f>
        <v>0</v>
      </c>
      <c r="E67" s="371">
        <f>TM1used!Y99</f>
        <v>0</v>
      </c>
      <c r="F67" s="371">
        <f>TM1used!Z99</f>
        <v>0</v>
      </c>
      <c r="G67" s="371">
        <f>TM1used!AA99</f>
        <v>0</v>
      </c>
      <c r="H67" s="371">
        <f>TM1used!AB99</f>
        <v>0</v>
      </c>
      <c r="I67" s="371">
        <f>TM1used!AC99</f>
        <v>0</v>
      </c>
      <c r="J67" s="371">
        <f>TM1used!AD99</f>
        <v>0</v>
      </c>
      <c r="K67" s="372">
        <f>TM1used!AE99</f>
        <v>0</v>
      </c>
      <c r="M67" s="170">
        <f>L59</f>
        <v>0</v>
      </c>
      <c r="N67" s="184"/>
      <c r="O67" s="371">
        <f t="array" ref="O67:R67">TRANSPOSE(TM1used!$AL$84:$AL$87)</f>
        <v>0</v>
      </c>
      <c r="P67" s="371">
        <v>0</v>
      </c>
      <c r="Q67" s="371">
        <v>0</v>
      </c>
      <c r="R67" s="372">
        <v>0</v>
      </c>
    </row>
    <row r="68" spans="2:18" x14ac:dyDescent="0.25">
      <c r="B68" s="1137">
        <f>K8</f>
        <v>0</v>
      </c>
      <c r="C68" s="277">
        <f>TM1used!W100</f>
        <v>0</v>
      </c>
      <c r="D68" s="277">
        <f>TM1used!X100</f>
        <v>0</v>
      </c>
      <c r="E68" s="277">
        <f>TM1used!Y100</f>
        <v>0</v>
      </c>
      <c r="F68" s="277">
        <f>TM1used!Z100</f>
        <v>0</v>
      </c>
      <c r="G68" s="277">
        <f>TM1used!AA100</f>
        <v>0</v>
      </c>
      <c r="H68" s="277">
        <f>TM1used!AB100</f>
        <v>0</v>
      </c>
      <c r="I68" s="277">
        <f>TM1used!AC100</f>
        <v>0</v>
      </c>
      <c r="J68" s="277">
        <f>TM1used!AD100</f>
        <v>0</v>
      </c>
      <c r="K68" s="1022">
        <f>TM1used!AE100</f>
        <v>0</v>
      </c>
      <c r="M68" s="172">
        <f>L60</f>
        <v>0</v>
      </c>
      <c r="N68" s="188"/>
      <c r="O68" s="371">
        <f t="array" ref="O68:R68">TRANSPOSE(TM1used!$AM$84:$AM$87)</f>
        <v>0</v>
      </c>
      <c r="P68" s="371">
        <v>0</v>
      </c>
      <c r="Q68" s="371">
        <v>0</v>
      </c>
      <c r="R68" s="372">
        <v>0</v>
      </c>
    </row>
    <row r="69" spans="2:18" x14ac:dyDescent="0.25">
      <c r="B69" s="1138" t="s">
        <v>106</v>
      </c>
      <c r="C69" s="1120">
        <v>1</v>
      </c>
      <c r="D69" s="1120">
        <v>1</v>
      </c>
      <c r="E69" s="1120">
        <v>1</v>
      </c>
      <c r="F69" s="1120">
        <v>1</v>
      </c>
      <c r="G69" s="1120">
        <v>1</v>
      </c>
      <c r="H69" s="1120">
        <v>1</v>
      </c>
      <c r="I69" s="1120">
        <v>1</v>
      </c>
      <c r="J69" s="1120">
        <v>1</v>
      </c>
      <c r="K69" s="1121">
        <v>1</v>
      </c>
      <c r="M69" s="172">
        <f>L61</f>
        <v>0</v>
      </c>
      <c r="N69" s="188"/>
      <c r="O69" s="371">
        <f t="array" ref="O69:R69">TRANSPOSE(TM1used!$AN$84:$AN$87)</f>
        <v>0</v>
      </c>
      <c r="P69" s="371">
        <v>0</v>
      </c>
      <c r="Q69" s="371">
        <v>0</v>
      </c>
      <c r="R69" s="372">
        <v>0</v>
      </c>
    </row>
    <row r="70" spans="2:18" x14ac:dyDescent="0.25">
      <c r="B70" s="1139" t="s">
        <v>265</v>
      </c>
      <c r="C70" s="1127">
        <f t="shared" ref="C70:K70" si="7">CHOOSE(C69,C66,C67,C68)</f>
        <v>0</v>
      </c>
      <c r="D70" s="1127">
        <f t="shared" si="7"/>
        <v>0</v>
      </c>
      <c r="E70" s="1127">
        <f t="shared" si="7"/>
        <v>0</v>
      </c>
      <c r="F70" s="1127">
        <f t="shared" si="7"/>
        <v>0</v>
      </c>
      <c r="G70" s="1127">
        <f t="shared" si="7"/>
        <v>0</v>
      </c>
      <c r="H70" s="1127">
        <f t="shared" si="7"/>
        <v>0</v>
      </c>
      <c r="I70" s="1127">
        <f t="shared" si="7"/>
        <v>0</v>
      </c>
      <c r="J70" s="1127">
        <f t="shared" si="7"/>
        <v>0</v>
      </c>
      <c r="K70" s="1128">
        <f t="shared" si="7"/>
        <v>0</v>
      </c>
      <c r="M70" s="1164" t="s">
        <v>106</v>
      </c>
      <c r="N70" s="1165"/>
      <c r="O70" s="417">
        <v>1</v>
      </c>
      <c r="P70" s="418">
        <v>1</v>
      </c>
      <c r="Q70" s="418">
        <v>1</v>
      </c>
      <c r="R70" s="419">
        <v>1</v>
      </c>
    </row>
    <row r="71" spans="2:18" ht="15.75" thickBot="1" x14ac:dyDescent="0.3">
      <c r="B71" s="1131" t="s">
        <v>922</v>
      </c>
      <c r="C71" s="1132"/>
      <c r="D71" s="1132"/>
      <c r="E71" s="1132"/>
      <c r="F71" s="1132"/>
      <c r="G71" s="1132"/>
      <c r="H71" s="1132"/>
      <c r="I71" s="1132"/>
      <c r="J71" s="1132"/>
      <c r="K71" s="1133"/>
      <c r="M71" s="951" t="s">
        <v>926</v>
      </c>
      <c r="N71" s="1166"/>
      <c r="O71" s="494">
        <f>CHOOSE(O70,O67,O68,O69)</f>
        <v>0</v>
      </c>
      <c r="P71" s="494">
        <f>CHOOSE(P70,P67,P68,P69)</f>
        <v>0</v>
      </c>
      <c r="Q71" s="494">
        <f>CHOOSE(Q70,Q67,Q68,Q69)</f>
        <v>0</v>
      </c>
      <c r="R71" s="495">
        <f>CHOOSE(R70,R67,R68,R69)</f>
        <v>0</v>
      </c>
    </row>
    <row r="72" spans="2:18" ht="15.75" thickBot="1" x14ac:dyDescent="0.3">
      <c r="B72" s="1129" t="s">
        <v>923</v>
      </c>
      <c r="C72" s="1134">
        <f t="shared" ref="C72:K72" si="8">CHOOSE($B$57,C64,C70)</f>
        <v>67.251505786676844</v>
      </c>
      <c r="D72" s="1134">
        <f t="shared" si="8"/>
        <v>0</v>
      </c>
      <c r="E72" s="1134">
        <f t="shared" si="8"/>
        <v>0</v>
      </c>
      <c r="F72" s="1134">
        <f t="shared" si="8"/>
        <v>51.264150080956092</v>
      </c>
      <c r="G72" s="1134">
        <f t="shared" si="8"/>
        <v>45.019197207678879</v>
      </c>
      <c r="H72" s="1134">
        <f t="shared" si="8"/>
        <v>25.94099774585996</v>
      </c>
      <c r="I72" s="1134">
        <f t="shared" si="8"/>
        <v>44.704866716111866</v>
      </c>
      <c r="J72" s="1134">
        <f t="shared" si="8"/>
        <v>43.41810080696937</v>
      </c>
      <c r="K72" s="1135">
        <f t="shared" si="8"/>
        <v>28.315270321348759</v>
      </c>
    </row>
  </sheetData>
  <mergeCells count="3">
    <mergeCell ref="B45:B47"/>
    <mergeCell ref="B10:B12"/>
    <mergeCell ref="B21:B23"/>
  </mergeCells>
  <dataValidations count="1">
    <dataValidation type="decimal" allowBlank="1" showInputMessage="1" showErrorMessage="1" sqref="C69:K70 C41:P41 O48:R48 C63:K64 O13:R13 M62:R62 O70:R70">
      <formula1>1</formula1>
      <formula2>3</formula2>
    </dataValidation>
  </dataValidations>
  <printOptions horizontalCentered="1"/>
  <pageMargins left="0.7" right="0.7" top="0.75" bottom="0.5" header="0.3" footer="0.3"/>
  <pageSetup scale="46" orientation="landscape" r:id="rId1"/>
  <ignoredErrors>
    <ignoredError sqref="B18:R24 R2 B2 A3:E8 B43:R43 B56:K56 K6:K8 B15:R16 C10:N10 B26:R34 B35:L37 C60:K62 M37:P40 B60:B63 B58 C42:D42 M42:P42 B41 C14:R14 C17:R17 B25:P25 R25 F42:L42 B39:L40 B38:F38 I38:L38" unlockedFormula="1"/>
  </ignoredError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rgb="FFFFFF00"/>
    <pageSetUpPr fitToPage="1"/>
  </sheetPr>
  <dimension ref="A1:BB71"/>
  <sheetViews>
    <sheetView showGridLines="0" view="pageBreakPreview" zoomScaleNormal="132" zoomScaleSheetLayoutView="100" workbookViewId="0"/>
  </sheetViews>
  <sheetFormatPr defaultColWidth="9.42578125" defaultRowHeight="15" outlineLevelRow="1" x14ac:dyDescent="0.25"/>
  <cols>
    <col min="1" max="1" width="1.5703125" style="1" customWidth="1"/>
    <col min="2" max="3" width="3" style="1" customWidth="1"/>
    <col min="4" max="4" width="9.42578125" style="1" customWidth="1"/>
    <col min="5" max="5" width="5.5703125" style="1" customWidth="1"/>
    <col min="6" max="6" width="3" style="1" customWidth="1"/>
    <col min="7" max="7" width="7" style="1" customWidth="1"/>
    <col min="8" max="8" width="4.5703125" style="173" customWidth="1"/>
    <col min="9" max="20" width="8.42578125" style="1" customWidth="1"/>
    <col min="21" max="21" width="8.5703125" style="1" customWidth="1"/>
    <col min="22" max="46" width="9.42578125" style="1"/>
    <col min="47" max="47" width="10" style="1" bestFit="1" customWidth="1"/>
    <col min="48" max="16384" width="9.42578125" style="1"/>
  </cols>
  <sheetData>
    <row r="1" spans="1:54" ht="6" customHeight="1" thickBot="1" x14ac:dyDescent="0.3">
      <c r="B1" s="85"/>
      <c r="C1" s="85"/>
      <c r="D1" s="86"/>
      <c r="E1" s="85"/>
      <c r="F1" s="85"/>
      <c r="G1" s="85"/>
      <c r="H1" s="505"/>
      <c r="I1" s="85"/>
      <c r="J1" s="85"/>
      <c r="K1" s="85"/>
      <c r="L1" s="85"/>
      <c r="M1" s="85"/>
      <c r="N1" s="85"/>
      <c r="O1" s="85"/>
      <c r="P1" s="85"/>
      <c r="Q1" s="85"/>
      <c r="R1" s="85"/>
      <c r="S1" s="85"/>
      <c r="T1" s="85"/>
    </row>
    <row r="2" spans="1:54" ht="16.5" thickTop="1" x14ac:dyDescent="0.25">
      <c r="B2" s="110" t="str">
        <f>MainOutline!B2</f>
        <v>WB Santa Cruz</v>
      </c>
      <c r="C2" s="110"/>
      <c r="D2" s="111"/>
      <c r="E2" s="111"/>
      <c r="F2" s="111"/>
      <c r="G2" s="111"/>
      <c r="H2" s="506"/>
      <c r="I2" s="507"/>
      <c r="J2" s="508" t="str">
        <f>'A1'!$C$90</f>
        <v>Acquisition of an existing facility</v>
      </c>
      <c r="K2" s="111"/>
      <c r="L2" s="111"/>
      <c r="M2" s="111"/>
      <c r="N2" s="111"/>
      <c r="O2" s="111"/>
      <c r="P2" s="111"/>
      <c r="Q2" s="111"/>
      <c r="R2" s="111"/>
      <c r="S2" s="111"/>
      <c r="T2" s="1409">
        <f>$A3</f>
        <v>3</v>
      </c>
    </row>
    <row r="3" spans="1:54" ht="15.75" x14ac:dyDescent="0.25">
      <c r="A3" s="123">
        <f>MainOutline!B10</f>
        <v>3</v>
      </c>
      <c r="B3" s="102" t="str">
        <f>MainOutline!C10</f>
        <v>Exhibit A3</v>
      </c>
      <c r="C3" s="102"/>
      <c r="D3" s="89"/>
      <c r="E3" s="89"/>
      <c r="F3" s="89"/>
      <c r="G3" s="89"/>
      <c r="H3" s="509"/>
      <c r="I3" s="89"/>
      <c r="J3" s="89"/>
      <c r="K3" s="89"/>
      <c r="L3" s="89"/>
      <c r="M3" s="89"/>
      <c r="N3" s="89"/>
      <c r="O3" s="89"/>
      <c r="P3" s="89"/>
      <c r="Q3" s="89"/>
      <c r="R3" s="89"/>
      <c r="S3" s="89"/>
      <c r="T3" s="89"/>
    </row>
    <row r="4" spans="1:54" ht="16.5" thickBot="1" x14ac:dyDescent="0.3">
      <c r="B4" s="104" t="s">
        <v>527</v>
      </c>
      <c r="C4" s="104"/>
      <c r="D4" s="97"/>
      <c r="E4" s="97"/>
      <c r="F4" s="97"/>
      <c r="G4" s="97"/>
      <c r="H4" s="510"/>
      <c r="I4" s="97"/>
      <c r="J4" s="97"/>
      <c r="K4" s="97"/>
      <c r="L4" s="97"/>
      <c r="M4" s="97"/>
      <c r="N4" s="97"/>
      <c r="O4" s="97"/>
      <c r="P4" s="97"/>
      <c r="Q4" s="97"/>
      <c r="R4" s="97"/>
      <c r="S4" s="97"/>
      <c r="T4" s="388"/>
    </row>
    <row r="5" spans="1:54" ht="15.75" thickTop="1" x14ac:dyDescent="0.25"/>
    <row r="6" spans="1:54" hidden="1" outlineLevel="1" x14ac:dyDescent="0.25">
      <c r="I6" s="1413">
        <v>42385</v>
      </c>
      <c r="J6" s="1413">
        <v>42416</v>
      </c>
      <c r="K6" s="1413">
        <v>42445</v>
      </c>
      <c r="L6" s="1413">
        <v>42476</v>
      </c>
      <c r="M6" s="1413">
        <v>42506</v>
      </c>
      <c r="N6" s="1413">
        <v>42537</v>
      </c>
      <c r="O6" s="1413">
        <v>42567</v>
      </c>
      <c r="P6" s="1413">
        <v>42598</v>
      </c>
      <c r="Q6" s="1413">
        <v>42629</v>
      </c>
      <c r="R6" s="1413">
        <v>42659</v>
      </c>
      <c r="S6" s="1413">
        <v>42690</v>
      </c>
      <c r="T6" s="1413">
        <v>42720</v>
      </c>
    </row>
    <row r="7" spans="1:54" s="511" customFormat="1" collapsed="1" x14ac:dyDescent="0.25">
      <c r="I7" s="512">
        <v>1</v>
      </c>
      <c r="J7" s="512">
        <f>I7+1</f>
        <v>2</v>
      </c>
      <c r="K7" s="512">
        <f t="shared" ref="K7:T7" si="0">J7+1</f>
        <v>3</v>
      </c>
      <c r="L7" s="512">
        <f t="shared" si="0"/>
        <v>4</v>
      </c>
      <c r="M7" s="512">
        <f t="shared" si="0"/>
        <v>5</v>
      </c>
      <c r="N7" s="512">
        <f t="shared" si="0"/>
        <v>6</v>
      </c>
      <c r="O7" s="512">
        <f t="shared" si="0"/>
        <v>7</v>
      </c>
      <c r="P7" s="512">
        <f t="shared" si="0"/>
        <v>8</v>
      </c>
      <c r="Q7" s="512">
        <f t="shared" si="0"/>
        <v>9</v>
      </c>
      <c r="R7" s="512">
        <f t="shared" si="0"/>
        <v>10</v>
      </c>
      <c r="S7" s="512">
        <f t="shared" si="0"/>
        <v>11</v>
      </c>
      <c r="T7" s="512">
        <f t="shared" si="0"/>
        <v>12</v>
      </c>
    </row>
    <row r="9" spans="1:54" ht="15.75" x14ac:dyDescent="0.25">
      <c r="B9" s="513" t="s">
        <v>468</v>
      </c>
      <c r="C9" s="513"/>
    </row>
    <row r="11" spans="1:54" x14ac:dyDescent="0.25">
      <c r="C11" s="106" t="s">
        <v>63</v>
      </c>
      <c r="U11" s="1" t="s">
        <v>1187</v>
      </c>
    </row>
    <row r="12" spans="1:54" x14ac:dyDescent="0.25">
      <c r="D12" s="1716" t="str">
        <f>'A1'!E8</f>
        <v>Hemo Dialysis</v>
      </c>
      <c r="E12" s="82" t="str">
        <f>'C1'!D10</f>
        <v>In Center</v>
      </c>
      <c r="H12" s="173">
        <f>'C1'!G10</f>
        <v>0</v>
      </c>
      <c r="I12" s="514">
        <f>'2018 Patient Count'!T12*(1+$U12/12)</f>
        <v>52.170234468674344</v>
      </c>
      <c r="J12" s="1558">
        <f>I12*(1+$U12/12)</f>
        <v>52.34102624070109</v>
      </c>
      <c r="K12" s="1558">
        <f t="shared" ref="K12:T12" si="1">J12*(1+$U12/12)</f>
        <v>52.512377140546391</v>
      </c>
      <c r="L12" s="1558">
        <f t="shared" si="1"/>
        <v>52.68428899864923</v>
      </c>
      <c r="M12" s="1558">
        <f t="shared" si="1"/>
        <v>52.856763651440971</v>
      </c>
      <c r="N12" s="1558">
        <f t="shared" si="1"/>
        <v>53.029802941364977</v>
      </c>
      <c r="O12" s="1558">
        <f t="shared" si="1"/>
        <v>53.203408716896291</v>
      </c>
      <c r="P12" s="1558">
        <f t="shared" si="1"/>
        <v>53.37758283256138</v>
      </c>
      <c r="Q12" s="1558">
        <f t="shared" si="1"/>
        <v>53.552327148957957</v>
      </c>
      <c r="R12" s="1558">
        <f t="shared" si="1"/>
        <v>53.727643532774835</v>
      </c>
      <c r="S12" s="1558">
        <f t="shared" si="1"/>
        <v>53.903533856811883</v>
      </c>
      <c r="T12" s="1558">
        <f t="shared" si="1"/>
        <v>54.080000000000034</v>
      </c>
      <c r="U12" s="1581">
        <f>((1+V12)^(1/12)-1)*12</f>
        <v>3.9284877386386974E-2</v>
      </c>
      <c r="V12" s="1582">
        <f>'A1'!$I$44</f>
        <v>0.04</v>
      </c>
    </row>
    <row r="13" spans="1:54" x14ac:dyDescent="0.25">
      <c r="D13" s="1717"/>
      <c r="E13" s="515" t="str">
        <f>'C1'!D11</f>
        <v>Nocturnal</v>
      </c>
      <c r="F13" s="46"/>
      <c r="G13" s="46"/>
      <c r="H13" s="179">
        <f>'C1'!G11</f>
        <v>0</v>
      </c>
      <c r="I13" s="1580">
        <f>'2018 Patient Count'!T13*(1+$U13/12)</f>
        <v>6.019642438693193</v>
      </c>
      <c r="J13" s="1585">
        <f>I13*(1+$U13/12)</f>
        <v>6.0393491816193556</v>
      </c>
      <c r="K13" s="1585">
        <f t="shared" ref="K13:T13" si="2">J13*(1+$U13/12)</f>
        <v>6.0591204392938129</v>
      </c>
      <c r="L13" s="1585">
        <f t="shared" si="2"/>
        <v>6.0789564229210633</v>
      </c>
      <c r="M13" s="1585">
        <f t="shared" si="2"/>
        <v>6.0988573443970333</v>
      </c>
      <c r="N13" s="1585">
        <f t="shared" si="2"/>
        <v>6.1188234163113417</v>
      </c>
      <c r="O13" s="1585">
        <f t="shared" si="2"/>
        <v>6.1388548519495707</v>
      </c>
      <c r="P13" s="1585">
        <f t="shared" si="2"/>
        <v>6.1589518652955428</v>
      </c>
      <c r="Q13" s="1585">
        <f t="shared" si="2"/>
        <v>6.1791146710336093</v>
      </c>
      <c r="R13" s="1585">
        <f t="shared" si="2"/>
        <v>6.1993434845509414</v>
      </c>
      <c r="S13" s="1585">
        <f t="shared" si="2"/>
        <v>6.2196385219398316</v>
      </c>
      <c r="T13" s="1585">
        <f t="shared" si="2"/>
        <v>6.2400000000000029</v>
      </c>
      <c r="U13" s="1583">
        <f>((1+V13)^(1/12)-1)*12</f>
        <v>3.9284877386386974E-2</v>
      </c>
      <c r="V13" s="1584">
        <f>'A1'!$I$44</f>
        <v>0.04</v>
      </c>
      <c r="W13" s="76"/>
    </row>
    <row r="14" spans="1:54" x14ac:dyDescent="0.25">
      <c r="D14" s="1716" t="str">
        <f>'A1'!G8</f>
        <v>Home Dialysis</v>
      </c>
      <c r="E14" s="82" t="str">
        <f>'C3'!D10</f>
        <v>Peritoneal</v>
      </c>
      <c r="H14" s="173">
        <f>'C3'!G10</f>
        <v>1</v>
      </c>
      <c r="I14" s="519">
        <f>'2018 Patient Count'!T12*(1+$U12/12)</f>
        <v>52.170234468674344</v>
      </c>
      <c r="J14" s="519">
        <f>I14*(1+$U12/12)</f>
        <v>52.34102624070109</v>
      </c>
      <c r="K14" s="519">
        <f t="shared" ref="K14:T15" si="3">J14*(1+$U12/12)</f>
        <v>52.512377140546391</v>
      </c>
      <c r="L14" s="519">
        <f t="shared" si="3"/>
        <v>52.68428899864923</v>
      </c>
      <c r="M14" s="519">
        <f t="shared" si="3"/>
        <v>52.856763651440971</v>
      </c>
      <c r="N14" s="519">
        <f t="shared" si="3"/>
        <v>53.029802941364977</v>
      </c>
      <c r="O14" s="519">
        <f t="shared" si="3"/>
        <v>53.203408716896291</v>
      </c>
      <c r="P14" s="519">
        <f t="shared" si="3"/>
        <v>53.37758283256138</v>
      </c>
      <c r="Q14" s="519">
        <f t="shared" si="3"/>
        <v>53.552327148957957</v>
      </c>
      <c r="R14" s="519">
        <f t="shared" si="3"/>
        <v>53.727643532774835</v>
      </c>
      <c r="S14" s="519">
        <f t="shared" si="3"/>
        <v>53.903533856811883</v>
      </c>
      <c r="T14" s="519">
        <f t="shared" si="3"/>
        <v>54.080000000000034</v>
      </c>
      <c r="U14" s="1564"/>
      <c r="V14" s="1579"/>
      <c r="W14" s="1564"/>
      <c r="X14" s="1558"/>
      <c r="Y14" s="1558"/>
      <c r="Z14" s="1558"/>
      <c r="AA14" s="1558"/>
      <c r="AB14" s="1558"/>
      <c r="AC14" s="1558"/>
      <c r="AD14" s="1558"/>
      <c r="AE14" s="1558"/>
      <c r="AF14" s="1558"/>
      <c r="AG14" s="1558"/>
      <c r="AH14" s="1558"/>
      <c r="AI14" s="1558"/>
      <c r="AJ14" s="1558"/>
      <c r="AK14" s="1558"/>
      <c r="AL14" s="1558"/>
      <c r="AM14" s="1558"/>
      <c r="AN14" s="1558"/>
      <c r="AO14" s="1558"/>
      <c r="AP14" s="1558"/>
      <c r="AQ14" s="1558"/>
      <c r="AR14" s="1558"/>
      <c r="AS14" s="1558"/>
      <c r="AT14" s="1558"/>
      <c r="AU14" s="1558"/>
      <c r="AV14" s="1558"/>
      <c r="AW14" s="1558"/>
      <c r="AX14" s="1558"/>
      <c r="AY14" s="1558"/>
      <c r="AZ14" s="1558"/>
      <c r="BA14" s="1558"/>
      <c r="BB14" s="1558"/>
    </row>
    <row r="15" spans="1:54" x14ac:dyDescent="0.25">
      <c r="D15" s="1717"/>
      <c r="E15" s="82" t="str">
        <f>'C3'!D11</f>
        <v>Home HD</v>
      </c>
      <c r="H15" s="173">
        <f>'C3'!G11</f>
        <v>1</v>
      </c>
      <c r="I15" s="519">
        <f>'2018 Patient Count'!T13*(1+$U13/12)</f>
        <v>6.019642438693193</v>
      </c>
      <c r="J15" s="519">
        <f>I15*(1+$U13/12)</f>
        <v>6.0393491816193556</v>
      </c>
      <c r="K15" s="519">
        <f t="shared" si="3"/>
        <v>6.0591204392938129</v>
      </c>
      <c r="L15" s="519">
        <f t="shared" si="3"/>
        <v>6.0789564229210633</v>
      </c>
      <c r="M15" s="519">
        <f t="shared" si="3"/>
        <v>6.0988573443970333</v>
      </c>
      <c r="N15" s="519">
        <f t="shared" si="3"/>
        <v>6.1188234163113417</v>
      </c>
      <c r="O15" s="519">
        <f t="shared" si="3"/>
        <v>6.1388548519495707</v>
      </c>
      <c r="P15" s="519">
        <f t="shared" si="3"/>
        <v>6.1589518652955428</v>
      </c>
      <c r="Q15" s="519">
        <f t="shared" si="3"/>
        <v>6.1791146710336093</v>
      </c>
      <c r="R15" s="519">
        <f t="shared" si="3"/>
        <v>6.1993434845509414</v>
      </c>
      <c r="S15" s="519">
        <f t="shared" si="3"/>
        <v>6.2196385219398316</v>
      </c>
      <c r="T15" s="519">
        <f t="shared" si="3"/>
        <v>6.2400000000000029</v>
      </c>
      <c r="U15" s="1564"/>
      <c r="V15" s="1579"/>
      <c r="W15" s="1564"/>
      <c r="X15" s="1558"/>
      <c r="Y15" s="1558"/>
      <c r="Z15" s="1558"/>
      <c r="AA15" s="1558"/>
      <c r="AB15" s="1558"/>
      <c r="AC15" s="1558"/>
      <c r="AD15" s="1558"/>
      <c r="AE15" s="1558"/>
      <c r="AF15" s="1558"/>
      <c r="AG15" s="1558"/>
      <c r="AH15" s="1558"/>
      <c r="AI15" s="1558"/>
      <c r="AJ15" s="1558"/>
      <c r="AK15" s="1558"/>
      <c r="AL15" s="1558"/>
      <c r="AM15" s="1558"/>
      <c r="AN15" s="1558"/>
      <c r="AO15" s="1558"/>
      <c r="AP15" s="1558"/>
      <c r="AQ15" s="1558"/>
      <c r="AR15" s="1558"/>
      <c r="AS15" s="1558"/>
      <c r="AT15" s="1558"/>
      <c r="AU15" s="1558"/>
      <c r="AV15" s="1558"/>
      <c r="AW15" s="1558"/>
      <c r="AX15" s="1558"/>
      <c r="AY15" s="1558"/>
      <c r="AZ15" s="1558"/>
      <c r="BA15" s="1558"/>
      <c r="BB15" s="1558"/>
    </row>
    <row r="16" spans="1:54" s="516" customFormat="1" x14ac:dyDescent="0.25">
      <c r="F16" s="516" t="s">
        <v>13</v>
      </c>
      <c r="H16" s="517"/>
      <c r="I16" s="518">
        <f t="shared" ref="I16:T16" si="4">SUMPRODUCT(I12:I15,$H$12:$H$15)</f>
        <v>58.189876907367534</v>
      </c>
      <c r="J16" s="518">
        <f t="shared" si="4"/>
        <v>58.380375422320448</v>
      </c>
      <c r="K16" s="518">
        <f t="shared" si="4"/>
        <v>58.571497579840205</v>
      </c>
      <c r="L16" s="518">
        <f t="shared" si="4"/>
        <v>58.763245421570289</v>
      </c>
      <c r="M16" s="518">
        <f t="shared" si="4"/>
        <v>58.955620995838004</v>
      </c>
      <c r="N16" s="518">
        <f t="shared" si="4"/>
        <v>59.148626357676321</v>
      </c>
      <c r="O16" s="518">
        <f t="shared" si="4"/>
        <v>59.342263568845866</v>
      </c>
      <c r="P16" s="518">
        <f t="shared" si="4"/>
        <v>59.536534697856922</v>
      </c>
      <c r="Q16" s="518">
        <f t="shared" si="4"/>
        <v>59.731441819991566</v>
      </c>
      <c r="R16" s="518">
        <f t="shared" si="4"/>
        <v>59.926987017325779</v>
      </c>
      <c r="S16" s="518">
        <f t="shared" si="4"/>
        <v>60.123172378751718</v>
      </c>
      <c r="T16" s="518">
        <f t="shared" si="4"/>
        <v>60.320000000000036</v>
      </c>
      <c r="X16" s="518"/>
      <c r="Y16" s="518"/>
      <c r="Z16" s="518"/>
      <c r="AA16" s="518"/>
      <c r="AB16" s="518"/>
      <c r="AC16" s="518"/>
      <c r="AD16" s="518"/>
      <c r="AE16" s="742"/>
      <c r="AF16" s="518"/>
      <c r="AG16" s="518"/>
      <c r="AH16" s="518"/>
      <c r="AI16" s="742"/>
      <c r="AJ16" s="518"/>
      <c r="AK16" s="518"/>
      <c r="AL16" s="518"/>
      <c r="AM16" s="518"/>
      <c r="AN16" s="518"/>
      <c r="AO16" s="518"/>
      <c r="AP16" s="518"/>
      <c r="AQ16" s="518"/>
      <c r="AR16" s="518"/>
      <c r="AS16" s="518"/>
      <c r="AT16" s="518"/>
      <c r="AU16" s="742"/>
      <c r="AV16" s="518"/>
      <c r="AW16" s="518"/>
      <c r="AX16" s="518"/>
      <c r="AY16" s="518"/>
      <c r="AZ16" s="518"/>
      <c r="BA16" s="518"/>
      <c r="BB16" s="518"/>
    </row>
    <row r="17" spans="2:36" x14ac:dyDescent="0.25">
      <c r="I17" s="36"/>
      <c r="J17" s="36"/>
      <c r="K17" s="36"/>
      <c r="L17" s="36"/>
      <c r="M17" s="36"/>
      <c r="N17" s="36"/>
      <c r="O17" s="36"/>
      <c r="P17" s="36"/>
      <c r="Q17" s="36"/>
      <c r="R17" s="36"/>
      <c r="S17" s="36"/>
      <c r="T17" s="36"/>
      <c r="W17" s="1559"/>
      <c r="AE17" s="82"/>
    </row>
    <row r="18" spans="2:36" ht="15.75" x14ac:dyDescent="0.25">
      <c r="B18" s="513"/>
      <c r="C18" s="106" t="str">
        <f>'A1'!H86</f>
        <v>20% More Patients Captured</v>
      </c>
    </row>
    <row r="19" spans="2:36" x14ac:dyDescent="0.25">
      <c r="D19" s="1716" t="str">
        <f>D12</f>
        <v>Hemo Dialysis</v>
      </c>
      <c r="E19" s="82" t="str">
        <f>E12</f>
        <v>In Center</v>
      </c>
      <c r="H19" s="173">
        <f>H12</f>
        <v>0</v>
      </c>
      <c r="I19" s="519">
        <f>I12*(1+'A1'!$O$3)</f>
        <v>62.60428136240921</v>
      </c>
      <c r="J19" s="519">
        <f>J12*(1+'A1'!$O$3)</f>
        <v>62.809231488841306</v>
      </c>
      <c r="K19" s="519">
        <f>K12*(1+'A1'!$O$3)</f>
        <v>63.01485256865567</v>
      </c>
      <c r="L19" s="519">
        <f>L12*(1+'A1'!$O$3)</f>
        <v>63.221146798379074</v>
      </c>
      <c r="M19" s="519">
        <f>M12*(1+'A1'!$O$3)</f>
        <v>63.428116381729161</v>
      </c>
      <c r="N19" s="519">
        <f>N12*(1+'A1'!$O$3)</f>
        <v>63.63576352963797</v>
      </c>
      <c r="O19" s="519">
        <f>O12*(1+'A1'!$O$3)</f>
        <v>63.844090460275545</v>
      </c>
      <c r="P19" s="519">
        <f>P12*(1+'A1'!$O$3)</f>
        <v>64.053099399073659</v>
      </c>
      <c r="Q19" s="519">
        <f>Q12*(1+'A1'!$O$3)</f>
        <v>64.26279257874954</v>
      </c>
      <c r="R19" s="519">
        <f>R12*(1+'A1'!$O$3)</f>
        <v>64.473172239329799</v>
      </c>
      <c r="S19" s="519">
        <f>S12*(1+'A1'!$O$3)</f>
        <v>64.684240628174251</v>
      </c>
      <c r="T19" s="519">
        <f>T12*(1+'A1'!$O$3)</f>
        <v>64.896000000000043</v>
      </c>
      <c r="V19" s="1560"/>
      <c r="AJ19" s="1561"/>
    </row>
    <row r="20" spans="2:36" x14ac:dyDescent="0.25">
      <c r="D20" s="1717"/>
      <c r="E20" s="515" t="str">
        <f>E13</f>
        <v>Nocturnal</v>
      </c>
      <c r="F20" s="46"/>
      <c r="G20" s="46"/>
      <c r="H20" s="179">
        <f>H13</f>
        <v>0</v>
      </c>
      <c r="I20" s="520">
        <f>I13*(1+'A1'!$O$3)</f>
        <v>7.2235709264318313</v>
      </c>
      <c r="J20" s="520">
        <f>J13*(1+'A1'!$O$3)</f>
        <v>7.2472190179432268</v>
      </c>
      <c r="K20" s="520">
        <f>K13*(1+'A1'!$O$3)</f>
        <v>7.270944527152575</v>
      </c>
      <c r="L20" s="520">
        <f>L13*(1+'A1'!$O$3)</f>
        <v>7.2947477075052758</v>
      </c>
      <c r="M20" s="520">
        <f>M13*(1+'A1'!$O$3)</f>
        <v>7.3186288132764394</v>
      </c>
      <c r="N20" s="520">
        <f>N13*(1+'A1'!$O$3)</f>
        <v>7.3425880995736099</v>
      </c>
      <c r="O20" s="520">
        <f>O13*(1+'A1'!$O$3)</f>
        <v>7.3666258223394845</v>
      </c>
      <c r="P20" s="520">
        <f>P13*(1+'A1'!$O$3)</f>
        <v>7.3907422383546511</v>
      </c>
      <c r="Q20" s="520">
        <f>Q13*(1+'A1'!$O$3)</f>
        <v>7.4149376052403309</v>
      </c>
      <c r="R20" s="520">
        <f>R13*(1+'A1'!$O$3)</f>
        <v>7.4392121814611292</v>
      </c>
      <c r="S20" s="520">
        <f>S13*(1+'A1'!$O$3)</f>
        <v>7.4635662263277975</v>
      </c>
      <c r="T20" s="520">
        <f>T13*(1+'A1'!$O$3)</f>
        <v>7.4880000000000031</v>
      </c>
    </row>
    <row r="21" spans="2:36" x14ac:dyDescent="0.25">
      <c r="D21" s="1716" t="str">
        <f>D14</f>
        <v>Home Dialysis</v>
      </c>
      <c r="E21" s="82" t="str">
        <f>E14</f>
        <v>Peritoneal</v>
      </c>
      <c r="H21" s="173">
        <f>H14</f>
        <v>1</v>
      </c>
      <c r="I21" s="519">
        <f>I14*(1+'A1'!$O$3)</f>
        <v>62.60428136240921</v>
      </c>
      <c r="J21" s="519">
        <f>J14*(1+'A1'!$O$3)</f>
        <v>62.809231488841306</v>
      </c>
      <c r="K21" s="519">
        <f>K14*(1+'A1'!$O$3)</f>
        <v>63.01485256865567</v>
      </c>
      <c r="L21" s="519">
        <f>L14*(1+'A1'!$O$3)</f>
        <v>63.221146798379074</v>
      </c>
      <c r="M21" s="519">
        <f>M14*(1+'A1'!$O$3)</f>
        <v>63.428116381729161</v>
      </c>
      <c r="N21" s="519">
        <f>N14*(1+'A1'!$O$3)</f>
        <v>63.63576352963797</v>
      </c>
      <c r="O21" s="519">
        <f>O14*(1+'A1'!$O$3)</f>
        <v>63.844090460275545</v>
      </c>
      <c r="P21" s="519">
        <f>P14*(1+'A1'!$O$3)</f>
        <v>64.053099399073659</v>
      </c>
      <c r="Q21" s="519">
        <f>Q14*(1+'A1'!$O$3)</f>
        <v>64.26279257874954</v>
      </c>
      <c r="R21" s="519">
        <f>R14*(1+'A1'!$O$3)</f>
        <v>64.473172239329799</v>
      </c>
      <c r="S21" s="519">
        <f>S14*(1+'A1'!$O$3)</f>
        <v>64.684240628174251</v>
      </c>
      <c r="T21" s="519">
        <f>T14*(1+'A1'!$O$3)</f>
        <v>64.896000000000043</v>
      </c>
    </row>
    <row r="22" spans="2:36" x14ac:dyDescent="0.25">
      <c r="D22" s="1717"/>
      <c r="E22" s="82" t="str">
        <f>E15</f>
        <v>Home HD</v>
      </c>
      <c r="H22" s="173">
        <f>H15</f>
        <v>1</v>
      </c>
      <c r="I22" s="519">
        <f>I15*(1+'A1'!$O$3)</f>
        <v>7.2235709264318313</v>
      </c>
      <c r="J22" s="519">
        <f>J15*(1+'A1'!$O$3)</f>
        <v>7.2472190179432268</v>
      </c>
      <c r="K22" s="519">
        <f>K15*(1+'A1'!$O$3)</f>
        <v>7.270944527152575</v>
      </c>
      <c r="L22" s="519">
        <f>L15*(1+'A1'!$O$3)</f>
        <v>7.2947477075052758</v>
      </c>
      <c r="M22" s="519">
        <f>M15*(1+'A1'!$O$3)</f>
        <v>7.3186288132764394</v>
      </c>
      <c r="N22" s="519">
        <f>N15*(1+'A1'!$O$3)</f>
        <v>7.3425880995736099</v>
      </c>
      <c r="O22" s="519">
        <f>O15*(1+'A1'!$O$3)</f>
        <v>7.3666258223394845</v>
      </c>
      <c r="P22" s="519">
        <f>P15*(1+'A1'!$O$3)</f>
        <v>7.3907422383546511</v>
      </c>
      <c r="Q22" s="519">
        <f>Q15*(1+'A1'!$O$3)</f>
        <v>7.4149376052403309</v>
      </c>
      <c r="R22" s="519">
        <f>R15*(1+'A1'!$O$3)</f>
        <v>7.4392121814611292</v>
      </c>
      <c r="S22" s="519">
        <f>S15*(1+'A1'!$O$3)</f>
        <v>7.4635662263277975</v>
      </c>
      <c r="T22" s="519">
        <f>T15*(1+'A1'!$O$3)</f>
        <v>7.4880000000000031</v>
      </c>
    </row>
    <row r="23" spans="2:36" x14ac:dyDescent="0.25">
      <c r="C23" s="516"/>
      <c r="D23" s="516"/>
      <c r="E23" s="516"/>
      <c r="F23" s="516" t="s">
        <v>13</v>
      </c>
      <c r="G23" s="516"/>
      <c r="H23" s="517"/>
      <c r="I23" s="518">
        <f t="shared" ref="I23:T23" si="5">SUMPRODUCT(I19:I22,$H$12:$H$15)</f>
        <v>69.827852288841044</v>
      </c>
      <c r="J23" s="518">
        <f t="shared" si="5"/>
        <v>70.056450506784529</v>
      </c>
      <c r="K23" s="518">
        <f t="shared" si="5"/>
        <v>70.285797095808249</v>
      </c>
      <c r="L23" s="518">
        <f t="shared" si="5"/>
        <v>70.515894505884347</v>
      </c>
      <c r="M23" s="518">
        <f t="shared" si="5"/>
        <v>70.746745195005602</v>
      </c>
      <c r="N23" s="518">
        <f t="shared" si="5"/>
        <v>70.978351629211573</v>
      </c>
      <c r="O23" s="518">
        <f t="shared" si="5"/>
        <v>71.210716282615024</v>
      </c>
      <c r="P23" s="518">
        <f t="shared" si="5"/>
        <v>71.443841637428307</v>
      </c>
      <c r="Q23" s="518">
        <f t="shared" si="5"/>
        <v>71.677730183989866</v>
      </c>
      <c r="R23" s="518">
        <f t="shared" si="5"/>
        <v>71.912384420790929</v>
      </c>
      <c r="S23" s="518">
        <f t="shared" si="5"/>
        <v>72.147806854502051</v>
      </c>
      <c r="T23" s="518">
        <f t="shared" si="5"/>
        <v>72.384000000000043</v>
      </c>
    </row>
    <row r="24" spans="2:36" x14ac:dyDescent="0.25">
      <c r="H24" s="77"/>
      <c r="I24" s="13"/>
      <c r="J24" s="13"/>
      <c r="K24" s="13"/>
      <c r="L24" s="13"/>
      <c r="M24" s="13"/>
      <c r="N24" s="13"/>
      <c r="O24" s="13"/>
      <c r="P24" s="13"/>
      <c r="Q24" s="13"/>
      <c r="R24" s="13"/>
      <c r="S24" s="13"/>
      <c r="T24" s="13"/>
    </row>
    <row r="25" spans="2:36" x14ac:dyDescent="0.25">
      <c r="C25" s="106" t="str">
        <f>'A1'!H87</f>
        <v>20% Less Patients Captured</v>
      </c>
    </row>
    <row r="26" spans="2:36" x14ac:dyDescent="0.25">
      <c r="D26" s="1716" t="str">
        <f>D19</f>
        <v>Hemo Dialysis</v>
      </c>
      <c r="E26" s="82" t="str">
        <f>E19</f>
        <v>In Center</v>
      </c>
      <c r="H26" s="173">
        <f>H19</f>
        <v>0</v>
      </c>
      <c r="I26" s="519">
        <f>I12*(1-'A1'!$O$3)</f>
        <v>41.736187574939478</v>
      </c>
      <c r="J26" s="519">
        <f>J12*(1-'A1'!$O$3)</f>
        <v>41.872820992560875</v>
      </c>
      <c r="K26" s="519">
        <f>K12*(1-'A1'!$O$3)</f>
        <v>42.009901712437113</v>
      </c>
      <c r="L26" s="519">
        <f>L12*(1-'A1'!$O$3)</f>
        <v>42.147431198919385</v>
      </c>
      <c r="M26" s="519">
        <f>M12*(1-'A1'!$O$3)</f>
        <v>42.285410921152781</v>
      </c>
      <c r="N26" s="519">
        <f>N12*(1-'A1'!$O$3)</f>
        <v>42.423842353091985</v>
      </c>
      <c r="O26" s="519">
        <f>O12*(1-'A1'!$O$3)</f>
        <v>42.562726973517037</v>
      </c>
      <c r="P26" s="519">
        <f>P12*(1-'A1'!$O$3)</f>
        <v>42.702066266049108</v>
      </c>
      <c r="Q26" s="519">
        <f>Q12*(1-'A1'!$O$3)</f>
        <v>42.841861719166367</v>
      </c>
      <c r="R26" s="519">
        <f>R12*(1-'A1'!$O$3)</f>
        <v>42.98211482621987</v>
      </c>
      <c r="S26" s="519">
        <f>S12*(1-'A1'!$O$3)</f>
        <v>43.122827085449508</v>
      </c>
      <c r="T26" s="519">
        <f>T12*(1-'A1'!$O$3)</f>
        <v>43.264000000000031</v>
      </c>
    </row>
    <row r="27" spans="2:36" x14ac:dyDescent="0.25">
      <c r="D27" s="1717"/>
      <c r="E27" s="515" t="str">
        <f>E20</f>
        <v>Nocturnal</v>
      </c>
      <c r="F27" s="46"/>
      <c r="G27" s="46"/>
      <c r="H27" s="179">
        <f>H20</f>
        <v>0</v>
      </c>
      <c r="I27" s="520">
        <f>I13*(1-'A1'!$O$3)</f>
        <v>4.8157139509545548</v>
      </c>
      <c r="J27" s="520">
        <f>J13*(1-'A1'!$O$3)</f>
        <v>4.8314793452954845</v>
      </c>
      <c r="K27" s="520">
        <f>K13*(1-'A1'!$O$3)</f>
        <v>4.8472963514350509</v>
      </c>
      <c r="L27" s="520">
        <f>L13*(1-'A1'!$O$3)</f>
        <v>4.8631651383368508</v>
      </c>
      <c r="M27" s="520">
        <f>M13*(1-'A1'!$O$3)</f>
        <v>4.8790858755176272</v>
      </c>
      <c r="N27" s="520">
        <f>N13*(1-'A1'!$O$3)</f>
        <v>4.8950587330490736</v>
      </c>
      <c r="O27" s="520">
        <f>O13*(1-'A1'!$O$3)</f>
        <v>4.9110838815596569</v>
      </c>
      <c r="P27" s="520">
        <f>P13*(1-'A1'!$O$3)</f>
        <v>4.9271614922364346</v>
      </c>
      <c r="Q27" s="520">
        <f>Q13*(1-'A1'!$O$3)</f>
        <v>4.9432917368268878</v>
      </c>
      <c r="R27" s="520">
        <f>R13*(1-'A1'!$O$3)</f>
        <v>4.9594747876407537</v>
      </c>
      <c r="S27" s="520">
        <f>S13*(1-'A1'!$O$3)</f>
        <v>4.9757108175518656</v>
      </c>
      <c r="T27" s="520">
        <f>T13*(1-'A1'!$O$3)</f>
        <v>4.9920000000000027</v>
      </c>
    </row>
    <row r="28" spans="2:36" x14ac:dyDescent="0.25">
      <c r="D28" s="1716" t="str">
        <f>D21</f>
        <v>Home Dialysis</v>
      </c>
      <c r="E28" s="82" t="str">
        <f>E21</f>
        <v>Peritoneal</v>
      </c>
      <c r="H28" s="173">
        <f>H21</f>
        <v>1</v>
      </c>
      <c r="I28" s="519">
        <f>I14*(1-'A1'!$O$3)</f>
        <v>41.736187574939478</v>
      </c>
      <c r="J28" s="519">
        <f>J14*(1-'A1'!$O$3)</f>
        <v>41.872820992560875</v>
      </c>
      <c r="K28" s="519">
        <f>K14*(1-'A1'!$O$3)</f>
        <v>42.009901712437113</v>
      </c>
      <c r="L28" s="519">
        <f>L14*(1-'A1'!$O$3)</f>
        <v>42.147431198919385</v>
      </c>
      <c r="M28" s="519">
        <f>M14*(1-'A1'!$O$3)</f>
        <v>42.285410921152781</v>
      </c>
      <c r="N28" s="519">
        <f>N14*(1-'A1'!$O$3)</f>
        <v>42.423842353091985</v>
      </c>
      <c r="O28" s="519">
        <f>O14*(1-'A1'!$O$3)</f>
        <v>42.562726973517037</v>
      </c>
      <c r="P28" s="519">
        <f>P14*(1-'A1'!$O$3)</f>
        <v>42.702066266049108</v>
      </c>
      <c r="Q28" s="519">
        <f>Q14*(1-'A1'!$O$3)</f>
        <v>42.841861719166367</v>
      </c>
      <c r="R28" s="519">
        <f>R14*(1-'A1'!$O$3)</f>
        <v>42.98211482621987</v>
      </c>
      <c r="S28" s="519">
        <f>S14*(1-'A1'!$O$3)</f>
        <v>43.122827085449508</v>
      </c>
      <c r="T28" s="519">
        <f>T14*(1-'A1'!$O$3)</f>
        <v>43.264000000000031</v>
      </c>
    </row>
    <row r="29" spans="2:36" x14ac:dyDescent="0.25">
      <c r="D29" s="1717"/>
      <c r="E29" s="82" t="str">
        <f>E22</f>
        <v>Home HD</v>
      </c>
      <c r="H29" s="173">
        <f>H22</f>
        <v>1</v>
      </c>
      <c r="I29" s="519">
        <f>I15*(1-'A1'!$O$3)</f>
        <v>4.8157139509545548</v>
      </c>
      <c r="J29" s="519">
        <f>J15*(1-'A1'!$O$3)</f>
        <v>4.8314793452954845</v>
      </c>
      <c r="K29" s="519">
        <f>K15*(1-'A1'!$O$3)</f>
        <v>4.8472963514350509</v>
      </c>
      <c r="L29" s="519">
        <f>L15*(1-'A1'!$O$3)</f>
        <v>4.8631651383368508</v>
      </c>
      <c r="M29" s="519">
        <f>M15*(1-'A1'!$O$3)</f>
        <v>4.8790858755176272</v>
      </c>
      <c r="N29" s="519">
        <f>N15*(1-'A1'!$O$3)</f>
        <v>4.8950587330490736</v>
      </c>
      <c r="O29" s="519">
        <f>O15*(1-'A1'!$O$3)</f>
        <v>4.9110838815596569</v>
      </c>
      <c r="P29" s="519">
        <f>P15*(1-'A1'!$O$3)</f>
        <v>4.9271614922364346</v>
      </c>
      <c r="Q29" s="519">
        <f>Q15*(1-'A1'!$O$3)</f>
        <v>4.9432917368268878</v>
      </c>
      <c r="R29" s="519">
        <f>R15*(1-'A1'!$O$3)</f>
        <v>4.9594747876407537</v>
      </c>
      <c r="S29" s="519">
        <f>S15*(1-'A1'!$O$3)</f>
        <v>4.9757108175518656</v>
      </c>
      <c r="T29" s="519">
        <f>T15*(1-'A1'!$O$3)</f>
        <v>4.9920000000000027</v>
      </c>
    </row>
    <row r="30" spans="2:36" x14ac:dyDescent="0.25">
      <c r="C30" s="516"/>
      <c r="D30" s="516"/>
      <c r="E30" s="516"/>
      <c r="F30" s="516" t="s">
        <v>13</v>
      </c>
      <c r="G30" s="516"/>
      <c r="H30" s="517"/>
      <c r="I30" s="518">
        <f t="shared" ref="I30:T30" si="6">SUMPRODUCT(I26:I29,$H$12:$H$15)</f>
        <v>46.551901525894031</v>
      </c>
      <c r="J30" s="518">
        <f t="shared" si="6"/>
        <v>46.70430033785636</v>
      </c>
      <c r="K30" s="518">
        <f t="shared" si="6"/>
        <v>46.857198063872161</v>
      </c>
      <c r="L30" s="518">
        <f t="shared" si="6"/>
        <v>47.010596337256239</v>
      </c>
      <c r="M30" s="518">
        <f t="shared" si="6"/>
        <v>47.164496796670406</v>
      </c>
      <c r="N30" s="518">
        <f t="shared" si="6"/>
        <v>47.318901086141061</v>
      </c>
      <c r="O30" s="518">
        <f t="shared" si="6"/>
        <v>47.473810855076692</v>
      </c>
      <c r="P30" s="518">
        <f t="shared" si="6"/>
        <v>47.629227758285545</v>
      </c>
      <c r="Q30" s="518">
        <f t="shared" si="6"/>
        <v>47.785153455993253</v>
      </c>
      <c r="R30" s="518">
        <f t="shared" si="6"/>
        <v>47.941589613860621</v>
      </c>
      <c r="S30" s="518">
        <f t="shared" si="6"/>
        <v>48.098537903001372</v>
      </c>
      <c r="T30" s="518">
        <f t="shared" si="6"/>
        <v>48.256000000000036</v>
      </c>
    </row>
    <row r="31" spans="2:36" x14ac:dyDescent="0.25">
      <c r="I31" s="13"/>
      <c r="J31" s="13"/>
      <c r="K31" s="13"/>
      <c r="L31" s="13"/>
      <c r="M31" s="13"/>
      <c r="N31" s="13"/>
      <c r="O31" s="13"/>
      <c r="P31" s="13"/>
      <c r="Q31" s="13"/>
      <c r="R31" s="13"/>
      <c r="S31" s="13"/>
      <c r="T31" s="13"/>
    </row>
    <row r="32" spans="2:36" x14ac:dyDescent="0.25">
      <c r="C32" s="106" t="s">
        <v>129</v>
      </c>
      <c r="E32" s="521">
        <f>'A1'!N3</f>
        <v>1</v>
      </c>
      <c r="F32" s="522" t="str">
        <f>CHOOSE(E32,C11,C18,C25)</f>
        <v>Base Case</v>
      </c>
      <c r="G32" s="523"/>
      <c r="H32" s="524"/>
      <c r="I32" s="523"/>
      <c r="J32" s="523"/>
      <c r="K32" s="523"/>
      <c r="L32" s="523"/>
      <c r="M32" s="525"/>
    </row>
    <row r="33" spans="2:20" x14ac:dyDescent="0.25">
      <c r="D33" s="1716" t="str">
        <f>D26</f>
        <v>Hemo Dialysis</v>
      </c>
      <c r="E33" s="82" t="str">
        <f>E26</f>
        <v>In Center</v>
      </c>
      <c r="H33" s="173">
        <f>H26</f>
        <v>0</v>
      </c>
      <c r="I33" s="519">
        <f t="shared" ref="I33:T33" si="7">CHOOSE($E$32,I12,I19,I26)</f>
        <v>52.170234468674344</v>
      </c>
      <c r="J33" s="519">
        <f t="shared" si="7"/>
        <v>52.34102624070109</v>
      </c>
      <c r="K33" s="519">
        <f t="shared" si="7"/>
        <v>52.512377140546391</v>
      </c>
      <c r="L33" s="519">
        <f t="shared" si="7"/>
        <v>52.68428899864923</v>
      </c>
      <c r="M33" s="519">
        <f t="shared" si="7"/>
        <v>52.856763651440971</v>
      </c>
      <c r="N33" s="519">
        <f t="shared" si="7"/>
        <v>53.029802941364977</v>
      </c>
      <c r="O33" s="519">
        <f t="shared" si="7"/>
        <v>53.203408716896291</v>
      </c>
      <c r="P33" s="519">
        <f t="shared" si="7"/>
        <v>53.37758283256138</v>
      </c>
      <c r="Q33" s="519">
        <f t="shared" si="7"/>
        <v>53.552327148957957</v>
      </c>
      <c r="R33" s="519">
        <f t="shared" si="7"/>
        <v>53.727643532774835</v>
      </c>
      <c r="S33" s="519">
        <f t="shared" si="7"/>
        <v>53.903533856811883</v>
      </c>
      <c r="T33" s="519">
        <f t="shared" si="7"/>
        <v>54.080000000000034</v>
      </c>
    </row>
    <row r="34" spans="2:20" x14ac:dyDescent="0.25">
      <c r="D34" s="1717"/>
      <c r="E34" s="515" t="str">
        <f>E27</f>
        <v>Nocturnal</v>
      </c>
      <c r="F34" s="46"/>
      <c r="G34" s="46"/>
      <c r="H34" s="179">
        <f>H27</f>
        <v>0</v>
      </c>
      <c r="I34" s="520">
        <f t="shared" ref="I34:T34" si="8">CHOOSE($E$32,I13,I20,I27)</f>
        <v>6.019642438693193</v>
      </c>
      <c r="J34" s="520">
        <f t="shared" si="8"/>
        <v>6.0393491816193556</v>
      </c>
      <c r="K34" s="520">
        <f t="shared" si="8"/>
        <v>6.0591204392938129</v>
      </c>
      <c r="L34" s="520">
        <f t="shared" si="8"/>
        <v>6.0789564229210633</v>
      </c>
      <c r="M34" s="520">
        <f t="shared" si="8"/>
        <v>6.0988573443970333</v>
      </c>
      <c r="N34" s="520">
        <f t="shared" si="8"/>
        <v>6.1188234163113417</v>
      </c>
      <c r="O34" s="520">
        <f t="shared" si="8"/>
        <v>6.1388548519495707</v>
      </c>
      <c r="P34" s="520">
        <f t="shared" si="8"/>
        <v>6.1589518652955428</v>
      </c>
      <c r="Q34" s="520">
        <f t="shared" si="8"/>
        <v>6.1791146710336093</v>
      </c>
      <c r="R34" s="520">
        <f t="shared" si="8"/>
        <v>6.1993434845509414</v>
      </c>
      <c r="S34" s="520">
        <f t="shared" si="8"/>
        <v>6.2196385219398316</v>
      </c>
      <c r="T34" s="520">
        <f t="shared" si="8"/>
        <v>6.2400000000000029</v>
      </c>
    </row>
    <row r="35" spans="2:20" x14ac:dyDescent="0.25">
      <c r="D35" s="1716" t="str">
        <f>D28</f>
        <v>Home Dialysis</v>
      </c>
      <c r="E35" s="82" t="str">
        <f>E28</f>
        <v>Peritoneal</v>
      </c>
      <c r="H35" s="173">
        <f>H28</f>
        <v>1</v>
      </c>
      <c r="I35" s="519">
        <f t="shared" ref="I35:T35" si="9">CHOOSE($E$32,I14,I21,I28)</f>
        <v>52.170234468674344</v>
      </c>
      <c r="J35" s="519">
        <f t="shared" si="9"/>
        <v>52.34102624070109</v>
      </c>
      <c r="K35" s="519">
        <f t="shared" si="9"/>
        <v>52.512377140546391</v>
      </c>
      <c r="L35" s="519">
        <f t="shared" si="9"/>
        <v>52.68428899864923</v>
      </c>
      <c r="M35" s="519">
        <f t="shared" si="9"/>
        <v>52.856763651440971</v>
      </c>
      <c r="N35" s="519">
        <f t="shared" si="9"/>
        <v>53.029802941364977</v>
      </c>
      <c r="O35" s="519">
        <f t="shared" si="9"/>
        <v>53.203408716896291</v>
      </c>
      <c r="P35" s="519">
        <f t="shared" si="9"/>
        <v>53.37758283256138</v>
      </c>
      <c r="Q35" s="519">
        <f t="shared" si="9"/>
        <v>53.552327148957957</v>
      </c>
      <c r="R35" s="519">
        <f t="shared" si="9"/>
        <v>53.727643532774835</v>
      </c>
      <c r="S35" s="519">
        <f t="shared" si="9"/>
        <v>53.903533856811883</v>
      </c>
      <c r="T35" s="519">
        <f t="shared" si="9"/>
        <v>54.080000000000034</v>
      </c>
    </row>
    <row r="36" spans="2:20" x14ac:dyDescent="0.25">
      <c r="D36" s="1717"/>
      <c r="E36" s="82" t="str">
        <f>E29</f>
        <v>Home HD</v>
      </c>
      <c r="H36" s="173">
        <f>H29</f>
        <v>1</v>
      </c>
      <c r="I36" s="519">
        <f t="shared" ref="I36:T36" si="10">CHOOSE($E$32,I15,I22,I29)</f>
        <v>6.019642438693193</v>
      </c>
      <c r="J36" s="519">
        <f t="shared" si="10"/>
        <v>6.0393491816193556</v>
      </c>
      <c r="K36" s="519">
        <f t="shared" si="10"/>
        <v>6.0591204392938129</v>
      </c>
      <c r="L36" s="519">
        <f t="shared" si="10"/>
        <v>6.0789564229210633</v>
      </c>
      <c r="M36" s="519">
        <f t="shared" si="10"/>
        <v>6.0988573443970333</v>
      </c>
      <c r="N36" s="519">
        <f t="shared" si="10"/>
        <v>6.1188234163113417</v>
      </c>
      <c r="O36" s="519">
        <f t="shared" si="10"/>
        <v>6.1388548519495707</v>
      </c>
      <c r="P36" s="519">
        <f t="shared" si="10"/>
        <v>6.1589518652955428</v>
      </c>
      <c r="Q36" s="519">
        <f t="shared" si="10"/>
        <v>6.1791146710336093</v>
      </c>
      <c r="R36" s="519">
        <f t="shared" si="10"/>
        <v>6.1993434845509414</v>
      </c>
      <c r="S36" s="519">
        <f t="shared" si="10"/>
        <v>6.2196385219398316</v>
      </c>
      <c r="T36" s="519">
        <f t="shared" si="10"/>
        <v>6.2400000000000029</v>
      </c>
    </row>
    <row r="37" spans="2:20" x14ac:dyDescent="0.25">
      <c r="C37" s="516"/>
      <c r="D37" s="516"/>
      <c r="E37" s="516"/>
      <c r="F37" s="516" t="s">
        <v>13</v>
      </c>
      <c r="G37" s="516"/>
      <c r="H37" s="517"/>
      <c r="I37" s="518">
        <f t="shared" ref="I37:T37" si="11">SUMPRODUCT(I33:I36,$H$12:$H$15)</f>
        <v>58.189876907367534</v>
      </c>
      <c r="J37" s="518">
        <f t="shared" si="11"/>
        <v>58.380375422320448</v>
      </c>
      <c r="K37" s="518">
        <f t="shared" si="11"/>
        <v>58.571497579840205</v>
      </c>
      <c r="L37" s="518">
        <f t="shared" si="11"/>
        <v>58.763245421570289</v>
      </c>
      <c r="M37" s="518">
        <f t="shared" si="11"/>
        <v>58.955620995838004</v>
      </c>
      <c r="N37" s="518">
        <f t="shared" si="11"/>
        <v>59.148626357676321</v>
      </c>
      <c r="O37" s="518">
        <f t="shared" si="11"/>
        <v>59.342263568845866</v>
      </c>
      <c r="P37" s="518">
        <f t="shared" si="11"/>
        <v>59.536534697856922</v>
      </c>
      <c r="Q37" s="518">
        <f t="shared" si="11"/>
        <v>59.731441819991566</v>
      </c>
      <c r="R37" s="518">
        <f t="shared" si="11"/>
        <v>59.926987017325779</v>
      </c>
      <c r="S37" s="518">
        <f t="shared" si="11"/>
        <v>60.123172378751718</v>
      </c>
      <c r="T37" s="518">
        <f t="shared" si="11"/>
        <v>60.320000000000036</v>
      </c>
    </row>
    <row r="38" spans="2:20" ht="15.75" thickBot="1" x14ac:dyDescent="0.3">
      <c r="B38" s="257"/>
      <c r="C38" s="257"/>
      <c r="D38" s="257"/>
      <c r="E38" s="366"/>
      <c r="F38" s="366"/>
      <c r="G38" s="257"/>
      <c r="H38" s="526"/>
      <c r="I38" s="527"/>
      <c r="J38" s="527"/>
      <c r="K38" s="527"/>
      <c r="L38" s="527"/>
      <c r="M38" s="527"/>
      <c r="N38" s="527"/>
      <c r="O38" s="527"/>
      <c r="P38" s="527"/>
      <c r="Q38" s="527"/>
      <c r="R38" s="527"/>
      <c r="S38" s="527"/>
      <c r="T38" s="527"/>
    </row>
    <row r="39" spans="2:20" ht="15.75" x14ac:dyDescent="0.25">
      <c r="B39" s="513" t="s">
        <v>469</v>
      </c>
      <c r="C39" s="513"/>
    </row>
    <row r="41" spans="2:20" x14ac:dyDescent="0.25">
      <c r="C41" s="106" t="s">
        <v>63</v>
      </c>
    </row>
    <row r="42" spans="2:20" ht="14.1" customHeight="1" x14ac:dyDescent="0.25">
      <c r="D42" s="82" t="str">
        <f>'C5'!C10</f>
        <v>Hemo Dialysis - 1x1</v>
      </c>
      <c r="H42" s="173">
        <f>'C5'!G10</f>
        <v>0</v>
      </c>
      <c r="I42" s="514">
        <v>10</v>
      </c>
      <c r="J42" s="514">
        <v>12</v>
      </c>
      <c r="K42" s="514">
        <v>15</v>
      </c>
      <c r="L42" s="514">
        <v>20</v>
      </c>
      <c r="M42" s="514">
        <v>25</v>
      </c>
      <c r="N42" s="514">
        <v>50</v>
      </c>
      <c r="O42" s="514">
        <v>60</v>
      </c>
      <c r="P42" s="514">
        <v>75</v>
      </c>
      <c r="Q42" s="514">
        <v>90</v>
      </c>
      <c r="R42" s="514">
        <v>100</v>
      </c>
      <c r="S42" s="514">
        <v>110</v>
      </c>
      <c r="T42" s="514">
        <v>112</v>
      </c>
    </row>
    <row r="43" spans="2:20" x14ac:dyDescent="0.25">
      <c r="D43" s="82" t="str">
        <f>'C5'!C11</f>
        <v>Hemo Dialysis - 2x1</v>
      </c>
      <c r="H43" s="173">
        <f>'C5'!G11</f>
        <v>0</v>
      </c>
      <c r="I43" s="514">
        <f t="shared" ref="I43:T43" si="12">I42+1</f>
        <v>11</v>
      </c>
      <c r="J43" s="514">
        <f t="shared" si="12"/>
        <v>13</v>
      </c>
      <c r="K43" s="514">
        <f t="shared" si="12"/>
        <v>16</v>
      </c>
      <c r="L43" s="514">
        <f t="shared" si="12"/>
        <v>21</v>
      </c>
      <c r="M43" s="514">
        <f t="shared" si="12"/>
        <v>26</v>
      </c>
      <c r="N43" s="514">
        <f t="shared" si="12"/>
        <v>51</v>
      </c>
      <c r="O43" s="514">
        <f t="shared" si="12"/>
        <v>61</v>
      </c>
      <c r="P43" s="514">
        <f t="shared" si="12"/>
        <v>76</v>
      </c>
      <c r="Q43" s="514">
        <f t="shared" si="12"/>
        <v>91</v>
      </c>
      <c r="R43" s="514">
        <f t="shared" si="12"/>
        <v>101</v>
      </c>
      <c r="S43" s="514">
        <f t="shared" si="12"/>
        <v>111</v>
      </c>
      <c r="T43" s="514">
        <f t="shared" si="12"/>
        <v>113</v>
      </c>
    </row>
    <row r="44" spans="2:20" x14ac:dyDescent="0.25">
      <c r="D44" s="82" t="str">
        <f>'C5'!C12</f>
        <v>Peritoneal</v>
      </c>
      <c r="H44" s="173">
        <f>'C5'!G12</f>
        <v>0</v>
      </c>
      <c r="I44" s="514">
        <f t="shared" ref="I44:T45" si="13">I43+1</f>
        <v>12</v>
      </c>
      <c r="J44" s="514">
        <f t="shared" si="13"/>
        <v>14</v>
      </c>
      <c r="K44" s="514">
        <f t="shared" si="13"/>
        <v>17</v>
      </c>
      <c r="L44" s="514">
        <f t="shared" si="13"/>
        <v>22</v>
      </c>
      <c r="M44" s="514">
        <f t="shared" si="13"/>
        <v>27</v>
      </c>
      <c r="N44" s="514">
        <f t="shared" si="13"/>
        <v>52</v>
      </c>
      <c r="O44" s="514">
        <f t="shared" si="13"/>
        <v>62</v>
      </c>
      <c r="P44" s="514">
        <f t="shared" si="13"/>
        <v>77</v>
      </c>
      <c r="Q44" s="514">
        <f t="shared" si="13"/>
        <v>92</v>
      </c>
      <c r="R44" s="514">
        <f t="shared" si="13"/>
        <v>102</v>
      </c>
      <c r="S44" s="514">
        <f t="shared" si="13"/>
        <v>112</v>
      </c>
      <c r="T44" s="514">
        <f t="shared" si="13"/>
        <v>114</v>
      </c>
    </row>
    <row r="45" spans="2:20" ht="14.1" customHeight="1" x14ac:dyDescent="0.25">
      <c r="D45" s="82" t="str">
        <f>'C5'!C13</f>
        <v>CRRT</v>
      </c>
      <c r="H45" s="173">
        <f>'C5'!G13</f>
        <v>0</v>
      </c>
      <c r="I45" s="514">
        <f t="shared" si="13"/>
        <v>13</v>
      </c>
      <c r="J45" s="514">
        <f t="shared" si="13"/>
        <v>15</v>
      </c>
      <c r="K45" s="514">
        <f t="shared" si="13"/>
        <v>18</v>
      </c>
      <c r="L45" s="514">
        <f t="shared" si="13"/>
        <v>23</v>
      </c>
      <c r="M45" s="514">
        <f t="shared" si="13"/>
        <v>28</v>
      </c>
      <c r="N45" s="514">
        <f t="shared" si="13"/>
        <v>53</v>
      </c>
      <c r="O45" s="514">
        <f t="shared" si="13"/>
        <v>63</v>
      </c>
      <c r="P45" s="514">
        <f t="shared" si="13"/>
        <v>78</v>
      </c>
      <c r="Q45" s="514">
        <f t="shared" si="13"/>
        <v>93</v>
      </c>
      <c r="R45" s="514">
        <f t="shared" si="13"/>
        <v>103</v>
      </c>
      <c r="S45" s="514">
        <f t="shared" si="13"/>
        <v>113</v>
      </c>
      <c r="T45" s="514">
        <f t="shared" si="13"/>
        <v>115</v>
      </c>
    </row>
    <row r="46" spans="2:20" x14ac:dyDescent="0.25">
      <c r="D46" s="82" t="str">
        <f>'C5'!C14</f>
        <v>Apheresis</v>
      </c>
      <c r="H46" s="173">
        <f>'C5'!G14</f>
        <v>0</v>
      </c>
      <c r="I46" s="514">
        <f t="shared" ref="I46:T46" si="14">I45+1</f>
        <v>14</v>
      </c>
      <c r="J46" s="514">
        <f t="shared" si="14"/>
        <v>16</v>
      </c>
      <c r="K46" s="514">
        <f t="shared" si="14"/>
        <v>19</v>
      </c>
      <c r="L46" s="514">
        <f t="shared" si="14"/>
        <v>24</v>
      </c>
      <c r="M46" s="514">
        <f t="shared" si="14"/>
        <v>29</v>
      </c>
      <c r="N46" s="514">
        <f t="shared" si="14"/>
        <v>54</v>
      </c>
      <c r="O46" s="514">
        <f t="shared" si="14"/>
        <v>64</v>
      </c>
      <c r="P46" s="514">
        <f t="shared" si="14"/>
        <v>79</v>
      </c>
      <c r="Q46" s="514">
        <f t="shared" si="14"/>
        <v>94</v>
      </c>
      <c r="R46" s="514">
        <f t="shared" si="14"/>
        <v>104</v>
      </c>
      <c r="S46" s="514">
        <f t="shared" si="14"/>
        <v>114</v>
      </c>
      <c r="T46" s="514">
        <f t="shared" si="14"/>
        <v>116</v>
      </c>
    </row>
    <row r="47" spans="2:20" s="516" customFormat="1" x14ac:dyDescent="0.25">
      <c r="E47" s="516" t="s">
        <v>13</v>
      </c>
      <c r="H47" s="517"/>
      <c r="I47" s="518">
        <f t="shared" ref="I47:T47" si="15">SUMPRODUCT(I42:I46,$H$42:$H$46)</f>
        <v>0</v>
      </c>
      <c r="J47" s="518">
        <f t="shared" si="15"/>
        <v>0</v>
      </c>
      <c r="K47" s="518">
        <f t="shared" si="15"/>
        <v>0</v>
      </c>
      <c r="L47" s="518">
        <f t="shared" si="15"/>
        <v>0</v>
      </c>
      <c r="M47" s="518">
        <f t="shared" si="15"/>
        <v>0</v>
      </c>
      <c r="N47" s="518">
        <f t="shared" si="15"/>
        <v>0</v>
      </c>
      <c r="O47" s="518">
        <f t="shared" si="15"/>
        <v>0</v>
      </c>
      <c r="P47" s="518">
        <f t="shared" si="15"/>
        <v>0</v>
      </c>
      <c r="Q47" s="518">
        <f t="shared" si="15"/>
        <v>0</v>
      </c>
      <c r="R47" s="518">
        <f t="shared" si="15"/>
        <v>0</v>
      </c>
      <c r="S47" s="518">
        <f t="shared" si="15"/>
        <v>0</v>
      </c>
      <c r="T47" s="518">
        <f t="shared" si="15"/>
        <v>0</v>
      </c>
    </row>
    <row r="48" spans="2:20" x14ac:dyDescent="0.25">
      <c r="I48" s="36"/>
      <c r="J48" s="36"/>
      <c r="K48" s="36"/>
      <c r="L48" s="36"/>
      <c r="M48" s="36"/>
      <c r="N48" s="36"/>
      <c r="O48" s="36"/>
      <c r="P48" s="36"/>
      <c r="Q48" s="36"/>
      <c r="R48" s="36"/>
      <c r="S48" s="36"/>
      <c r="T48" s="36"/>
    </row>
    <row r="49" spans="2:20" ht="15.75" x14ac:dyDescent="0.25">
      <c r="B49" s="513"/>
      <c r="C49" s="106" t="str">
        <f>'A1'!M86</f>
        <v>15% More Treatments Performed</v>
      </c>
    </row>
    <row r="50" spans="2:20" ht="14.1" customHeight="1" x14ac:dyDescent="0.25">
      <c r="D50" s="82" t="str">
        <f>D42</f>
        <v>Hemo Dialysis - 1x1</v>
      </c>
      <c r="H50" s="173">
        <f>H42</f>
        <v>0</v>
      </c>
      <c r="I50" s="519">
        <f>I42*(1+'A1'!$O$4)</f>
        <v>11.5</v>
      </c>
      <c r="J50" s="519">
        <f>J42*(1+'A1'!$O$4)</f>
        <v>13.799999999999999</v>
      </c>
      <c r="K50" s="519">
        <f>K42*(1+'A1'!$O$4)</f>
        <v>17.25</v>
      </c>
      <c r="L50" s="519">
        <f>L42*(1+'A1'!$O$4)</f>
        <v>23</v>
      </c>
      <c r="M50" s="519">
        <f>M42*(1+'A1'!$O$4)</f>
        <v>28.749999999999996</v>
      </c>
      <c r="N50" s="519">
        <f>N42*(1+'A1'!$O$4)</f>
        <v>57.499999999999993</v>
      </c>
      <c r="O50" s="519">
        <f>O42*(1+'A1'!$O$4)</f>
        <v>69</v>
      </c>
      <c r="P50" s="519">
        <f>P42*(1+'A1'!$O$4)</f>
        <v>86.25</v>
      </c>
      <c r="Q50" s="519">
        <f>Q42*(1+'A1'!$O$4)</f>
        <v>103.49999999999999</v>
      </c>
      <c r="R50" s="519">
        <f>R42*(1+'A1'!$O$4)</f>
        <v>114.99999999999999</v>
      </c>
      <c r="S50" s="519">
        <f>S42*(1+'A1'!$O$4)</f>
        <v>126.49999999999999</v>
      </c>
      <c r="T50" s="519">
        <f>T42*(1+'A1'!$O$4)</f>
        <v>128.79999999999998</v>
      </c>
    </row>
    <row r="51" spans="2:20" x14ac:dyDescent="0.25">
      <c r="D51" s="82" t="str">
        <f>D43</f>
        <v>Hemo Dialysis - 2x1</v>
      </c>
      <c r="H51" s="173">
        <f>H43</f>
        <v>0</v>
      </c>
      <c r="I51" s="519">
        <f>I43*(1+'A1'!$O$4)</f>
        <v>12.649999999999999</v>
      </c>
      <c r="J51" s="519">
        <f>J43*(1+'A1'!$O$4)</f>
        <v>14.95</v>
      </c>
      <c r="K51" s="519">
        <f>K43*(1+'A1'!$O$4)</f>
        <v>18.399999999999999</v>
      </c>
      <c r="L51" s="519">
        <f>L43*(1+'A1'!$O$4)</f>
        <v>24.15</v>
      </c>
      <c r="M51" s="519">
        <f>M43*(1+'A1'!$O$4)</f>
        <v>29.9</v>
      </c>
      <c r="N51" s="519">
        <f>N43*(1+'A1'!$O$4)</f>
        <v>58.65</v>
      </c>
      <c r="O51" s="519">
        <f>O43*(1+'A1'!$O$4)</f>
        <v>70.149999999999991</v>
      </c>
      <c r="P51" s="519">
        <f>P43*(1+'A1'!$O$4)</f>
        <v>87.399999999999991</v>
      </c>
      <c r="Q51" s="519">
        <f>Q43*(1+'A1'!$O$4)</f>
        <v>104.64999999999999</v>
      </c>
      <c r="R51" s="519">
        <f>R43*(1+'A1'!$O$4)</f>
        <v>116.14999999999999</v>
      </c>
      <c r="S51" s="519">
        <f>S43*(1+'A1'!$O$4)</f>
        <v>127.64999999999999</v>
      </c>
      <c r="T51" s="519">
        <f>T43*(1+'A1'!$O$4)</f>
        <v>129.94999999999999</v>
      </c>
    </row>
    <row r="52" spans="2:20" x14ac:dyDescent="0.25">
      <c r="D52" s="82" t="str">
        <f>D44</f>
        <v>Peritoneal</v>
      </c>
      <c r="H52" s="173">
        <f>H44</f>
        <v>0</v>
      </c>
      <c r="I52" s="519">
        <f>I44*(1+'A1'!$O$4)</f>
        <v>13.799999999999999</v>
      </c>
      <c r="J52" s="519">
        <f>J44*(1+'A1'!$O$4)</f>
        <v>16.099999999999998</v>
      </c>
      <c r="K52" s="519">
        <f>K44*(1+'A1'!$O$4)</f>
        <v>19.549999999999997</v>
      </c>
      <c r="L52" s="519">
        <f>L44*(1+'A1'!$O$4)</f>
        <v>25.299999999999997</v>
      </c>
      <c r="M52" s="519">
        <f>M44*(1+'A1'!$O$4)</f>
        <v>31.049999999999997</v>
      </c>
      <c r="N52" s="519">
        <f>N44*(1+'A1'!$O$4)</f>
        <v>59.8</v>
      </c>
      <c r="O52" s="519">
        <f>O44*(1+'A1'!$O$4)</f>
        <v>71.3</v>
      </c>
      <c r="P52" s="519">
        <f>P44*(1+'A1'!$O$4)</f>
        <v>88.55</v>
      </c>
      <c r="Q52" s="519">
        <f>Q44*(1+'A1'!$O$4)</f>
        <v>105.8</v>
      </c>
      <c r="R52" s="519">
        <f>R44*(1+'A1'!$O$4)</f>
        <v>117.3</v>
      </c>
      <c r="S52" s="519">
        <f>S44*(1+'A1'!$O$4)</f>
        <v>128.79999999999998</v>
      </c>
      <c r="T52" s="519">
        <f>T44*(1+'A1'!$O$4)</f>
        <v>131.1</v>
      </c>
    </row>
    <row r="53" spans="2:20" ht="14.1" customHeight="1" x14ac:dyDescent="0.25">
      <c r="D53" s="82" t="str">
        <f>D45</f>
        <v>CRRT</v>
      </c>
      <c r="H53" s="173">
        <f>H45</f>
        <v>0</v>
      </c>
      <c r="I53" s="519">
        <f>I45*(1+'A1'!$O$4)</f>
        <v>14.95</v>
      </c>
      <c r="J53" s="519">
        <f>J45*(1+'A1'!$O$4)</f>
        <v>17.25</v>
      </c>
      <c r="K53" s="519">
        <f>K45*(1+'A1'!$O$4)</f>
        <v>20.7</v>
      </c>
      <c r="L53" s="519">
        <f>L45*(1+'A1'!$O$4)</f>
        <v>26.45</v>
      </c>
      <c r="M53" s="519">
        <f>M45*(1+'A1'!$O$4)</f>
        <v>32.199999999999996</v>
      </c>
      <c r="N53" s="519">
        <f>N45*(1+'A1'!$O$4)</f>
        <v>60.949999999999996</v>
      </c>
      <c r="O53" s="519">
        <f>O45*(1+'A1'!$O$4)</f>
        <v>72.449999999999989</v>
      </c>
      <c r="P53" s="519">
        <f>P45*(1+'A1'!$O$4)</f>
        <v>89.699999999999989</v>
      </c>
      <c r="Q53" s="519">
        <f>Q45*(1+'A1'!$O$4)</f>
        <v>106.94999999999999</v>
      </c>
      <c r="R53" s="519">
        <f>R45*(1+'A1'!$O$4)</f>
        <v>118.44999999999999</v>
      </c>
      <c r="S53" s="519">
        <f>S45*(1+'A1'!$O$4)</f>
        <v>129.94999999999999</v>
      </c>
      <c r="T53" s="519">
        <f>T45*(1+'A1'!$O$4)</f>
        <v>132.25</v>
      </c>
    </row>
    <row r="54" spans="2:20" x14ac:dyDescent="0.25">
      <c r="D54" s="82" t="str">
        <f>D46</f>
        <v>Apheresis</v>
      </c>
      <c r="H54" s="173">
        <f>H46</f>
        <v>0</v>
      </c>
      <c r="I54" s="519">
        <f>I46*(1+'A1'!$O$4)</f>
        <v>16.099999999999998</v>
      </c>
      <c r="J54" s="519">
        <f>J46*(1+'A1'!$O$4)</f>
        <v>18.399999999999999</v>
      </c>
      <c r="K54" s="519">
        <f>K46*(1+'A1'!$O$4)</f>
        <v>21.849999999999998</v>
      </c>
      <c r="L54" s="519">
        <f>L46*(1+'A1'!$O$4)</f>
        <v>27.599999999999998</v>
      </c>
      <c r="M54" s="519">
        <f>M46*(1+'A1'!$O$4)</f>
        <v>33.349999999999994</v>
      </c>
      <c r="N54" s="519">
        <f>N46*(1+'A1'!$O$4)</f>
        <v>62.099999999999994</v>
      </c>
      <c r="O54" s="519">
        <f>O46*(1+'A1'!$O$4)</f>
        <v>73.599999999999994</v>
      </c>
      <c r="P54" s="519">
        <f>P46*(1+'A1'!$O$4)</f>
        <v>90.85</v>
      </c>
      <c r="Q54" s="519">
        <f>Q46*(1+'A1'!$O$4)</f>
        <v>108.1</v>
      </c>
      <c r="R54" s="519">
        <f>R46*(1+'A1'!$O$4)</f>
        <v>119.6</v>
      </c>
      <c r="S54" s="519">
        <f>S46*(1+'A1'!$O$4)</f>
        <v>131.1</v>
      </c>
      <c r="T54" s="519">
        <f>T46*(1+'A1'!$O$4)</f>
        <v>133.39999999999998</v>
      </c>
    </row>
    <row r="55" spans="2:20" x14ac:dyDescent="0.25">
      <c r="C55" s="516"/>
      <c r="D55" s="516"/>
      <c r="E55" s="516" t="s">
        <v>13</v>
      </c>
      <c r="F55" s="516"/>
      <c r="G55" s="516"/>
      <c r="H55" s="517"/>
      <c r="I55" s="518">
        <f t="shared" ref="I55:T55" si="16">SUMPRODUCT(I50:I54,$H$42:$H$46)</f>
        <v>0</v>
      </c>
      <c r="J55" s="518">
        <f t="shared" si="16"/>
        <v>0</v>
      </c>
      <c r="K55" s="518">
        <f t="shared" si="16"/>
        <v>0</v>
      </c>
      <c r="L55" s="518">
        <f t="shared" si="16"/>
        <v>0</v>
      </c>
      <c r="M55" s="518">
        <f t="shared" si="16"/>
        <v>0</v>
      </c>
      <c r="N55" s="518">
        <f t="shared" si="16"/>
        <v>0</v>
      </c>
      <c r="O55" s="518">
        <f t="shared" si="16"/>
        <v>0</v>
      </c>
      <c r="P55" s="518">
        <f t="shared" si="16"/>
        <v>0</v>
      </c>
      <c r="Q55" s="518">
        <f t="shared" si="16"/>
        <v>0</v>
      </c>
      <c r="R55" s="518">
        <f t="shared" si="16"/>
        <v>0</v>
      </c>
      <c r="S55" s="518">
        <f t="shared" si="16"/>
        <v>0</v>
      </c>
      <c r="T55" s="518">
        <f t="shared" si="16"/>
        <v>0</v>
      </c>
    </row>
    <row r="56" spans="2:20" x14ac:dyDescent="0.25">
      <c r="H56" s="77"/>
      <c r="I56" s="13"/>
      <c r="J56" s="13"/>
      <c r="K56" s="13"/>
      <c r="L56" s="13"/>
      <c r="M56" s="13"/>
      <c r="N56" s="13"/>
      <c r="O56" s="13"/>
      <c r="P56" s="13"/>
      <c r="Q56" s="13"/>
      <c r="R56" s="13"/>
      <c r="S56" s="13"/>
      <c r="T56" s="13"/>
    </row>
    <row r="57" spans="2:20" x14ac:dyDescent="0.25">
      <c r="C57" s="106" t="str">
        <f>'A1'!M87</f>
        <v>15% Less Treatments Performed</v>
      </c>
    </row>
    <row r="58" spans="2:20" ht="14.1" customHeight="1" x14ac:dyDescent="0.25">
      <c r="D58" s="82" t="str">
        <f>D50</f>
        <v>Hemo Dialysis - 1x1</v>
      </c>
      <c r="H58" s="173">
        <f>H50</f>
        <v>0</v>
      </c>
      <c r="I58" s="519">
        <f>I42*(1-'A1'!$O$4)</f>
        <v>8.5</v>
      </c>
      <c r="J58" s="519">
        <f>J42*(1-'A1'!$O$4)</f>
        <v>10.199999999999999</v>
      </c>
      <c r="K58" s="519">
        <f>K42*(1-'A1'!$O$4)</f>
        <v>12.75</v>
      </c>
      <c r="L58" s="519">
        <f>L42*(1-'A1'!$O$4)</f>
        <v>17</v>
      </c>
      <c r="M58" s="519">
        <f>M42*(1-'A1'!$O$4)</f>
        <v>21.25</v>
      </c>
      <c r="N58" s="519">
        <f>N42*(1-'A1'!$O$4)</f>
        <v>42.5</v>
      </c>
      <c r="O58" s="519">
        <f>O42*(1-'A1'!$O$4)</f>
        <v>51</v>
      </c>
      <c r="P58" s="519">
        <f>P42*(1-'A1'!$O$4)</f>
        <v>63.75</v>
      </c>
      <c r="Q58" s="519">
        <f>Q42*(1-'A1'!$O$4)</f>
        <v>76.5</v>
      </c>
      <c r="R58" s="519">
        <f>R42*(1-'A1'!$O$4)</f>
        <v>85</v>
      </c>
      <c r="S58" s="519">
        <f>S42*(1-'A1'!$O$4)</f>
        <v>93.5</v>
      </c>
      <c r="T58" s="519">
        <f>T42*(1-'A1'!$O$4)</f>
        <v>95.2</v>
      </c>
    </row>
    <row r="59" spans="2:20" x14ac:dyDescent="0.25">
      <c r="D59" s="82" t="str">
        <f>D51</f>
        <v>Hemo Dialysis - 2x1</v>
      </c>
      <c r="H59" s="173">
        <f>H51</f>
        <v>0</v>
      </c>
      <c r="I59" s="519">
        <f>I43*(1-'A1'!$O$4)</f>
        <v>9.35</v>
      </c>
      <c r="J59" s="519">
        <f>J43*(1-'A1'!$O$4)</f>
        <v>11.049999999999999</v>
      </c>
      <c r="K59" s="519">
        <f>K43*(1-'A1'!$O$4)</f>
        <v>13.6</v>
      </c>
      <c r="L59" s="519">
        <f>L43*(1-'A1'!$O$4)</f>
        <v>17.849999999999998</v>
      </c>
      <c r="M59" s="519">
        <f>M43*(1-'A1'!$O$4)</f>
        <v>22.099999999999998</v>
      </c>
      <c r="N59" s="519">
        <f>N43*(1-'A1'!$O$4)</f>
        <v>43.35</v>
      </c>
      <c r="O59" s="519">
        <f>O43*(1-'A1'!$O$4)</f>
        <v>51.85</v>
      </c>
      <c r="P59" s="519">
        <f>P43*(1-'A1'!$O$4)</f>
        <v>64.599999999999994</v>
      </c>
      <c r="Q59" s="519">
        <f>Q43*(1-'A1'!$O$4)</f>
        <v>77.349999999999994</v>
      </c>
      <c r="R59" s="519">
        <f>R43*(1-'A1'!$O$4)</f>
        <v>85.85</v>
      </c>
      <c r="S59" s="519">
        <f>S43*(1-'A1'!$O$4)</f>
        <v>94.35</v>
      </c>
      <c r="T59" s="519">
        <f>T43*(1-'A1'!$O$4)</f>
        <v>96.05</v>
      </c>
    </row>
    <row r="60" spans="2:20" x14ac:dyDescent="0.25">
      <c r="D60" s="82" t="str">
        <f>D52</f>
        <v>Peritoneal</v>
      </c>
      <c r="H60" s="173">
        <f>H52</f>
        <v>0</v>
      </c>
      <c r="I60" s="519">
        <f>I44*(1-'A1'!$O$4)</f>
        <v>10.199999999999999</v>
      </c>
      <c r="J60" s="519">
        <f>J44*(1-'A1'!$O$4)</f>
        <v>11.9</v>
      </c>
      <c r="K60" s="519">
        <f>K44*(1-'A1'!$O$4)</f>
        <v>14.45</v>
      </c>
      <c r="L60" s="519">
        <f>L44*(1-'A1'!$O$4)</f>
        <v>18.7</v>
      </c>
      <c r="M60" s="519">
        <f>M44*(1-'A1'!$O$4)</f>
        <v>22.95</v>
      </c>
      <c r="N60" s="519">
        <f>N44*(1-'A1'!$O$4)</f>
        <v>44.199999999999996</v>
      </c>
      <c r="O60" s="519">
        <f>O44*(1-'A1'!$O$4)</f>
        <v>52.699999999999996</v>
      </c>
      <c r="P60" s="519">
        <f>P44*(1-'A1'!$O$4)</f>
        <v>65.45</v>
      </c>
      <c r="Q60" s="519">
        <f>Q44*(1-'A1'!$O$4)</f>
        <v>78.2</v>
      </c>
      <c r="R60" s="519">
        <f>R44*(1-'A1'!$O$4)</f>
        <v>86.7</v>
      </c>
      <c r="S60" s="519">
        <f>S44*(1-'A1'!$O$4)</f>
        <v>95.2</v>
      </c>
      <c r="T60" s="519">
        <f>T44*(1-'A1'!$O$4)</f>
        <v>96.899999999999991</v>
      </c>
    </row>
    <row r="61" spans="2:20" ht="14.1" customHeight="1" x14ac:dyDescent="0.25">
      <c r="D61" s="82" t="str">
        <f>D53</f>
        <v>CRRT</v>
      </c>
      <c r="H61" s="173">
        <f>H53</f>
        <v>0</v>
      </c>
      <c r="I61" s="519">
        <f>I45*(1-'A1'!$O$4)</f>
        <v>11.049999999999999</v>
      </c>
      <c r="J61" s="519">
        <f>J45*(1-'A1'!$O$4)</f>
        <v>12.75</v>
      </c>
      <c r="K61" s="519">
        <f>K45*(1-'A1'!$O$4)</f>
        <v>15.299999999999999</v>
      </c>
      <c r="L61" s="519">
        <f>L45*(1-'A1'!$O$4)</f>
        <v>19.55</v>
      </c>
      <c r="M61" s="519">
        <f>M45*(1-'A1'!$O$4)</f>
        <v>23.8</v>
      </c>
      <c r="N61" s="519">
        <f>N45*(1-'A1'!$O$4)</f>
        <v>45.05</v>
      </c>
      <c r="O61" s="519">
        <f>O45*(1-'A1'!$O$4)</f>
        <v>53.55</v>
      </c>
      <c r="P61" s="519">
        <f>P45*(1-'A1'!$O$4)</f>
        <v>66.3</v>
      </c>
      <c r="Q61" s="519">
        <f>Q45*(1-'A1'!$O$4)</f>
        <v>79.05</v>
      </c>
      <c r="R61" s="519">
        <f>R45*(1-'A1'!$O$4)</f>
        <v>87.55</v>
      </c>
      <c r="S61" s="519">
        <f>S45*(1-'A1'!$O$4)</f>
        <v>96.05</v>
      </c>
      <c r="T61" s="519">
        <f>T45*(1-'A1'!$O$4)</f>
        <v>97.75</v>
      </c>
    </row>
    <row r="62" spans="2:20" x14ac:dyDescent="0.25">
      <c r="D62" s="82" t="str">
        <f>D54</f>
        <v>Apheresis</v>
      </c>
      <c r="H62" s="173">
        <f>H54</f>
        <v>0</v>
      </c>
      <c r="I62" s="519">
        <f>I46*(1-'A1'!$O$4)</f>
        <v>11.9</v>
      </c>
      <c r="J62" s="519">
        <f>J46*(1-'A1'!$O$4)</f>
        <v>13.6</v>
      </c>
      <c r="K62" s="519">
        <f>K46*(1-'A1'!$O$4)</f>
        <v>16.149999999999999</v>
      </c>
      <c r="L62" s="519">
        <f>L46*(1-'A1'!$O$4)</f>
        <v>20.399999999999999</v>
      </c>
      <c r="M62" s="519">
        <f>M46*(1-'A1'!$O$4)</f>
        <v>24.65</v>
      </c>
      <c r="N62" s="519">
        <f>N46*(1-'A1'!$O$4)</f>
        <v>45.9</v>
      </c>
      <c r="O62" s="519">
        <f>O46*(1-'A1'!$O$4)</f>
        <v>54.4</v>
      </c>
      <c r="P62" s="519">
        <f>P46*(1-'A1'!$O$4)</f>
        <v>67.149999999999991</v>
      </c>
      <c r="Q62" s="519">
        <f>Q46*(1-'A1'!$O$4)</f>
        <v>79.899999999999991</v>
      </c>
      <c r="R62" s="519">
        <f>R46*(1-'A1'!$O$4)</f>
        <v>88.399999999999991</v>
      </c>
      <c r="S62" s="519">
        <f>S46*(1-'A1'!$O$4)</f>
        <v>96.899999999999991</v>
      </c>
      <c r="T62" s="519">
        <f>T46*(1-'A1'!$O$4)</f>
        <v>98.6</v>
      </c>
    </row>
    <row r="63" spans="2:20" x14ac:dyDescent="0.25">
      <c r="C63" s="516"/>
      <c r="D63" s="516"/>
      <c r="E63" s="516" t="s">
        <v>13</v>
      </c>
      <c r="F63" s="516"/>
      <c r="G63" s="516"/>
      <c r="H63" s="517"/>
      <c r="I63" s="518">
        <f t="shared" ref="I63:T63" si="17">SUMPRODUCT(I58:I62,$H$42:$H$46)</f>
        <v>0</v>
      </c>
      <c r="J63" s="518">
        <f t="shared" si="17"/>
        <v>0</v>
      </c>
      <c r="K63" s="518">
        <f t="shared" si="17"/>
        <v>0</v>
      </c>
      <c r="L63" s="518">
        <f t="shared" si="17"/>
        <v>0</v>
      </c>
      <c r="M63" s="518">
        <f t="shared" si="17"/>
        <v>0</v>
      </c>
      <c r="N63" s="518">
        <f t="shared" si="17"/>
        <v>0</v>
      </c>
      <c r="O63" s="518">
        <f t="shared" si="17"/>
        <v>0</v>
      </c>
      <c r="P63" s="518">
        <f t="shared" si="17"/>
        <v>0</v>
      </c>
      <c r="Q63" s="518">
        <f t="shared" si="17"/>
        <v>0</v>
      </c>
      <c r="R63" s="518">
        <f t="shared" si="17"/>
        <v>0</v>
      </c>
      <c r="S63" s="518">
        <f t="shared" si="17"/>
        <v>0</v>
      </c>
      <c r="T63" s="518">
        <f t="shared" si="17"/>
        <v>0</v>
      </c>
    </row>
    <row r="64" spans="2:20" x14ac:dyDescent="0.25">
      <c r="I64" s="13"/>
      <c r="J64" s="13"/>
      <c r="K64" s="13"/>
      <c r="L64" s="13"/>
      <c r="M64" s="13"/>
      <c r="N64" s="13"/>
      <c r="O64" s="13"/>
      <c r="P64" s="13"/>
      <c r="Q64" s="13"/>
      <c r="R64" s="13"/>
      <c r="S64" s="13"/>
      <c r="T64" s="13"/>
    </row>
    <row r="65" spans="3:20" x14ac:dyDescent="0.25">
      <c r="C65" s="106" t="s">
        <v>129</v>
      </c>
      <c r="E65" s="521">
        <f>'A1'!N4</f>
        <v>1</v>
      </c>
      <c r="F65" s="522" t="str">
        <f>CHOOSE(E65,C41,C49,C57)</f>
        <v>Base Case</v>
      </c>
      <c r="G65" s="523"/>
      <c r="H65" s="524"/>
      <c r="I65" s="523"/>
      <c r="J65" s="523"/>
      <c r="K65" s="523"/>
      <c r="L65" s="523"/>
      <c r="M65" s="525"/>
    </row>
    <row r="66" spans="3:20" ht="14.1" customHeight="1" x14ac:dyDescent="0.25">
      <c r="D66" s="82" t="str">
        <f>D58</f>
        <v>Hemo Dialysis - 1x1</v>
      </c>
      <c r="H66" s="173">
        <f>H58</f>
        <v>0</v>
      </c>
      <c r="I66" s="519">
        <f t="shared" ref="I66:T66" si="18">CHOOSE($E$65,I42,I50,I58)</f>
        <v>10</v>
      </c>
      <c r="J66" s="519">
        <f t="shared" si="18"/>
        <v>12</v>
      </c>
      <c r="K66" s="519">
        <f t="shared" si="18"/>
        <v>15</v>
      </c>
      <c r="L66" s="519">
        <f t="shared" si="18"/>
        <v>20</v>
      </c>
      <c r="M66" s="519">
        <f t="shared" si="18"/>
        <v>25</v>
      </c>
      <c r="N66" s="519">
        <f t="shared" si="18"/>
        <v>50</v>
      </c>
      <c r="O66" s="519">
        <f t="shared" si="18"/>
        <v>60</v>
      </c>
      <c r="P66" s="519">
        <f t="shared" si="18"/>
        <v>75</v>
      </c>
      <c r="Q66" s="519">
        <f t="shared" si="18"/>
        <v>90</v>
      </c>
      <c r="R66" s="519">
        <f t="shared" si="18"/>
        <v>100</v>
      </c>
      <c r="S66" s="519">
        <f t="shared" si="18"/>
        <v>110</v>
      </c>
      <c r="T66" s="519">
        <f t="shared" si="18"/>
        <v>112</v>
      </c>
    </row>
    <row r="67" spans="3:20" ht="14.1" customHeight="1" x14ac:dyDescent="0.25">
      <c r="D67" s="82" t="str">
        <f>D59</f>
        <v>Hemo Dialysis - 2x1</v>
      </c>
      <c r="H67" s="173">
        <f>H59</f>
        <v>0</v>
      </c>
      <c r="I67" s="519">
        <f t="shared" ref="I67:T67" si="19">CHOOSE($E$65,I43,I51,I59)</f>
        <v>11</v>
      </c>
      <c r="J67" s="519">
        <f t="shared" si="19"/>
        <v>13</v>
      </c>
      <c r="K67" s="519">
        <f t="shared" si="19"/>
        <v>16</v>
      </c>
      <c r="L67" s="519">
        <f t="shared" si="19"/>
        <v>21</v>
      </c>
      <c r="M67" s="519">
        <f t="shared" si="19"/>
        <v>26</v>
      </c>
      <c r="N67" s="519">
        <f t="shared" si="19"/>
        <v>51</v>
      </c>
      <c r="O67" s="519">
        <f t="shared" si="19"/>
        <v>61</v>
      </c>
      <c r="P67" s="519">
        <f t="shared" si="19"/>
        <v>76</v>
      </c>
      <c r="Q67" s="519">
        <f t="shared" si="19"/>
        <v>91</v>
      </c>
      <c r="R67" s="519">
        <f t="shared" si="19"/>
        <v>101</v>
      </c>
      <c r="S67" s="519">
        <f t="shared" si="19"/>
        <v>111</v>
      </c>
      <c r="T67" s="519">
        <f t="shared" si="19"/>
        <v>113</v>
      </c>
    </row>
    <row r="68" spans="3:20" x14ac:dyDescent="0.25">
      <c r="D68" s="82" t="str">
        <f>D60</f>
        <v>Peritoneal</v>
      </c>
      <c r="H68" s="173">
        <f>H60</f>
        <v>0</v>
      </c>
      <c r="I68" s="519">
        <f t="shared" ref="I68:T68" si="20">CHOOSE($E$65,I44,I52,I60)</f>
        <v>12</v>
      </c>
      <c r="J68" s="519">
        <f t="shared" si="20"/>
        <v>14</v>
      </c>
      <c r="K68" s="519">
        <f t="shared" si="20"/>
        <v>17</v>
      </c>
      <c r="L68" s="519">
        <f t="shared" si="20"/>
        <v>22</v>
      </c>
      <c r="M68" s="519">
        <f t="shared" si="20"/>
        <v>27</v>
      </c>
      <c r="N68" s="519">
        <f t="shared" si="20"/>
        <v>52</v>
      </c>
      <c r="O68" s="519">
        <f t="shared" si="20"/>
        <v>62</v>
      </c>
      <c r="P68" s="519">
        <f t="shared" si="20"/>
        <v>77</v>
      </c>
      <c r="Q68" s="519">
        <f t="shared" si="20"/>
        <v>92</v>
      </c>
      <c r="R68" s="519">
        <f t="shared" si="20"/>
        <v>102</v>
      </c>
      <c r="S68" s="519">
        <f t="shared" si="20"/>
        <v>112</v>
      </c>
      <c r="T68" s="519">
        <f t="shared" si="20"/>
        <v>114</v>
      </c>
    </row>
    <row r="69" spans="3:20" ht="14.1" customHeight="1" x14ac:dyDescent="0.25">
      <c r="D69" s="82" t="str">
        <f>D61</f>
        <v>CRRT</v>
      </c>
      <c r="H69" s="173">
        <f>H61</f>
        <v>0</v>
      </c>
      <c r="I69" s="519">
        <f t="shared" ref="I69:T69" si="21">CHOOSE($E$65,I45,I53,I61)</f>
        <v>13</v>
      </c>
      <c r="J69" s="519">
        <f t="shared" si="21"/>
        <v>15</v>
      </c>
      <c r="K69" s="519">
        <f t="shared" si="21"/>
        <v>18</v>
      </c>
      <c r="L69" s="519">
        <f t="shared" si="21"/>
        <v>23</v>
      </c>
      <c r="M69" s="519">
        <f t="shared" si="21"/>
        <v>28</v>
      </c>
      <c r="N69" s="519">
        <f t="shared" si="21"/>
        <v>53</v>
      </c>
      <c r="O69" s="519">
        <f t="shared" si="21"/>
        <v>63</v>
      </c>
      <c r="P69" s="519">
        <f t="shared" si="21"/>
        <v>78</v>
      </c>
      <c r="Q69" s="519">
        <f t="shared" si="21"/>
        <v>93</v>
      </c>
      <c r="R69" s="519">
        <f t="shared" si="21"/>
        <v>103</v>
      </c>
      <c r="S69" s="519">
        <f t="shared" si="21"/>
        <v>113</v>
      </c>
      <c r="T69" s="519">
        <f t="shared" si="21"/>
        <v>115</v>
      </c>
    </row>
    <row r="70" spans="3:20" x14ac:dyDescent="0.25">
      <c r="D70" s="82" t="str">
        <f>D62</f>
        <v>Apheresis</v>
      </c>
      <c r="H70" s="173">
        <f>H62</f>
        <v>0</v>
      </c>
      <c r="I70" s="519">
        <f t="shared" ref="I70:T70" si="22">CHOOSE($E$65,I46,I54,I62)</f>
        <v>14</v>
      </c>
      <c r="J70" s="519">
        <f t="shared" si="22"/>
        <v>16</v>
      </c>
      <c r="K70" s="519">
        <f t="shared" si="22"/>
        <v>19</v>
      </c>
      <c r="L70" s="519">
        <f t="shared" si="22"/>
        <v>24</v>
      </c>
      <c r="M70" s="519">
        <f t="shared" si="22"/>
        <v>29</v>
      </c>
      <c r="N70" s="519">
        <f t="shared" si="22"/>
        <v>54</v>
      </c>
      <c r="O70" s="519">
        <f t="shared" si="22"/>
        <v>64</v>
      </c>
      <c r="P70" s="519">
        <f t="shared" si="22"/>
        <v>79</v>
      </c>
      <c r="Q70" s="519">
        <f t="shared" si="22"/>
        <v>94</v>
      </c>
      <c r="R70" s="519">
        <f t="shared" si="22"/>
        <v>104</v>
      </c>
      <c r="S70" s="519">
        <f t="shared" si="22"/>
        <v>114</v>
      </c>
      <c r="T70" s="519">
        <f t="shared" si="22"/>
        <v>116</v>
      </c>
    </row>
    <row r="71" spans="3:20" x14ac:dyDescent="0.25">
      <c r="C71" s="516"/>
      <c r="D71" s="516"/>
      <c r="E71" s="516" t="s">
        <v>13</v>
      </c>
      <c r="F71" s="516"/>
      <c r="G71" s="516"/>
      <c r="H71" s="517"/>
      <c r="I71" s="518">
        <f t="shared" ref="I71:T71" si="23">SUMPRODUCT(I66:I70,$H$42:$H$46)</f>
        <v>0</v>
      </c>
      <c r="J71" s="518">
        <f t="shared" si="23"/>
        <v>0</v>
      </c>
      <c r="K71" s="518">
        <f t="shared" si="23"/>
        <v>0</v>
      </c>
      <c r="L71" s="518">
        <f t="shared" si="23"/>
        <v>0</v>
      </c>
      <c r="M71" s="518">
        <f t="shared" si="23"/>
        <v>0</v>
      </c>
      <c r="N71" s="518">
        <f t="shared" si="23"/>
        <v>0</v>
      </c>
      <c r="O71" s="518">
        <f t="shared" si="23"/>
        <v>0</v>
      </c>
      <c r="P71" s="518">
        <f t="shared" si="23"/>
        <v>0</v>
      </c>
      <c r="Q71" s="518">
        <f t="shared" si="23"/>
        <v>0</v>
      </c>
      <c r="R71" s="518">
        <f t="shared" si="23"/>
        <v>0</v>
      </c>
      <c r="S71" s="518">
        <f t="shared" si="23"/>
        <v>0</v>
      </c>
      <c r="T71" s="518">
        <f t="shared" si="23"/>
        <v>0</v>
      </c>
    </row>
  </sheetData>
  <mergeCells count="8">
    <mergeCell ref="D33:D34"/>
    <mergeCell ref="D35:D36"/>
    <mergeCell ref="D12:D13"/>
    <mergeCell ref="D14:D15"/>
    <mergeCell ref="D19:D20"/>
    <mergeCell ref="D21:D22"/>
    <mergeCell ref="D26:D27"/>
    <mergeCell ref="D28:D29"/>
  </mergeCells>
  <conditionalFormatting sqref="I12:T13">
    <cfRule type="expression" dxfId="132" priority="37">
      <formula>$H12=0</formula>
    </cfRule>
    <cfRule type="expression" dxfId="131" priority="39">
      <formula>$H12=0</formula>
    </cfRule>
  </conditionalFormatting>
  <conditionalFormatting sqref="I33:T36">
    <cfRule type="expression" dxfId="130" priority="34">
      <formula>$H33=0</formula>
    </cfRule>
  </conditionalFormatting>
  <conditionalFormatting sqref="I42:T46">
    <cfRule type="expression" dxfId="129" priority="28">
      <formula>$H42=0</formula>
    </cfRule>
  </conditionalFormatting>
  <conditionalFormatting sqref="I66:T70">
    <cfRule type="expression" dxfId="128" priority="25">
      <formula>$H66=0</formula>
    </cfRule>
  </conditionalFormatting>
  <conditionalFormatting sqref="I19:T22">
    <cfRule type="expression" dxfId="127" priority="23">
      <formula>$H19=0</formula>
    </cfRule>
    <cfRule type="expression" dxfId="126" priority="24">
      <formula>$H19=0</formula>
    </cfRule>
  </conditionalFormatting>
  <conditionalFormatting sqref="I26:T29">
    <cfRule type="expression" dxfId="125" priority="21">
      <formula>$H26=0</formula>
    </cfRule>
    <cfRule type="expression" dxfId="124" priority="22">
      <formula>$H26=0</formula>
    </cfRule>
  </conditionalFormatting>
  <conditionalFormatting sqref="I50:T54">
    <cfRule type="expression" dxfId="123" priority="20">
      <formula>$H50=0</formula>
    </cfRule>
  </conditionalFormatting>
  <conditionalFormatting sqref="I58:T62">
    <cfRule type="expression" dxfId="122" priority="19">
      <formula>$H58=0</formula>
    </cfRule>
  </conditionalFormatting>
  <conditionalFormatting sqref="Y14:AE15">
    <cfRule type="expression" dxfId="121" priority="17">
      <formula>$H14=0</formula>
    </cfRule>
    <cfRule type="expression" dxfId="120" priority="18">
      <formula>$H14=0</formula>
    </cfRule>
  </conditionalFormatting>
  <conditionalFormatting sqref="AE14">
    <cfRule type="expression" dxfId="119" priority="15">
      <formula>$H14=0</formula>
    </cfRule>
    <cfRule type="expression" dxfId="118" priority="16">
      <formula>$H14=0</formula>
    </cfRule>
  </conditionalFormatting>
  <conditionalFormatting sqref="Y15:AD15">
    <cfRule type="expression" dxfId="117" priority="13">
      <formula>$H15=0</formula>
    </cfRule>
    <cfRule type="expression" dxfId="116" priority="14">
      <formula>$H15=0</formula>
    </cfRule>
  </conditionalFormatting>
  <conditionalFormatting sqref="AE15">
    <cfRule type="expression" dxfId="115" priority="11">
      <formula>$H15=0</formula>
    </cfRule>
    <cfRule type="expression" dxfId="114" priority="12">
      <formula>$H15=0</formula>
    </cfRule>
  </conditionalFormatting>
  <conditionalFormatting sqref="X14:AM15">
    <cfRule type="expression" dxfId="113" priority="9">
      <formula>$H14=0</formula>
    </cfRule>
    <cfRule type="expression" dxfId="112" priority="10">
      <formula>$H14=0</formula>
    </cfRule>
  </conditionalFormatting>
  <conditionalFormatting sqref="AN14:BB15">
    <cfRule type="expression" dxfId="111" priority="7">
      <formula>$H14=0</formula>
    </cfRule>
    <cfRule type="expression" dxfId="110" priority="8">
      <formula>$H14=0</formula>
    </cfRule>
  </conditionalFormatting>
  <conditionalFormatting sqref="I14:I15">
    <cfRule type="expression" dxfId="109" priority="5">
      <formula>$H14=0</formula>
    </cfRule>
    <cfRule type="expression" dxfId="108" priority="6">
      <formula>$H14=0</formula>
    </cfRule>
  </conditionalFormatting>
  <conditionalFormatting sqref="J14:J15">
    <cfRule type="expression" dxfId="107" priority="3">
      <formula>$H14=0</formula>
    </cfRule>
    <cfRule type="expression" dxfId="106" priority="4">
      <formula>$H14=0</formula>
    </cfRule>
  </conditionalFormatting>
  <conditionalFormatting sqref="K14:T15">
    <cfRule type="expression" dxfId="105" priority="1">
      <formula>$H14=0</formula>
    </cfRule>
    <cfRule type="expression" dxfId="104" priority="2">
      <formula>$H14=0</formula>
    </cfRule>
  </conditionalFormatting>
  <printOptions horizontalCentered="1"/>
  <pageMargins left="0.7" right="0.7" top="0.75" bottom="0.75" header="0.3" footer="0.3"/>
  <pageSetup scale="65" orientation="portrait" r:id="rId1"/>
  <ignoredErrors>
    <ignoredError sqref="A1:T5 A16:T71 A14:H14 A15:H15 A13:H13 A12:H12 A7:T11 A6:H6" unlockedFormula="1"/>
  </ignoredError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>
    <tabColor rgb="FFFFFF00"/>
  </sheetPr>
  <dimension ref="A1:K21"/>
  <sheetViews>
    <sheetView workbookViewId="0"/>
  </sheetViews>
  <sheetFormatPr defaultColWidth="9.42578125" defaultRowHeight="15" x14ac:dyDescent="0.25"/>
  <cols>
    <col min="1" max="1" width="1.42578125" style="1" customWidth="1"/>
    <col min="2" max="2" width="3.42578125" style="1" customWidth="1"/>
    <col min="3" max="3" width="9.42578125" style="1"/>
    <col min="4" max="4" width="28.42578125" style="1" customWidth="1"/>
    <col min="5" max="8" width="17.42578125" style="1" customWidth="1"/>
    <col min="9" max="16384" width="9.42578125" style="1"/>
  </cols>
  <sheetData>
    <row r="1" spans="1:11" ht="7.35" customHeight="1" thickBot="1" x14ac:dyDescent="0.3">
      <c r="B1" s="85"/>
      <c r="C1" s="85"/>
      <c r="D1" s="86"/>
      <c r="E1" s="85"/>
      <c r="F1" s="85"/>
      <c r="G1" s="85"/>
      <c r="H1" s="383"/>
      <c r="I1" s="85"/>
      <c r="J1" s="85"/>
      <c r="K1" s="85"/>
    </row>
    <row r="2" spans="1:11" ht="16.5" thickTop="1" x14ac:dyDescent="0.25">
      <c r="B2" s="110" t="str">
        <f>MainOutline!B2</f>
        <v>WB Santa Cruz</v>
      </c>
      <c r="C2" s="110"/>
      <c r="D2" s="111"/>
      <c r="E2" s="111"/>
      <c r="F2" s="111"/>
      <c r="G2" s="508" t="str">
        <f>'A1'!$C$90</f>
        <v>Acquisition of an existing facility</v>
      </c>
      <c r="H2" s="385"/>
      <c r="I2" s="111"/>
      <c r="J2" s="111"/>
      <c r="K2" s="1409">
        <f>$A3</f>
        <v>4</v>
      </c>
    </row>
    <row r="3" spans="1:11" ht="15.75" x14ac:dyDescent="0.25">
      <c r="A3" s="123">
        <f>MainOutline!B11</f>
        <v>4</v>
      </c>
      <c r="B3" s="102" t="str">
        <f>MainOutline!C11</f>
        <v>Exhibit A4</v>
      </c>
      <c r="C3" s="102"/>
      <c r="D3" s="89"/>
      <c r="E3" s="89"/>
      <c r="F3" s="89"/>
      <c r="G3" s="89"/>
      <c r="H3" s="386"/>
      <c r="I3" s="89"/>
      <c r="J3" s="89"/>
      <c r="K3" s="89"/>
    </row>
    <row r="4" spans="1:11" ht="16.5" thickBot="1" x14ac:dyDescent="0.3">
      <c r="B4" s="104" t="s">
        <v>1003</v>
      </c>
      <c r="C4" s="104"/>
      <c r="D4" s="97"/>
      <c r="E4" s="97"/>
      <c r="F4" s="97"/>
      <c r="G4" s="97"/>
      <c r="H4" s="387"/>
      <c r="I4" s="97"/>
      <c r="J4" s="97"/>
      <c r="K4" s="388"/>
    </row>
    <row r="5" spans="1:11" ht="15.75" thickTop="1" x14ac:dyDescent="0.25">
      <c r="H5" s="83"/>
    </row>
    <row r="7" spans="1:11" x14ac:dyDescent="0.25">
      <c r="B7" s="106" t="s">
        <v>1004</v>
      </c>
    </row>
    <row r="8" spans="1:11" ht="17.25" x14ac:dyDescent="0.4">
      <c r="F8" s="292" t="s">
        <v>1016</v>
      </c>
      <c r="G8" s="292"/>
      <c r="H8" s="341"/>
    </row>
    <row r="9" spans="1:11" s="101" customFormat="1" ht="51.75" x14ac:dyDescent="0.4">
      <c r="D9" s="101" t="s">
        <v>432</v>
      </c>
      <c r="E9" s="101" t="s">
        <v>1015</v>
      </c>
      <c r="F9" s="101" t="s">
        <v>11</v>
      </c>
      <c r="G9" s="101" t="s">
        <v>511</v>
      </c>
      <c r="H9" s="101" t="s">
        <v>447</v>
      </c>
    </row>
    <row r="10" spans="1:11" x14ac:dyDescent="0.25">
      <c r="C10" s="1" t="s">
        <v>1005</v>
      </c>
      <c r="D10" s="1" t="s">
        <v>63</v>
      </c>
      <c r="E10" s="1306">
        <v>0</v>
      </c>
      <c r="F10" s="371">
        <f>MacroLinks!C12</f>
        <v>0</v>
      </c>
      <c r="G10" s="371">
        <f>MacroLinks!D12</f>
        <v>-8753.8284449394341</v>
      </c>
      <c r="H10" s="80">
        <f>F10+G10</f>
        <v>-8753.8284449394341</v>
      </c>
    </row>
    <row r="11" spans="1:11" x14ac:dyDescent="0.25">
      <c r="C11" s="1" t="s">
        <v>1006</v>
      </c>
      <c r="D11" s="1" t="str">
        <f t="shared" ref="D11:D16" si="0">"Com'l Mix Change by " &amp; TEXT( E11,"0%")</f>
        <v>Com'l Mix Change by 3%</v>
      </c>
      <c r="E11" s="1306">
        <v>0.03</v>
      </c>
      <c r="F11" s="371">
        <f>MacroLinks!C13</f>
        <v>0</v>
      </c>
      <c r="G11" s="371">
        <f>MacroLinks!D13</f>
        <v>-8127.0558097642861</v>
      </c>
      <c r="H11" s="80">
        <f t="shared" ref="H11:H16" si="1">F11+G11</f>
        <v>-8127.0558097642861</v>
      </c>
    </row>
    <row r="12" spans="1:11" x14ac:dyDescent="0.25">
      <c r="C12" s="1" t="s">
        <v>1007</v>
      </c>
      <c r="D12" s="1" t="str">
        <f t="shared" si="0"/>
        <v>Com'l Mix Change by 5%</v>
      </c>
      <c r="E12" s="1306">
        <v>0.05</v>
      </c>
      <c r="F12" s="371">
        <f>MacroLinks!C14</f>
        <v>0</v>
      </c>
      <c r="G12" s="371">
        <f>MacroLinks!D14</f>
        <v>-7709.2073863141895</v>
      </c>
      <c r="H12" s="80">
        <f t="shared" si="1"/>
        <v>-7709.2073863141895</v>
      </c>
    </row>
    <row r="13" spans="1:11" x14ac:dyDescent="0.25">
      <c r="C13" s="1" t="s">
        <v>1008</v>
      </c>
      <c r="D13" s="1" t="str">
        <f t="shared" si="0"/>
        <v>Com'l Mix Change by 10%</v>
      </c>
      <c r="E13" s="1306">
        <v>0.1</v>
      </c>
      <c r="F13" s="371">
        <f>MacroLinks!C15</f>
        <v>0</v>
      </c>
      <c r="G13" s="371">
        <f>MacroLinks!D15</f>
        <v>-6664.5863276889413</v>
      </c>
      <c r="H13" s="80">
        <f t="shared" si="1"/>
        <v>-6664.5863276889413</v>
      </c>
    </row>
    <row r="14" spans="1:11" x14ac:dyDescent="0.25">
      <c r="C14" s="1" t="s">
        <v>1009</v>
      </c>
      <c r="D14" s="1" t="str">
        <f t="shared" si="0"/>
        <v>Com'l Mix Change by -3%</v>
      </c>
      <c r="E14" s="1306">
        <v>-0.03</v>
      </c>
      <c r="F14" s="371">
        <f>MacroLinks!C16</f>
        <v>0</v>
      </c>
      <c r="G14" s="371">
        <f>MacroLinks!D16</f>
        <v>-9380.6010801145821</v>
      </c>
      <c r="H14" s="80">
        <f t="shared" si="1"/>
        <v>-9380.6010801145821</v>
      </c>
    </row>
    <row r="15" spans="1:11" x14ac:dyDescent="0.25">
      <c r="C15" s="1" t="s">
        <v>1010</v>
      </c>
      <c r="D15" s="1" t="str">
        <f t="shared" si="0"/>
        <v>Com'l Mix Change by -5%</v>
      </c>
      <c r="E15" s="1306">
        <f>-E12</f>
        <v>-0.05</v>
      </c>
      <c r="F15" s="371">
        <f>MacroLinks!C17</f>
        <v>0</v>
      </c>
      <c r="G15" s="371">
        <f>MacroLinks!D17</f>
        <v>-9798.4495035646833</v>
      </c>
      <c r="H15" s="80">
        <f t="shared" si="1"/>
        <v>-9798.4495035646833</v>
      </c>
    </row>
    <row r="16" spans="1:11" x14ac:dyDescent="0.25">
      <c r="C16" s="1" t="s">
        <v>1011</v>
      </c>
      <c r="D16" s="1" t="str">
        <f t="shared" si="0"/>
        <v>Com'l Mix Change by -10%</v>
      </c>
      <c r="E16" s="1306">
        <f>-E13</f>
        <v>-0.1</v>
      </c>
      <c r="F16" s="371">
        <f>MacroLinks!C18</f>
        <v>0</v>
      </c>
      <c r="G16" s="371">
        <f>MacroLinks!D18</f>
        <v>-10878.648241590396</v>
      </c>
      <c r="H16" s="80">
        <f t="shared" si="1"/>
        <v>-10878.648241590396</v>
      </c>
    </row>
    <row r="20" spans="2:11" ht="15.75" thickBot="1" x14ac:dyDescent="0.3">
      <c r="B20" s="257"/>
      <c r="C20" s="257"/>
      <c r="D20" s="257"/>
      <c r="E20" s="257"/>
      <c r="F20" s="257"/>
      <c r="G20" s="257"/>
      <c r="H20" s="257"/>
      <c r="I20" s="257"/>
      <c r="J20" s="257"/>
      <c r="K20" s="257"/>
    </row>
    <row r="21" spans="2:11" x14ac:dyDescent="0.25">
      <c r="B21" s="106" t="s">
        <v>65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0">
    <tabColor rgb="FFFFFF00"/>
    <pageSetUpPr fitToPage="1"/>
  </sheetPr>
  <dimension ref="A1:U45"/>
  <sheetViews>
    <sheetView showGridLines="0" view="pageBreakPreview" zoomScale="90" zoomScaleSheetLayoutView="90" workbookViewId="0"/>
  </sheetViews>
  <sheetFormatPr defaultColWidth="9.42578125" defaultRowHeight="15" x14ac:dyDescent="0.25"/>
  <cols>
    <col min="1" max="1" width="1.42578125" style="1" customWidth="1"/>
    <col min="2" max="2" width="3.42578125" style="1" customWidth="1"/>
    <col min="3" max="3" width="4.5703125" style="1" customWidth="1"/>
    <col min="4" max="4" width="27.42578125" style="1" customWidth="1"/>
    <col min="5" max="5" width="9.5703125" style="1" customWidth="1"/>
    <col min="6" max="6" width="8.5703125" style="1" customWidth="1"/>
    <col min="7" max="8" width="4.5703125" style="1" customWidth="1"/>
    <col min="9" max="9" width="17.5703125" style="1" customWidth="1"/>
    <col min="10" max="10" width="11.140625" style="1" customWidth="1"/>
    <col min="11" max="11" width="13.42578125" style="1" customWidth="1"/>
    <col min="12" max="12" width="8.5703125" style="1" customWidth="1"/>
    <col min="13" max="13" width="4.5703125" style="1" customWidth="1"/>
    <col min="14" max="14" width="18.42578125" style="1" customWidth="1"/>
    <col min="15" max="15" width="6.5703125" style="1" customWidth="1"/>
    <col min="16" max="16" width="9.5703125" style="1" customWidth="1"/>
    <col min="17" max="18" width="9.42578125" style="1"/>
    <col min="19" max="19" width="17.85546875" style="1" customWidth="1"/>
    <col min="20" max="16384" width="9.42578125" style="1"/>
  </cols>
  <sheetData>
    <row r="1" spans="1:21" ht="7.35" customHeight="1" thickBot="1" x14ac:dyDescent="0.3">
      <c r="B1" s="85"/>
      <c r="C1" s="85"/>
      <c r="D1" s="86"/>
      <c r="E1" s="85"/>
      <c r="F1" s="85"/>
      <c r="G1" s="85"/>
      <c r="H1" s="85"/>
      <c r="I1" s="85"/>
      <c r="J1" s="85"/>
      <c r="K1" s="85"/>
      <c r="L1" s="85"/>
      <c r="M1" s="85"/>
      <c r="N1" s="85"/>
      <c r="O1" s="85"/>
      <c r="P1" s="85"/>
      <c r="Q1" s="85"/>
    </row>
    <row r="2" spans="1:21" ht="16.5" thickTop="1" x14ac:dyDescent="0.25">
      <c r="B2" s="110" t="str">
        <f>MainOutline!B2</f>
        <v>WB Santa Cruz</v>
      </c>
      <c r="C2" s="110"/>
      <c r="D2" s="111"/>
      <c r="E2" s="111"/>
      <c r="F2" s="508" t="str">
        <f>IF(AcqType=2,'A1'!$C$90, " Worksheet not used!")</f>
        <v>Acquisition of an existing facility</v>
      </c>
      <c r="G2" s="111"/>
      <c r="H2" s="111"/>
      <c r="I2" s="111"/>
      <c r="J2" s="111"/>
      <c r="K2" s="111"/>
      <c r="L2" s="111"/>
      <c r="M2" s="111"/>
      <c r="N2" s="111"/>
      <c r="O2" s="111"/>
      <c r="P2" s="111"/>
      <c r="Q2" s="1409">
        <f>$A3</f>
        <v>5</v>
      </c>
    </row>
    <row r="3" spans="1:21" ht="15.75" x14ac:dyDescent="0.25">
      <c r="A3" s="123">
        <f>MainOutline!B12</f>
        <v>5</v>
      </c>
      <c r="B3" s="102" t="str">
        <f>MainOutline!C12</f>
        <v>Exhibit A5</v>
      </c>
      <c r="C3" s="102"/>
      <c r="D3" s="89"/>
      <c r="E3" s="89"/>
      <c r="F3" s="89"/>
      <c r="G3" s="89"/>
      <c r="H3" s="89"/>
      <c r="I3" s="89"/>
      <c r="J3" s="89"/>
      <c r="K3" s="89"/>
      <c r="L3" s="89"/>
      <c r="M3" s="89"/>
      <c r="N3" s="89"/>
      <c r="O3" s="89"/>
      <c r="P3" s="89"/>
      <c r="Q3" s="89"/>
    </row>
    <row r="4" spans="1:21" ht="16.5" thickBot="1" x14ac:dyDescent="0.3">
      <c r="B4" s="104" t="s">
        <v>1067</v>
      </c>
      <c r="C4" s="104"/>
      <c r="D4" s="97"/>
      <c r="E4" s="97"/>
      <c r="F4" s="97"/>
      <c r="G4" s="97"/>
      <c r="H4" s="97"/>
      <c r="I4" s="97"/>
      <c r="J4" s="97"/>
      <c r="K4" s="97"/>
      <c r="L4" s="97"/>
      <c r="M4" s="1406">
        <v>2</v>
      </c>
      <c r="N4" s="97"/>
      <c r="O4" s="97"/>
      <c r="P4" s="97"/>
      <c r="Q4" s="138" t="s">
        <v>19</v>
      </c>
    </row>
    <row r="5" spans="1:21" ht="15.75" thickTop="1" x14ac:dyDescent="0.25">
      <c r="B5" s="1116">
        <f>IF(AcqType=2,1,0)</f>
        <v>1</v>
      </c>
    </row>
    <row r="6" spans="1:21" x14ac:dyDescent="0.25">
      <c r="B6" s="157" t="s">
        <v>925</v>
      </c>
      <c r="M6" s="157" t="s">
        <v>925</v>
      </c>
    </row>
    <row r="7" spans="1:21" x14ac:dyDescent="0.25">
      <c r="B7" s="516" t="s">
        <v>1081</v>
      </c>
      <c r="M7" s="516" t="s">
        <v>1079</v>
      </c>
    </row>
    <row r="8" spans="1:21" x14ac:dyDescent="0.25">
      <c r="B8" s="516" t="s">
        <v>1082</v>
      </c>
      <c r="M8" s="516" t="s">
        <v>1083</v>
      </c>
    </row>
    <row r="9" spans="1:21" ht="15.75" x14ac:dyDescent="0.25">
      <c r="B9" s="1372" t="s">
        <v>1077</v>
      </c>
      <c r="C9" s="1373"/>
      <c r="D9" s="1373"/>
      <c r="E9" s="1374"/>
      <c r="G9" s="1372" t="s">
        <v>1095</v>
      </c>
      <c r="H9" s="1373"/>
      <c r="I9" s="1373"/>
      <c r="J9" s="1373"/>
      <c r="K9" s="1374"/>
      <c r="M9" s="1372" t="s">
        <v>1098</v>
      </c>
      <c r="N9" s="1373"/>
      <c r="O9" s="1373"/>
      <c r="P9" s="1374"/>
    </row>
    <row r="10" spans="1:21" x14ac:dyDescent="0.25">
      <c r="K10" s="173" t="s">
        <v>1114</v>
      </c>
      <c r="T10" s="1396"/>
    </row>
    <row r="11" spans="1:21" ht="17.25" x14ac:dyDescent="0.4">
      <c r="C11" s="1" t="s">
        <v>168</v>
      </c>
      <c r="G11" s="1" t="s">
        <v>168</v>
      </c>
      <c r="K11" s="842" t="s">
        <v>1115</v>
      </c>
      <c r="T11" s="1396"/>
      <c r="U11" s="1" t="s">
        <v>1093</v>
      </c>
    </row>
    <row r="12" spans="1:21" x14ac:dyDescent="0.25">
      <c r="B12" s="1">
        <v>1</v>
      </c>
      <c r="C12" s="1377">
        <v>1</v>
      </c>
      <c r="D12" s="1" t="s">
        <v>42</v>
      </c>
      <c r="E12" s="13"/>
      <c r="G12" s="1375">
        <v>1</v>
      </c>
      <c r="H12" s="1" t="s">
        <v>42</v>
      </c>
      <c r="J12" s="13">
        <f>SUMIF($C$12:$C$40,G12,$E$12:$E$40)</f>
        <v>0</v>
      </c>
      <c r="K12" s="13">
        <f>J12-J21</f>
        <v>0</v>
      </c>
      <c r="M12" s="1" t="str">
        <f>H12</f>
        <v>Cash</v>
      </c>
      <c r="O12" s="1376">
        <v>1</v>
      </c>
      <c r="P12" s="381">
        <f>K12*$B$5*O12</f>
        <v>0</v>
      </c>
      <c r="T12" s="1396" t="str">
        <f>H12</f>
        <v>Cash</v>
      </c>
      <c r="U12" s="1">
        <f>IF($M$4=2,K12*$B$5,0)</f>
        <v>0</v>
      </c>
    </row>
    <row r="13" spans="1:21" x14ac:dyDescent="0.25">
      <c r="B13" s="1">
        <f>B12+1</f>
        <v>2</v>
      </c>
      <c r="C13" s="1377">
        <v>1</v>
      </c>
      <c r="D13" s="1" t="s">
        <v>1068</v>
      </c>
      <c r="E13" s="13"/>
      <c r="G13" s="1375">
        <v>2</v>
      </c>
      <c r="H13" s="1" t="s">
        <v>169</v>
      </c>
      <c r="J13" s="13">
        <f>SUMIF($C$12:$C$40,G13,$E$12:$E$40)</f>
        <v>0</v>
      </c>
      <c r="K13" s="13">
        <f>J13</f>
        <v>0</v>
      </c>
      <c r="M13" s="1" t="str">
        <f>H13</f>
        <v>Accounts Receivable</v>
      </c>
      <c r="O13" s="1376">
        <v>1</v>
      </c>
      <c r="P13" s="13">
        <f>K13*$B$5*O13</f>
        <v>0</v>
      </c>
      <c r="T13" s="1396" t="str">
        <f>H13</f>
        <v>Accounts Receivable</v>
      </c>
      <c r="U13" s="1">
        <f>IF($M$4=2,K13*$B$5,0)</f>
        <v>0</v>
      </c>
    </row>
    <row r="14" spans="1:21" x14ac:dyDescent="0.25">
      <c r="B14" s="1">
        <f t="shared" ref="B14:B20" si="0">B13+1</f>
        <v>3</v>
      </c>
      <c r="C14" s="1377">
        <v>1</v>
      </c>
      <c r="D14" s="1" t="s">
        <v>1069</v>
      </c>
      <c r="E14" s="13"/>
      <c r="G14" s="1375">
        <v>3</v>
      </c>
      <c r="H14" s="1" t="s">
        <v>170</v>
      </c>
      <c r="J14" s="13">
        <f>SUMIF($C$12:$C$40,G14,$E$12:$E$40)</f>
        <v>0</v>
      </c>
      <c r="K14" s="13">
        <f>J14</f>
        <v>0</v>
      </c>
      <c r="M14" s="1" t="str">
        <f>H14</f>
        <v>Supplies Inventory</v>
      </c>
      <c r="O14" s="1376">
        <v>1</v>
      </c>
      <c r="P14" s="13">
        <f>K14*$B$5*O14</f>
        <v>0</v>
      </c>
      <c r="T14" s="1396" t="str">
        <f>H14</f>
        <v>Supplies Inventory</v>
      </c>
      <c r="U14" s="1">
        <f>IF($M$4=2,K14*$B$5,0)</f>
        <v>0</v>
      </c>
    </row>
    <row r="15" spans="1:21" x14ac:dyDescent="0.25">
      <c r="B15" s="1">
        <f t="shared" si="0"/>
        <v>4</v>
      </c>
      <c r="C15" s="1377">
        <v>2</v>
      </c>
      <c r="D15" s="1" t="s">
        <v>169</v>
      </c>
      <c r="E15" s="13">
        <f>'Historical Actuals'!N44/1000*'A1'!Q23/365*0</f>
        <v>0</v>
      </c>
      <c r="G15" s="1375">
        <v>4</v>
      </c>
      <c r="H15" s="1" t="s">
        <v>171</v>
      </c>
      <c r="J15" s="13">
        <f>SUMIF($C$12:$C$40,G15,$E$12:$E$40)</f>
        <v>23.874359999999999</v>
      </c>
      <c r="K15" s="13">
        <f>J15</f>
        <v>23.874359999999999</v>
      </c>
      <c r="M15" s="1" t="str">
        <f>H15</f>
        <v>Fixed Assets</v>
      </c>
      <c r="O15" s="1376">
        <v>0</v>
      </c>
      <c r="P15" s="13">
        <f>K15*$B$5*O15</f>
        <v>0</v>
      </c>
      <c r="T15" s="1396" t="str">
        <f>H15</f>
        <v>Fixed Assets</v>
      </c>
      <c r="U15" s="1">
        <f>IF($M$4=2,K15*$B$5,0)</f>
        <v>23.874359999999999</v>
      </c>
    </row>
    <row r="16" spans="1:21" x14ac:dyDescent="0.25">
      <c r="B16" s="1">
        <f t="shared" si="0"/>
        <v>5</v>
      </c>
      <c r="C16" s="1377">
        <v>3</v>
      </c>
      <c r="D16" s="1" t="s">
        <v>145</v>
      </c>
      <c r="E16" s="13">
        <f>'Historical Actuals'!N51/1000*'A1'!Q24/365*0</f>
        <v>0</v>
      </c>
      <c r="G16" s="1375">
        <v>5</v>
      </c>
      <c r="H16" s="1" t="s">
        <v>172</v>
      </c>
      <c r="J16" s="13">
        <f>SUMIF($C$12:$C$40,G16,$E$12:$E$40)</f>
        <v>0</v>
      </c>
      <c r="K16" s="13">
        <f>J16</f>
        <v>0</v>
      </c>
      <c r="M16" s="1" t="str">
        <f>H16</f>
        <v>Intangible Assets</v>
      </c>
      <c r="O16" s="1376">
        <v>1</v>
      </c>
      <c r="P16" s="13">
        <f>K16*$B$5*O16</f>
        <v>0</v>
      </c>
      <c r="T16" s="1396" t="str">
        <f>H16</f>
        <v>Intangible Assets</v>
      </c>
      <c r="U16" s="1">
        <f>IF($M$4=2,K16*$B$5,0)</f>
        <v>0</v>
      </c>
    </row>
    <row r="17" spans="2:21" ht="15.75" thickBot="1" x14ac:dyDescent="0.3">
      <c r="B17" s="1">
        <f t="shared" si="0"/>
        <v>6</v>
      </c>
      <c r="C17" s="1377">
        <v>3</v>
      </c>
      <c r="D17" s="1" t="s">
        <v>277</v>
      </c>
      <c r="E17" s="13"/>
      <c r="G17" s="687" t="s">
        <v>43</v>
      </c>
      <c r="H17" s="687"/>
      <c r="I17" s="689"/>
      <c r="J17" s="689">
        <f>SUM(J12:J16)</f>
        <v>23.874359999999999</v>
      </c>
      <c r="K17" s="689">
        <f>SUM(K12:K16)</f>
        <v>23.874359999999999</v>
      </c>
      <c r="M17" s="1" t="str">
        <f>H20</f>
        <v>Accounts Payable</v>
      </c>
      <c r="O17" s="1376">
        <v>1</v>
      </c>
      <c r="P17" s="714">
        <f>-K20*$B$5*O17</f>
        <v>0</v>
      </c>
      <c r="T17" s="1396"/>
      <c r="U17" s="1">
        <f>SUM(U12:U16)</f>
        <v>23.874359999999999</v>
      </c>
    </row>
    <row r="18" spans="2:21" ht="15.75" thickTop="1" x14ac:dyDescent="0.25">
      <c r="B18" s="1">
        <f t="shared" si="0"/>
        <v>7</v>
      </c>
      <c r="C18" s="1377">
        <v>4</v>
      </c>
      <c r="D18" s="1" t="s">
        <v>289</v>
      </c>
      <c r="E18" s="13">
        <f>'C10'!D17</f>
        <v>20.456319999999998</v>
      </c>
      <c r="J18" s="13"/>
      <c r="K18" s="13"/>
      <c r="M18" s="1" t="str">
        <f>H21</f>
        <v>Debt</v>
      </c>
      <c r="O18" s="1376">
        <v>1</v>
      </c>
      <c r="P18" s="850">
        <f>-K21*$B$5*O18</f>
        <v>0</v>
      </c>
      <c r="T18" s="1396"/>
    </row>
    <row r="19" spans="2:21" x14ac:dyDescent="0.25">
      <c r="B19" s="1">
        <f t="shared" si="0"/>
        <v>8</v>
      </c>
      <c r="C19" s="1377">
        <v>4</v>
      </c>
      <c r="D19" s="1" t="s">
        <v>1070</v>
      </c>
      <c r="E19" s="13">
        <f>'C10'!D11</f>
        <v>3.41804</v>
      </c>
      <c r="G19" s="1" t="s">
        <v>173</v>
      </c>
      <c r="J19" s="13"/>
      <c r="K19" s="13"/>
      <c r="P19" s="363"/>
      <c r="T19" s="1396"/>
    </row>
    <row r="20" spans="2:21" x14ac:dyDescent="0.25">
      <c r="B20" s="1">
        <f t="shared" si="0"/>
        <v>9</v>
      </c>
      <c r="C20" s="1377">
        <v>2</v>
      </c>
      <c r="D20" s="1" t="s">
        <v>65</v>
      </c>
      <c r="E20" s="13"/>
      <c r="G20" s="1375">
        <v>6</v>
      </c>
      <c r="H20" s="1" t="s">
        <v>174</v>
      </c>
      <c r="J20" s="13">
        <f>SUMIF($C$12:$C$40,G20,$E$12:$E$40)</f>
        <v>0</v>
      </c>
      <c r="K20" s="13">
        <f>SUMIF($C$12:$C$40,G20,$E$12:$E$40)</f>
        <v>0</v>
      </c>
      <c r="M20" s="843" t="s">
        <v>1078</v>
      </c>
      <c r="N20" s="843"/>
      <c r="O20" s="843"/>
      <c r="P20" s="1395">
        <f>SUM(P12:P18)</f>
        <v>0</v>
      </c>
      <c r="T20" s="1396" t="str">
        <f>H20</f>
        <v>Accounts Payable</v>
      </c>
      <c r="U20" s="1">
        <f>IF($M$4=2,K20*$B$5,0)</f>
        <v>0</v>
      </c>
    </row>
    <row r="21" spans="2:21" ht="17.25" x14ac:dyDescent="0.4">
      <c r="B21" s="1">
        <f>B20+1</f>
        <v>10</v>
      </c>
      <c r="C21" s="1377"/>
      <c r="D21" s="1" t="s">
        <v>65</v>
      </c>
      <c r="E21" s="714"/>
      <c r="G21" s="1375">
        <v>7</v>
      </c>
      <c r="H21" s="1" t="s">
        <v>221</v>
      </c>
      <c r="J21" s="1407">
        <f>SUMIF($C$12:$C$40,G21,$E$12:$E$40)</f>
        <v>0</v>
      </c>
      <c r="K21" s="558">
        <v>0</v>
      </c>
      <c r="T21" s="1396" t="str">
        <f>H21</f>
        <v>Debt</v>
      </c>
      <c r="U21" s="363">
        <f>IF($M$4=2,K21*$B$5,0)</f>
        <v>0</v>
      </c>
    </row>
    <row r="22" spans="2:21" ht="15.75" thickBot="1" x14ac:dyDescent="0.3">
      <c r="C22" s="687" t="s">
        <v>43</v>
      </c>
      <c r="D22" s="687"/>
      <c r="E22" s="689">
        <f>SUM(E12:E21)</f>
        <v>23.874359999999999</v>
      </c>
      <c r="G22" s="1375"/>
      <c r="I22" s="1" t="s">
        <v>13</v>
      </c>
      <c r="J22" s="13">
        <f>SUM(J20:J21)</f>
        <v>0</v>
      </c>
      <c r="K22" s="13">
        <f>SUM(K20:K21)</f>
        <v>0</v>
      </c>
      <c r="T22" s="1396"/>
      <c r="U22" s="1">
        <f>SUM(U20:U21)</f>
        <v>0</v>
      </c>
    </row>
    <row r="23" spans="2:21" ht="15.75" thickTop="1" x14ac:dyDescent="0.25">
      <c r="E23" s="13"/>
      <c r="G23" s="1375"/>
      <c r="J23" s="13"/>
      <c r="K23" s="13"/>
      <c r="T23" s="1396"/>
    </row>
    <row r="24" spans="2:21" x14ac:dyDescent="0.25">
      <c r="C24" s="1" t="s">
        <v>1071</v>
      </c>
      <c r="E24" s="13"/>
      <c r="G24" s="1375">
        <v>8</v>
      </c>
      <c r="H24" s="1" t="s">
        <v>176</v>
      </c>
      <c r="J24" s="13">
        <f>SUMIF($C$12:$C$40,G24,$E$12:$E$40)</f>
        <v>23.874359999999999</v>
      </c>
      <c r="K24" s="13">
        <f>SUMIF($C$12:$C$40,G24,$E$12:$E$40)</f>
        <v>23.874359999999999</v>
      </c>
      <c r="P24" s="13"/>
      <c r="T24" s="1396" t="str">
        <f>H24</f>
        <v>Equity</v>
      </c>
      <c r="U24" s="1">
        <f>IF($M$4=2,K24*$B$5,0)</f>
        <v>23.874359999999999</v>
      </c>
    </row>
    <row r="25" spans="2:21" x14ac:dyDescent="0.25">
      <c r="B25" s="1">
        <v>1</v>
      </c>
      <c r="C25" s="1377">
        <v>6</v>
      </c>
      <c r="D25" s="1" t="s">
        <v>174</v>
      </c>
      <c r="E25" s="13">
        <f>SUM('Historical Actuals'!N50:N51,'Historical Actuals'!N62:N66,'Historical Actuals'!N69)/1000*'A1'!Q25/365*0</f>
        <v>0</v>
      </c>
      <c r="J25" s="13"/>
      <c r="K25" s="13"/>
      <c r="T25" s="1396"/>
    </row>
    <row r="26" spans="2:21" ht="15.75" thickBot="1" x14ac:dyDescent="0.3">
      <c r="B26" s="1">
        <f>B25+1</f>
        <v>2</v>
      </c>
      <c r="C26" s="1377">
        <v>6</v>
      </c>
      <c r="D26" s="1" t="s">
        <v>1076</v>
      </c>
      <c r="E26" s="13"/>
      <c r="G26" s="687" t="s">
        <v>181</v>
      </c>
      <c r="H26" s="687"/>
      <c r="I26" s="689"/>
      <c r="J26" s="689">
        <f>J22+J24</f>
        <v>23.874359999999999</v>
      </c>
      <c r="K26" s="689">
        <f>K22+K24</f>
        <v>23.874359999999999</v>
      </c>
      <c r="M26" s="698" t="s">
        <v>1094</v>
      </c>
      <c r="N26" s="698"/>
      <c r="O26" s="698"/>
      <c r="P26" s="699">
        <f>IF(M4=1,P20,0)</f>
        <v>0</v>
      </c>
      <c r="T26" s="1396" t="str">
        <f>G26</f>
        <v>Total Liabilities &amp; Equity</v>
      </c>
      <c r="U26" s="1">
        <f>U22+U24</f>
        <v>23.874359999999999</v>
      </c>
    </row>
    <row r="27" spans="2:21" ht="15.75" thickTop="1" x14ac:dyDescent="0.25">
      <c r="B27" s="1">
        <f t="shared" ref="B27:B33" si="1">B26+1</f>
        <v>3</v>
      </c>
      <c r="C27" s="1377">
        <v>6</v>
      </c>
      <c r="D27" s="1" t="s">
        <v>1072</v>
      </c>
      <c r="E27" s="13"/>
      <c r="J27" s="13">
        <f>J17-J26</f>
        <v>0</v>
      </c>
      <c r="K27" s="13">
        <f>K17-K26</f>
        <v>0</v>
      </c>
      <c r="P27" s="13"/>
      <c r="T27" s="1396"/>
    </row>
    <row r="28" spans="2:21" x14ac:dyDescent="0.25">
      <c r="B28" s="1">
        <f t="shared" si="1"/>
        <v>4</v>
      </c>
      <c r="C28" s="1377">
        <v>7</v>
      </c>
      <c r="D28" s="1" t="s">
        <v>1073</v>
      </c>
      <c r="E28" s="13"/>
      <c r="K28" s="13"/>
      <c r="P28" s="13"/>
      <c r="T28" s="1396"/>
    </row>
    <row r="29" spans="2:21" x14ac:dyDescent="0.25">
      <c r="B29" s="1">
        <f t="shared" si="1"/>
        <v>5</v>
      </c>
      <c r="C29" s="1377">
        <v>7</v>
      </c>
      <c r="D29" s="1" t="s">
        <v>1074</v>
      </c>
      <c r="E29" s="13"/>
      <c r="K29" s="13"/>
      <c r="T29" s="1396"/>
    </row>
    <row r="30" spans="2:21" x14ac:dyDescent="0.25">
      <c r="B30" s="1">
        <f t="shared" si="1"/>
        <v>6</v>
      </c>
      <c r="C30" s="1377">
        <v>6</v>
      </c>
      <c r="D30" s="1" t="s">
        <v>1084</v>
      </c>
      <c r="E30" s="13"/>
      <c r="S30" s="638" t="s">
        <v>1113</v>
      </c>
      <c r="T30" s="1396"/>
      <c r="U30" s="381">
        <f>P26</f>
        <v>0</v>
      </c>
    </row>
    <row r="31" spans="2:21" x14ac:dyDescent="0.25">
      <c r="B31" s="1">
        <f t="shared" si="1"/>
        <v>7</v>
      </c>
      <c r="C31" s="1377">
        <v>7</v>
      </c>
      <c r="D31" s="1" t="s">
        <v>1119</v>
      </c>
      <c r="E31" s="13"/>
      <c r="S31" s="638" t="s">
        <v>1112</v>
      </c>
      <c r="T31" s="1396"/>
      <c r="U31" s="1">
        <f>U12</f>
        <v>0</v>
      </c>
    </row>
    <row r="32" spans="2:21" x14ac:dyDescent="0.25">
      <c r="B32" s="1">
        <f t="shared" si="1"/>
        <v>8</v>
      </c>
      <c r="C32" s="1377">
        <v>6</v>
      </c>
      <c r="D32" s="1" t="s">
        <v>1120</v>
      </c>
      <c r="E32" s="13"/>
      <c r="S32" s="313" t="s">
        <v>1111</v>
      </c>
      <c r="T32" s="1405"/>
      <c r="U32" s="1165">
        <f>CHOOSE($M$4,U30,U31)</f>
        <v>0</v>
      </c>
    </row>
    <row r="33" spans="2:20" x14ac:dyDescent="0.25">
      <c r="B33" s="1">
        <f t="shared" si="1"/>
        <v>9</v>
      </c>
      <c r="C33" s="1377">
        <v>1</v>
      </c>
      <c r="D33" s="1" t="s">
        <v>65</v>
      </c>
      <c r="E33" s="13"/>
      <c r="T33" s="1396"/>
    </row>
    <row r="34" spans="2:20" ht="17.25" x14ac:dyDescent="0.4">
      <c r="B34" s="1">
        <f>B33+1</f>
        <v>10</v>
      </c>
      <c r="C34" s="1377">
        <v>1</v>
      </c>
      <c r="D34" s="1" t="s">
        <v>65</v>
      </c>
      <c r="E34" s="558"/>
    </row>
    <row r="35" spans="2:20" x14ac:dyDescent="0.25">
      <c r="E35" s="381">
        <f>SUM(E25:E34)</f>
        <v>0</v>
      </c>
    </row>
    <row r="37" spans="2:20" x14ac:dyDescent="0.25">
      <c r="C37" s="1" t="s">
        <v>1075</v>
      </c>
    </row>
    <row r="38" spans="2:20" x14ac:dyDescent="0.25">
      <c r="B38" s="1">
        <v>1</v>
      </c>
      <c r="C38" s="1377">
        <v>8</v>
      </c>
      <c r="D38" s="1" t="s">
        <v>1121</v>
      </c>
      <c r="E38" s="13">
        <f>+'C10'!D11+'C10'!D17+E15+E16-E25</f>
        <v>23.874359999999999</v>
      </c>
    </row>
    <row r="39" spans="2:20" x14ac:dyDescent="0.25">
      <c r="B39" s="1">
        <f>B38+1</f>
        <v>2</v>
      </c>
      <c r="C39" s="1377">
        <v>8</v>
      </c>
      <c r="D39" s="1" t="s">
        <v>1122</v>
      </c>
      <c r="E39" s="13">
        <v>0</v>
      </c>
    </row>
    <row r="40" spans="2:20" ht="17.25" x14ac:dyDescent="0.4">
      <c r="B40" s="1">
        <f>B39+1</f>
        <v>3</v>
      </c>
      <c r="C40" s="1377">
        <v>8</v>
      </c>
      <c r="D40" s="1" t="s">
        <v>273</v>
      </c>
      <c r="E40" s="558">
        <v>0</v>
      </c>
    </row>
    <row r="41" spans="2:20" x14ac:dyDescent="0.25">
      <c r="E41" s="13">
        <f>SUM(E38:E40)</f>
        <v>23.874359999999999</v>
      </c>
    </row>
    <row r="43" spans="2:20" ht="15.75" thickBot="1" x14ac:dyDescent="0.3">
      <c r="C43" s="687" t="s">
        <v>573</v>
      </c>
      <c r="D43" s="687"/>
      <c r="E43" s="689">
        <f>E35+E41</f>
        <v>23.874359999999999</v>
      </c>
    </row>
    <row r="44" spans="2:20" ht="15.75" thickTop="1" x14ac:dyDescent="0.25"/>
    <row r="45" spans="2:20" x14ac:dyDescent="0.25">
      <c r="E45" s="381">
        <f>E22-E43</f>
        <v>0</v>
      </c>
    </row>
  </sheetData>
  <conditionalFormatting sqref="P12:P21">
    <cfRule type="expression" dxfId="103" priority="1">
      <formula>$M$4=2</formula>
    </cfRule>
  </conditionalFormatting>
  <printOptions horizontalCentered="1"/>
  <pageMargins left="0.7" right="0.7" top="0.75" bottom="0.75" header="0.3" footer="0.3"/>
  <pageSetup scale="76" orientation="landscape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8849" r:id="rId4" name="Option Button 1">
              <controlPr defaultSize="0" autoFill="0" autoLine="0" autoPict="0">
                <anchor moveWithCells="1">
                  <from>
                    <xdr:col>12</xdr:col>
                    <xdr:colOff>47625</xdr:colOff>
                    <xdr:row>1</xdr:row>
                    <xdr:rowOff>180975</xdr:rowOff>
                  </from>
                  <to>
                    <xdr:col>15</xdr:col>
                    <xdr:colOff>85725</xdr:colOff>
                    <xdr:row>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850" r:id="rId5" name="Option Button 2">
              <controlPr defaultSize="0" autoFill="0" autoLine="0" autoPict="0">
                <anchor moveWithCells="1">
                  <from>
                    <xdr:col>12</xdr:col>
                    <xdr:colOff>66675</xdr:colOff>
                    <xdr:row>2</xdr:row>
                    <xdr:rowOff>152400</xdr:rowOff>
                  </from>
                  <to>
                    <xdr:col>15</xdr:col>
                    <xdr:colOff>371475</xdr:colOff>
                    <xdr:row>3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rgb="FFFFFF00"/>
  </sheetPr>
  <dimension ref="A1:T20"/>
  <sheetViews>
    <sheetView workbookViewId="0"/>
  </sheetViews>
  <sheetFormatPr defaultColWidth="9.42578125" defaultRowHeight="15" x14ac:dyDescent="0.25"/>
  <cols>
    <col min="1" max="1" width="1.42578125" style="1" customWidth="1"/>
    <col min="2" max="2" width="3.42578125" style="1" customWidth="1"/>
    <col min="3" max="16384" width="9.42578125" style="1"/>
  </cols>
  <sheetData>
    <row r="1" spans="1:20" ht="7.35" customHeight="1" thickBot="1" x14ac:dyDescent="0.3">
      <c r="B1" s="85"/>
      <c r="C1" s="85"/>
      <c r="D1" s="86"/>
      <c r="E1" s="85"/>
      <c r="F1" s="85"/>
      <c r="G1" s="85"/>
      <c r="H1" s="383"/>
      <c r="I1" s="85"/>
      <c r="J1" s="85"/>
      <c r="K1" s="85"/>
      <c r="L1" s="85"/>
      <c r="M1" s="85"/>
      <c r="N1" s="85"/>
      <c r="O1" s="85"/>
      <c r="P1" s="85"/>
      <c r="Q1" s="85"/>
      <c r="R1" s="85"/>
      <c r="S1" s="85"/>
      <c r="T1" s="85"/>
    </row>
    <row r="2" spans="1:20" ht="16.5" thickTop="1" x14ac:dyDescent="0.25">
      <c r="B2" s="110" t="str">
        <f>MainOutline!B2</f>
        <v>WB Santa Cruz</v>
      </c>
      <c r="C2" s="110"/>
      <c r="D2" s="111"/>
      <c r="E2" s="111"/>
      <c r="F2" s="111"/>
      <c r="G2" s="508" t="str">
        <f>'A1'!$C$90</f>
        <v>Acquisition of an existing facility</v>
      </c>
      <c r="H2" s="385"/>
      <c r="I2" s="111"/>
      <c r="J2" s="111"/>
      <c r="K2" s="111"/>
      <c r="L2" s="111"/>
      <c r="M2" s="111"/>
      <c r="N2" s="111"/>
      <c r="O2" s="111"/>
      <c r="P2" s="111"/>
      <c r="Q2" s="111"/>
      <c r="R2" s="111"/>
      <c r="S2" s="111"/>
      <c r="T2" s="1409">
        <f>$A3</f>
        <v>6</v>
      </c>
    </row>
    <row r="3" spans="1:20" ht="15.75" x14ac:dyDescent="0.25">
      <c r="A3" s="123">
        <f>MainOutline!B13</f>
        <v>6</v>
      </c>
      <c r="B3" s="102" t="str">
        <f>MainOutline!C13</f>
        <v>Exhibit A6</v>
      </c>
      <c r="C3" s="102"/>
      <c r="D3" s="89"/>
      <c r="E3" s="89"/>
      <c r="F3" s="89"/>
      <c r="G3" s="89"/>
      <c r="H3" s="386"/>
      <c r="I3" s="89"/>
      <c r="J3" s="89"/>
      <c r="K3" s="89"/>
      <c r="L3" s="89"/>
      <c r="M3" s="89"/>
      <c r="N3" s="89"/>
      <c r="O3" s="89"/>
      <c r="P3" s="89"/>
      <c r="Q3" s="89"/>
      <c r="R3" s="89"/>
      <c r="S3" s="89"/>
      <c r="T3" s="89"/>
    </row>
    <row r="4" spans="1:20" ht="16.5" thickBot="1" x14ac:dyDescent="0.3">
      <c r="B4" s="104" t="s">
        <v>1024</v>
      </c>
      <c r="C4" s="104"/>
      <c r="D4" s="97"/>
      <c r="E4" s="97"/>
      <c r="F4" s="97"/>
      <c r="G4" s="97"/>
      <c r="H4" s="387"/>
      <c r="I4" s="97"/>
      <c r="J4" s="97"/>
      <c r="K4" s="97"/>
      <c r="L4" s="97"/>
      <c r="M4" s="97"/>
      <c r="N4" s="97"/>
      <c r="O4" s="97"/>
      <c r="P4" s="97"/>
      <c r="Q4" s="97"/>
      <c r="R4" s="97"/>
      <c r="S4" s="97"/>
      <c r="T4" s="388"/>
    </row>
    <row r="5" spans="1:20" ht="15.75" thickTop="1" x14ac:dyDescent="0.25">
      <c r="H5" s="83"/>
    </row>
    <row r="19" spans="2:20" ht="15.75" thickBot="1" x14ac:dyDescent="0.3">
      <c r="B19" s="257"/>
      <c r="C19" s="257"/>
      <c r="D19" s="257"/>
      <c r="E19" s="257"/>
      <c r="F19" s="257"/>
      <c r="G19" s="257"/>
      <c r="H19" s="257"/>
      <c r="I19" s="257"/>
      <c r="J19" s="257"/>
      <c r="K19" s="257"/>
      <c r="L19" s="257"/>
      <c r="M19" s="257"/>
      <c r="N19" s="257"/>
      <c r="O19" s="257"/>
      <c r="P19" s="257"/>
      <c r="Q19" s="257"/>
      <c r="R19" s="257"/>
      <c r="S19" s="257"/>
      <c r="T19" s="257"/>
    </row>
    <row r="20" spans="2:20" x14ac:dyDescent="0.25">
      <c r="B20" s="106" t="s">
        <v>82</v>
      </c>
    </row>
  </sheetData>
  <pageMargins left="0.7" right="0.7" top="0.75" bottom="0.75" header="0.3" footer="0.3"/>
  <ignoredErrors>
    <ignoredError sqref="A2:T3 A4 C4:T4" unlockedFormula="1"/>
  </ignoredError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theme="3" tint="0.59999389629810485"/>
    <pageSetUpPr fitToPage="1"/>
  </sheetPr>
  <dimension ref="A1:AM57"/>
  <sheetViews>
    <sheetView showGridLines="0" view="pageBreakPreview" zoomScale="90" zoomScaleNormal="132" zoomScaleSheetLayoutView="90" workbookViewId="0">
      <pane xSplit="6" ySplit="7" topLeftCell="G8" activePane="bottomRight" state="frozenSplit"/>
      <selection activeCell="AI19" sqref="AI19"/>
      <selection pane="topRight" activeCell="AI19" sqref="AI19"/>
      <selection pane="bottomLeft" activeCell="AI19" sqref="AI19"/>
      <selection pane="bottomRight" activeCell="G8" sqref="G8"/>
    </sheetView>
  </sheetViews>
  <sheetFormatPr defaultColWidth="9.42578125" defaultRowHeight="15" x14ac:dyDescent="0.25"/>
  <cols>
    <col min="1" max="1" width="1" style="1" customWidth="1"/>
    <col min="2" max="2" width="3" style="1" customWidth="1"/>
    <col min="3" max="3" width="3.42578125" style="1" customWidth="1"/>
    <col min="4" max="5" width="3" style="1" customWidth="1"/>
    <col min="6" max="6" width="11.5703125" style="1" customWidth="1"/>
    <col min="7" max="8" width="2.5703125" style="1" customWidth="1"/>
    <col min="9" max="20" width="8.42578125" style="1" customWidth="1"/>
    <col min="21" max="21" width="2.42578125" style="1" customWidth="1"/>
    <col min="22" max="29" width="8.42578125" style="1" customWidth="1"/>
    <col min="30" max="30" width="2.42578125" style="1" customWidth="1"/>
    <col min="31" max="34" width="9.42578125" style="1"/>
    <col min="35" max="35" width="9.42578125" style="1" bestFit="1" customWidth="1"/>
    <col min="36" max="16384" width="9.42578125" style="1"/>
  </cols>
  <sheetData>
    <row r="1" spans="1:35" ht="6" customHeight="1" thickBot="1" x14ac:dyDescent="0.3">
      <c r="B1" s="85"/>
      <c r="C1" s="86"/>
      <c r="D1" s="85"/>
      <c r="E1" s="85"/>
      <c r="F1" s="85"/>
      <c r="G1" s="85"/>
      <c r="H1" s="85"/>
      <c r="I1" s="85"/>
      <c r="J1" s="85"/>
      <c r="K1" s="85"/>
      <c r="L1" s="85"/>
      <c r="M1" s="85"/>
      <c r="N1" s="85"/>
      <c r="O1" s="85"/>
      <c r="P1" s="85"/>
      <c r="Q1" s="85"/>
      <c r="R1" s="85"/>
      <c r="S1" s="85"/>
      <c r="T1" s="85"/>
      <c r="U1" s="85"/>
      <c r="V1" s="85"/>
      <c r="W1" s="85"/>
      <c r="X1" s="85"/>
      <c r="Y1" s="85"/>
      <c r="Z1" s="85"/>
      <c r="AA1" s="85"/>
      <c r="AB1" s="85"/>
      <c r="AC1" s="85"/>
      <c r="AD1" s="85"/>
      <c r="AE1" s="85"/>
      <c r="AF1" s="85"/>
      <c r="AG1" s="85"/>
      <c r="AH1" s="85"/>
      <c r="AI1" s="85"/>
    </row>
    <row r="2" spans="1:35" ht="16.5" thickTop="1" x14ac:dyDescent="0.25">
      <c r="B2" s="110" t="str">
        <f>MainOutline!B2</f>
        <v>WB Santa Cruz</v>
      </c>
      <c r="C2" s="111"/>
      <c r="D2" s="111"/>
      <c r="E2" s="111"/>
      <c r="F2" s="111"/>
      <c r="G2" s="111"/>
      <c r="H2" s="111"/>
      <c r="I2" s="111"/>
      <c r="J2" s="111"/>
      <c r="K2" s="111"/>
      <c r="L2" s="508" t="str">
        <f>'A1'!$C$90</f>
        <v>Acquisition of an existing facility</v>
      </c>
      <c r="M2" s="111"/>
      <c r="N2" s="111"/>
      <c r="O2" s="111"/>
      <c r="P2" s="111"/>
      <c r="Q2" s="111"/>
      <c r="R2" s="111"/>
      <c r="S2" s="111"/>
      <c r="T2" s="111"/>
      <c r="U2" s="111"/>
      <c r="V2" s="111"/>
      <c r="W2" s="111"/>
      <c r="X2" s="111"/>
      <c r="Y2" s="111"/>
      <c r="Z2" s="111"/>
      <c r="AA2" s="111"/>
      <c r="AB2" s="111"/>
      <c r="AC2" s="111"/>
      <c r="AD2" s="111"/>
      <c r="AE2" s="111"/>
      <c r="AF2" s="111"/>
      <c r="AG2" s="111"/>
      <c r="AH2" s="111"/>
      <c r="AI2" s="1409">
        <f>$A3</f>
        <v>7</v>
      </c>
    </row>
    <row r="3" spans="1:35" ht="15.75" x14ac:dyDescent="0.25">
      <c r="A3" s="123">
        <f>MainOutline!B16</f>
        <v>7</v>
      </c>
      <c r="B3" s="102" t="str">
        <f>MainOutline!C16</f>
        <v>Exhibit B1</v>
      </c>
      <c r="C3" s="89"/>
      <c r="D3" s="89"/>
      <c r="E3" s="89"/>
      <c r="F3" s="89"/>
      <c r="G3" s="89"/>
      <c r="H3" s="89"/>
      <c r="I3" s="89"/>
      <c r="J3" s="89"/>
      <c r="K3" s="89"/>
      <c r="L3" s="89"/>
      <c r="M3" s="89"/>
      <c r="N3" s="89"/>
      <c r="O3" s="89"/>
      <c r="P3" s="89"/>
      <c r="Q3" s="89"/>
      <c r="R3" s="89"/>
      <c r="S3" s="89"/>
      <c r="T3" s="89"/>
      <c r="U3" s="89"/>
      <c r="V3" s="89"/>
      <c r="W3" s="89"/>
      <c r="X3" s="89"/>
      <c r="Y3" s="89"/>
      <c r="Z3" s="89"/>
      <c r="AA3" s="89"/>
      <c r="AB3" s="89"/>
      <c r="AC3" s="89"/>
      <c r="AD3" s="89"/>
      <c r="AE3" s="89"/>
      <c r="AF3" s="89"/>
      <c r="AG3" s="89"/>
      <c r="AH3" s="89"/>
      <c r="AI3" s="89"/>
    </row>
    <row r="4" spans="1:35" ht="16.5" thickBot="1" x14ac:dyDescent="0.3">
      <c r="B4" s="104" t="s">
        <v>380</v>
      </c>
      <c r="C4" s="97"/>
      <c r="D4" s="97"/>
      <c r="E4" s="97"/>
      <c r="F4" s="97"/>
      <c r="G4" s="97"/>
      <c r="H4" s="97"/>
      <c r="I4" s="97"/>
      <c r="J4" s="97"/>
      <c r="K4" s="97"/>
      <c r="L4" s="97"/>
      <c r="M4" s="97"/>
      <c r="N4" s="97"/>
      <c r="O4" s="97"/>
      <c r="P4" s="97"/>
      <c r="Q4" s="97"/>
      <c r="R4" s="97"/>
      <c r="S4" s="97"/>
      <c r="T4" s="388"/>
      <c r="U4" s="97"/>
      <c r="V4" s="97"/>
      <c r="W4" s="97"/>
      <c r="X4" s="97"/>
      <c r="Y4" s="97"/>
      <c r="Z4" s="97"/>
      <c r="AA4" s="97"/>
      <c r="AB4" s="97"/>
      <c r="AC4" s="97"/>
      <c r="AD4" s="97"/>
      <c r="AE4" s="97"/>
      <c r="AF4" s="97"/>
      <c r="AG4" s="97"/>
      <c r="AH4" s="97"/>
      <c r="AI4" s="388"/>
    </row>
    <row r="5" spans="1:35" ht="15.75" thickTop="1" x14ac:dyDescent="0.25"/>
    <row r="7" spans="1:35" s="511" customFormat="1" x14ac:dyDescent="0.25">
      <c r="I7" s="512">
        <v>1</v>
      </c>
      <c r="J7" s="512">
        <f>I7+1</f>
        <v>2</v>
      </c>
      <c r="K7" s="512">
        <f t="shared" ref="K7:T7" si="0">J7+1</f>
        <v>3</v>
      </c>
      <c r="L7" s="512">
        <f t="shared" si="0"/>
        <v>4</v>
      </c>
      <c r="M7" s="512">
        <f t="shared" si="0"/>
        <v>5</v>
      </c>
      <c r="N7" s="512">
        <f t="shared" si="0"/>
        <v>6</v>
      </c>
      <c r="O7" s="512">
        <f t="shared" si="0"/>
        <v>7</v>
      </c>
      <c r="P7" s="512">
        <f t="shared" si="0"/>
        <v>8</v>
      </c>
      <c r="Q7" s="512">
        <f t="shared" si="0"/>
        <v>9</v>
      </c>
      <c r="R7" s="512">
        <f t="shared" si="0"/>
        <v>10</v>
      </c>
      <c r="S7" s="512">
        <f t="shared" si="0"/>
        <v>11</v>
      </c>
      <c r="T7" s="551">
        <f t="shared" si="0"/>
        <v>12</v>
      </c>
      <c r="U7" s="552"/>
      <c r="V7" s="552" t="s">
        <v>20</v>
      </c>
      <c r="W7" s="552" t="s">
        <v>21</v>
      </c>
      <c r="X7" s="552" t="s">
        <v>22</v>
      </c>
      <c r="Y7" s="552" t="s">
        <v>23</v>
      </c>
      <c r="Z7" s="552" t="s">
        <v>24</v>
      </c>
      <c r="AA7" s="552" t="s">
        <v>25</v>
      </c>
      <c r="AB7" s="552" t="s">
        <v>26</v>
      </c>
      <c r="AC7" s="553" t="s">
        <v>27</v>
      </c>
      <c r="AD7" s="390"/>
      <c r="AE7" s="554">
        <v>1</v>
      </c>
      <c r="AF7" s="554">
        <v>2</v>
      </c>
      <c r="AG7" s="554">
        <v>3</v>
      </c>
      <c r="AH7" s="554">
        <v>4</v>
      </c>
      <c r="AI7" s="555">
        <v>5</v>
      </c>
    </row>
    <row r="8" spans="1:35" x14ac:dyDescent="0.25">
      <c r="T8" s="188"/>
      <c r="AC8" s="188"/>
    </row>
    <row r="9" spans="1:35" x14ac:dyDescent="0.25">
      <c r="B9" s="556" t="s">
        <v>385</v>
      </c>
      <c r="T9" s="188"/>
      <c r="AC9" s="188"/>
    </row>
    <row r="10" spans="1:35" x14ac:dyDescent="0.25">
      <c r="C10" s="82" t="str">
        <f>'A1'!E8</f>
        <v>Hemo Dialysis</v>
      </c>
      <c r="T10" s="188"/>
      <c r="U10" s="381"/>
      <c r="V10" s="381"/>
      <c r="W10" s="381"/>
      <c r="X10" s="381"/>
      <c r="Y10" s="381"/>
      <c r="Z10" s="13"/>
      <c r="AA10" s="13"/>
      <c r="AB10" s="13"/>
      <c r="AC10" s="14"/>
      <c r="AD10" s="381"/>
      <c r="AE10" s="381"/>
      <c r="AF10" s="381"/>
      <c r="AG10" s="13"/>
      <c r="AH10" s="13"/>
      <c r="AI10" s="13"/>
    </row>
    <row r="11" spans="1:35" x14ac:dyDescent="0.25">
      <c r="C11" s="82"/>
      <c r="D11" s="82" t="str">
        <f>'C1'!D10</f>
        <v>In Center</v>
      </c>
      <c r="I11" s="13">
        <f>'A3'!$H33*'A3'!I33</f>
        <v>0</v>
      </c>
      <c r="J11" s="13">
        <f>'A3'!$H33*'A3'!J33</f>
        <v>0</v>
      </c>
      <c r="K11" s="13">
        <f>'A3'!$H33*'A3'!K33</f>
        <v>0</v>
      </c>
      <c r="L11" s="13">
        <f>'A3'!$H33*'A3'!L33</f>
        <v>0</v>
      </c>
      <c r="M11" s="13">
        <f>'A3'!$H33*'A3'!M33</f>
        <v>0</v>
      </c>
      <c r="N11" s="13">
        <f>'A3'!$H33*'A3'!N33</f>
        <v>0</v>
      </c>
      <c r="O11" s="13">
        <f>'A3'!$H33*'A3'!O33</f>
        <v>0</v>
      </c>
      <c r="P11" s="13">
        <f>'A3'!$H33*'A3'!P33</f>
        <v>0</v>
      </c>
      <c r="Q11" s="13">
        <f>'A3'!$H33*'A3'!Q33</f>
        <v>0</v>
      </c>
      <c r="R11" s="13">
        <f>'A3'!$H33*'A3'!R33</f>
        <v>0</v>
      </c>
      <c r="S11" s="13">
        <f>'A3'!$H33*'A3'!S33</f>
        <v>0</v>
      </c>
      <c r="T11" s="14">
        <f>'A3'!$H33*'A3'!T33</f>
        <v>0</v>
      </c>
      <c r="U11" s="381"/>
      <c r="V11" s="381">
        <f>K11</f>
        <v>0</v>
      </c>
      <c r="W11" s="381">
        <f>N11</f>
        <v>0</v>
      </c>
      <c r="X11" s="381">
        <f>Q11</f>
        <v>0</v>
      </c>
      <c r="Y11" s="381">
        <f>T11</f>
        <v>0</v>
      </c>
      <c r="Z11" s="381">
        <f t="shared" ref="Z11:AB12" si="1">Y11+($AF11-$AE11)/4</f>
        <v>0</v>
      </c>
      <c r="AA11" s="381">
        <f t="shared" si="1"/>
        <v>0</v>
      </c>
      <c r="AB11" s="381">
        <f t="shared" si="1"/>
        <v>0</v>
      </c>
      <c r="AC11" s="557">
        <f>AF11</f>
        <v>0</v>
      </c>
      <c r="AD11" s="381"/>
      <c r="AE11" s="381">
        <f>'C1'!AA10</f>
        <v>0</v>
      </c>
      <c r="AF11" s="381">
        <f>'C1'!AB10</f>
        <v>0</v>
      </c>
      <c r="AG11" s="381">
        <f>'C1'!AC10</f>
        <v>0</v>
      </c>
      <c r="AH11" s="381">
        <f>'C1'!AD10</f>
        <v>0</v>
      </c>
      <c r="AI11" s="381">
        <f>'C1'!AE10</f>
        <v>0</v>
      </c>
    </row>
    <row r="12" spans="1:35" ht="17.25" x14ac:dyDescent="0.4">
      <c r="C12" s="82"/>
      <c r="D12" s="82" t="str">
        <f>'C1'!D11</f>
        <v>Nocturnal</v>
      </c>
      <c r="I12" s="558">
        <f>'A3'!$H34*'A3'!I34</f>
        <v>0</v>
      </c>
      <c r="J12" s="558">
        <f>'A3'!$H34*'A3'!J34</f>
        <v>0</v>
      </c>
      <c r="K12" s="558">
        <f>'A3'!$H34*'A3'!K34</f>
        <v>0</v>
      </c>
      <c r="L12" s="558">
        <f>'A3'!$H34*'A3'!L34</f>
        <v>0</v>
      </c>
      <c r="M12" s="558">
        <f>'A3'!$H34*'A3'!M34</f>
        <v>0</v>
      </c>
      <c r="N12" s="558">
        <f>'A3'!$H34*'A3'!N34</f>
        <v>0</v>
      </c>
      <c r="O12" s="558">
        <f>'A3'!$H34*'A3'!O34</f>
        <v>0</v>
      </c>
      <c r="P12" s="558">
        <f>'A3'!$H34*'A3'!P34</f>
        <v>0</v>
      </c>
      <c r="Q12" s="558">
        <f>'A3'!$H34*'A3'!Q34</f>
        <v>0</v>
      </c>
      <c r="R12" s="558">
        <f>'A3'!$H34*'A3'!R34</f>
        <v>0</v>
      </c>
      <c r="S12" s="558">
        <f>'A3'!$H34*'A3'!S34</f>
        <v>0</v>
      </c>
      <c r="T12" s="559">
        <f>'A3'!$H34*'A3'!T34</f>
        <v>0</v>
      </c>
      <c r="U12" s="381"/>
      <c r="V12" s="560">
        <f>K12</f>
        <v>0</v>
      </c>
      <c r="W12" s="560">
        <f>N12</f>
        <v>0</v>
      </c>
      <c r="X12" s="560">
        <f>Q12</f>
        <v>0</v>
      </c>
      <c r="Y12" s="560">
        <f>T12</f>
        <v>0</v>
      </c>
      <c r="Z12" s="560">
        <f t="shared" si="1"/>
        <v>0</v>
      </c>
      <c r="AA12" s="560">
        <f t="shared" si="1"/>
        <v>0</v>
      </c>
      <c r="AB12" s="560">
        <f t="shared" si="1"/>
        <v>0</v>
      </c>
      <c r="AC12" s="561">
        <f>AF12</f>
        <v>0</v>
      </c>
      <c r="AD12" s="381"/>
      <c r="AE12" s="560">
        <f>'C1'!AA11</f>
        <v>0</v>
      </c>
      <c r="AF12" s="560">
        <f>'C1'!AB11</f>
        <v>0</v>
      </c>
      <c r="AG12" s="560">
        <f>'C1'!AC11</f>
        <v>0</v>
      </c>
      <c r="AH12" s="560">
        <f>'C1'!AD11</f>
        <v>0</v>
      </c>
      <c r="AI12" s="560">
        <f>'C1'!AE11</f>
        <v>0</v>
      </c>
    </row>
    <row r="13" spans="1:35" x14ac:dyDescent="0.25">
      <c r="C13" s="82"/>
      <c r="E13" s="1" t="s">
        <v>13</v>
      </c>
      <c r="I13" s="13">
        <f>I11+I12</f>
        <v>0</v>
      </c>
      <c r="J13" s="13">
        <f t="shared" ref="J13:AC13" si="2">J11+J12</f>
        <v>0</v>
      </c>
      <c r="K13" s="13">
        <f t="shared" si="2"/>
        <v>0</v>
      </c>
      <c r="L13" s="13">
        <f t="shared" si="2"/>
        <v>0</v>
      </c>
      <c r="M13" s="13">
        <f t="shared" si="2"/>
        <v>0</v>
      </c>
      <c r="N13" s="13">
        <f t="shared" si="2"/>
        <v>0</v>
      </c>
      <c r="O13" s="13">
        <f t="shared" si="2"/>
        <v>0</v>
      </c>
      <c r="P13" s="13">
        <f t="shared" si="2"/>
        <v>0</v>
      </c>
      <c r="Q13" s="13">
        <f t="shared" si="2"/>
        <v>0</v>
      </c>
      <c r="R13" s="13">
        <f t="shared" si="2"/>
        <v>0</v>
      </c>
      <c r="S13" s="13">
        <f t="shared" si="2"/>
        <v>0</v>
      </c>
      <c r="T13" s="14">
        <f t="shared" si="2"/>
        <v>0</v>
      </c>
      <c r="U13" s="13">
        <f t="shared" si="2"/>
        <v>0</v>
      </c>
      <c r="V13" s="13">
        <f t="shared" si="2"/>
        <v>0</v>
      </c>
      <c r="W13" s="13">
        <f t="shared" si="2"/>
        <v>0</v>
      </c>
      <c r="X13" s="13">
        <f t="shared" si="2"/>
        <v>0</v>
      </c>
      <c r="Y13" s="13">
        <f t="shared" si="2"/>
        <v>0</v>
      </c>
      <c r="Z13" s="13">
        <f t="shared" si="2"/>
        <v>0</v>
      </c>
      <c r="AA13" s="13">
        <f t="shared" si="2"/>
        <v>0</v>
      </c>
      <c r="AB13" s="13">
        <f t="shared" si="2"/>
        <v>0</v>
      </c>
      <c r="AC13" s="14">
        <f t="shared" si="2"/>
        <v>0</v>
      </c>
      <c r="AD13" s="381"/>
      <c r="AE13" s="13">
        <f>AE11+AE12</f>
        <v>0</v>
      </c>
      <c r="AF13" s="13">
        <f>AF11+AF12</f>
        <v>0</v>
      </c>
      <c r="AG13" s="13">
        <f>AG11+AG12</f>
        <v>0</v>
      </c>
      <c r="AH13" s="13">
        <f>AH11+AH12</f>
        <v>0</v>
      </c>
      <c r="AI13" s="13">
        <f>AI11+AI12</f>
        <v>0</v>
      </c>
    </row>
    <row r="14" spans="1:35" x14ac:dyDescent="0.25">
      <c r="C14" s="82"/>
      <c r="I14" s="13"/>
      <c r="J14" s="13"/>
      <c r="K14" s="13"/>
      <c r="L14" s="13"/>
      <c r="M14" s="13"/>
      <c r="N14" s="13"/>
      <c r="O14" s="13"/>
      <c r="P14" s="13"/>
      <c r="Q14" s="13"/>
      <c r="R14" s="13"/>
      <c r="S14" s="13"/>
      <c r="T14" s="14"/>
      <c r="U14" s="381"/>
      <c r="V14" s="381"/>
      <c r="W14" s="381"/>
      <c r="X14" s="13"/>
      <c r="Y14" s="13"/>
      <c r="Z14" s="13"/>
      <c r="AA14" s="13"/>
      <c r="AB14" s="13"/>
      <c r="AC14" s="14"/>
      <c r="AD14" s="381"/>
      <c r="AE14" s="13"/>
      <c r="AF14" s="381"/>
      <c r="AG14" s="13"/>
      <c r="AH14" s="13"/>
      <c r="AI14" s="13"/>
    </row>
    <row r="15" spans="1:35" x14ac:dyDescent="0.25">
      <c r="C15" s="82" t="str">
        <f>'A1'!G8</f>
        <v>Home Dialysis</v>
      </c>
      <c r="I15" s="13"/>
      <c r="J15" s="13"/>
      <c r="K15" s="13"/>
      <c r="L15" s="13"/>
      <c r="M15" s="13"/>
      <c r="N15" s="13"/>
      <c r="O15" s="13"/>
      <c r="P15" s="13"/>
      <c r="Q15" s="13"/>
      <c r="R15" s="13"/>
      <c r="S15" s="13"/>
      <c r="T15" s="14"/>
      <c r="U15" s="381"/>
      <c r="V15" s="381"/>
      <c r="W15" s="381"/>
      <c r="X15" s="13"/>
      <c r="Y15" s="13"/>
      <c r="Z15" s="13"/>
      <c r="AA15" s="13"/>
      <c r="AB15" s="13"/>
      <c r="AC15" s="14"/>
      <c r="AD15" s="381"/>
      <c r="AE15" s="13"/>
      <c r="AF15" s="381"/>
      <c r="AG15" s="13"/>
      <c r="AH15" s="13"/>
      <c r="AI15" s="13"/>
    </row>
    <row r="16" spans="1:35" x14ac:dyDescent="0.25">
      <c r="C16" s="82"/>
      <c r="D16" s="82" t="str">
        <f>'C3'!D10</f>
        <v>Peritoneal</v>
      </c>
      <c r="I16" s="13">
        <f>'C3'!I10</f>
        <v>52.170234468674344</v>
      </c>
      <c r="J16" s="13">
        <f>'C3'!J10</f>
        <v>52.255630354687717</v>
      </c>
      <c r="K16" s="13">
        <f>'C3'!K10</f>
        <v>52.426701690623744</v>
      </c>
      <c r="L16" s="13">
        <f>'C3'!L10</f>
        <v>52.598333069597814</v>
      </c>
      <c r="M16" s="13">
        <f>'C3'!M10</f>
        <v>52.770526325045097</v>
      </c>
      <c r="N16" s="13">
        <f>'C3'!N10</f>
        <v>52.943283296402974</v>
      </c>
      <c r="O16" s="13">
        <f>'C3'!O10</f>
        <v>53.116605829130634</v>
      </c>
      <c r="P16" s="13">
        <f>'C3'!P10</f>
        <v>53.290495774728839</v>
      </c>
      <c r="Q16" s="13">
        <f>'C3'!Q10</f>
        <v>53.464954990759665</v>
      </c>
      <c r="R16" s="13">
        <f>'C3'!R10</f>
        <v>53.639985340866396</v>
      </c>
      <c r="S16" s="13">
        <f>'C3'!S10</f>
        <v>53.815588694793362</v>
      </c>
      <c r="T16" s="14">
        <f>'C3'!T10</f>
        <v>53.991766928405958</v>
      </c>
      <c r="U16" s="381"/>
      <c r="V16" s="381">
        <f>K16</f>
        <v>52.426701690623744</v>
      </c>
      <c r="W16" s="381">
        <f>N16</f>
        <v>52.943283296402974</v>
      </c>
      <c r="X16" s="381">
        <f>Q16</f>
        <v>53.464954990759665</v>
      </c>
      <c r="Y16" s="381">
        <f>T16</f>
        <v>53.991766928405958</v>
      </c>
      <c r="Z16" s="381">
        <f>'C3'!V10</f>
        <v>54.282800000000037</v>
      </c>
      <c r="AA16" s="381">
        <f>'C3'!W10</f>
        <v>54.68840000000003</v>
      </c>
      <c r="AB16" s="381">
        <f>'C3'!X10</f>
        <v>55.094000000000037</v>
      </c>
      <c r="AC16" s="557">
        <f>'C3'!Y10</f>
        <v>55.499600000000029</v>
      </c>
      <c r="AD16" s="381"/>
      <c r="AE16" s="381">
        <f>'C3'!AA10</f>
        <v>53.040342230309705</v>
      </c>
      <c r="AF16" s="381">
        <f>'C3'!AB10</f>
        <v>54.891200000000033</v>
      </c>
      <c r="AG16" s="381">
        <f>'C3'!AC10</f>
        <v>56.53793600000003</v>
      </c>
      <c r="AH16" s="381">
        <f>'C3'!AD10</f>
        <v>58.234074080000035</v>
      </c>
      <c r="AI16" s="381">
        <f>'C3'!AE10</f>
        <v>59.981096302400033</v>
      </c>
    </row>
    <row r="17" spans="2:35" ht="17.25" x14ac:dyDescent="0.4">
      <c r="C17" s="82"/>
      <c r="D17" s="82" t="str">
        <f>'C3'!D11</f>
        <v>Home HD</v>
      </c>
      <c r="I17" s="558">
        <f>'C3'!I11</f>
        <v>6.019642438693193</v>
      </c>
      <c r="J17" s="558">
        <f>'C3'!J11</f>
        <v>6.0294958101562743</v>
      </c>
      <c r="K17" s="558">
        <f>'C3'!K11</f>
        <v>6.0492348104565838</v>
      </c>
      <c r="L17" s="558">
        <f>'C3'!L11</f>
        <v>6.0690384311074386</v>
      </c>
      <c r="M17" s="558">
        <f>'C3'!M11</f>
        <v>6.0889068836590479</v>
      </c>
      <c r="N17" s="558">
        <f>'C3'!N11</f>
        <v>6.108840380354188</v>
      </c>
      <c r="O17" s="558">
        <f>'C3'!O11</f>
        <v>6.1288391341304562</v>
      </c>
      <c r="P17" s="558">
        <f>'C3'!P11</f>
        <v>6.1489033586225563</v>
      </c>
      <c r="Q17" s="558">
        <f>'C3'!Q11</f>
        <v>6.1690332681645756</v>
      </c>
      <c r="R17" s="558">
        <f>'C3'!R11</f>
        <v>6.1892290777922749</v>
      </c>
      <c r="S17" s="558">
        <f>'C3'!S11</f>
        <v>6.2094910032453861</v>
      </c>
      <c r="T17" s="559">
        <f>'C3'!T11</f>
        <v>6.2298192609699168</v>
      </c>
      <c r="U17" s="381"/>
      <c r="V17" s="560">
        <f>K17</f>
        <v>6.0492348104565838</v>
      </c>
      <c r="W17" s="560">
        <f>N17</f>
        <v>6.108840380354188</v>
      </c>
      <c r="X17" s="560">
        <f>Q17</f>
        <v>6.1690332681645756</v>
      </c>
      <c r="Y17" s="560">
        <f>T17</f>
        <v>6.2298192609699168</v>
      </c>
      <c r="Z17" s="560">
        <f>'C3'!V11</f>
        <v>6.2634000000000025</v>
      </c>
      <c r="AA17" s="560">
        <f>'C3'!W11</f>
        <v>6.3102000000000036</v>
      </c>
      <c r="AB17" s="560">
        <f>'C3'!X11</f>
        <v>6.3570000000000029</v>
      </c>
      <c r="AC17" s="561">
        <f>'C3'!Y11</f>
        <v>6.4038000000000039</v>
      </c>
      <c r="AD17" s="381"/>
      <c r="AE17" s="560">
        <f>'C3'!AA11</f>
        <v>6.1200394881126572</v>
      </c>
      <c r="AF17" s="560">
        <f>'C3'!AB11</f>
        <v>6.3336000000000023</v>
      </c>
      <c r="AG17" s="560">
        <f>'C3'!AC11</f>
        <v>6.523608000000003</v>
      </c>
      <c r="AH17" s="560">
        <f>'C3'!AD11</f>
        <v>6.719316240000003</v>
      </c>
      <c r="AI17" s="560">
        <f>'C3'!AE11</f>
        <v>6.920895727200004</v>
      </c>
    </row>
    <row r="18" spans="2:35" x14ac:dyDescent="0.25">
      <c r="C18" s="82"/>
      <c r="I18" s="13">
        <f>I16+I17</f>
        <v>58.189876907367534</v>
      </c>
      <c r="J18" s="13">
        <f t="shared" ref="J18:T18" si="3">J16+J17</f>
        <v>58.285126164843994</v>
      </c>
      <c r="K18" s="13">
        <f t="shared" si="3"/>
        <v>58.475936501080326</v>
      </c>
      <c r="L18" s="13">
        <f t="shared" si="3"/>
        <v>58.667371500705251</v>
      </c>
      <c r="M18" s="13">
        <f t="shared" si="3"/>
        <v>58.859433208704147</v>
      </c>
      <c r="N18" s="13">
        <f t="shared" si="3"/>
        <v>59.052123676757162</v>
      </c>
      <c r="O18" s="13">
        <f t="shared" si="3"/>
        <v>59.245444963261093</v>
      </c>
      <c r="P18" s="13">
        <f t="shared" si="3"/>
        <v>59.439399133351394</v>
      </c>
      <c r="Q18" s="13">
        <f t="shared" si="3"/>
        <v>59.633988258924241</v>
      </c>
      <c r="R18" s="13">
        <f t="shared" si="3"/>
        <v>59.829214418658673</v>
      </c>
      <c r="S18" s="13">
        <f t="shared" si="3"/>
        <v>60.025079698038752</v>
      </c>
      <c r="T18" s="14">
        <f t="shared" si="3"/>
        <v>60.221586189375877</v>
      </c>
      <c r="U18" s="381"/>
      <c r="V18" s="13">
        <f t="shared" ref="V18:AC18" si="4">V16+V17</f>
        <v>58.475936501080326</v>
      </c>
      <c r="W18" s="13">
        <f t="shared" si="4"/>
        <v>59.052123676757162</v>
      </c>
      <c r="X18" s="13">
        <f t="shared" si="4"/>
        <v>59.633988258924241</v>
      </c>
      <c r="Y18" s="13">
        <f t="shared" si="4"/>
        <v>60.221586189375877</v>
      </c>
      <c r="Z18" s="13">
        <f t="shared" si="4"/>
        <v>60.546200000000042</v>
      </c>
      <c r="AA18" s="13">
        <f t="shared" si="4"/>
        <v>60.998600000000032</v>
      </c>
      <c r="AB18" s="13">
        <f t="shared" si="4"/>
        <v>61.451000000000036</v>
      </c>
      <c r="AC18" s="14">
        <f t="shared" si="4"/>
        <v>61.903400000000033</v>
      </c>
      <c r="AD18" s="381"/>
      <c r="AE18" s="13">
        <f>AE16+AE17</f>
        <v>59.160381718422364</v>
      </c>
      <c r="AF18" s="13">
        <f>AF16+AF17</f>
        <v>61.224800000000037</v>
      </c>
      <c r="AG18" s="13">
        <f>AG16+AG17</f>
        <v>63.061544000000033</v>
      </c>
      <c r="AH18" s="13">
        <f>AH16+AH17</f>
        <v>64.95339032000004</v>
      </c>
      <c r="AI18" s="13">
        <f>AI16+AI17</f>
        <v>66.901992029600038</v>
      </c>
    </row>
    <row r="19" spans="2:35" x14ac:dyDescent="0.25">
      <c r="C19" s="82"/>
      <c r="I19" s="13"/>
      <c r="J19" s="13"/>
      <c r="K19" s="13"/>
      <c r="L19" s="13"/>
      <c r="M19" s="13"/>
      <c r="N19" s="13"/>
      <c r="O19" s="13"/>
      <c r="P19" s="13"/>
      <c r="Q19" s="13"/>
      <c r="R19" s="13"/>
      <c r="S19" s="13"/>
      <c r="T19" s="14"/>
      <c r="U19" s="381"/>
      <c r="V19" s="13"/>
      <c r="W19" s="13"/>
      <c r="X19" s="13"/>
      <c r="Y19" s="13"/>
      <c r="Z19" s="13"/>
      <c r="AA19" s="13"/>
      <c r="AB19" s="13"/>
      <c r="AC19" s="14"/>
      <c r="AD19" s="381"/>
      <c r="AE19" s="13"/>
      <c r="AF19" s="13"/>
      <c r="AG19" s="13"/>
      <c r="AH19" s="13"/>
      <c r="AI19" s="13"/>
    </row>
    <row r="20" spans="2:35" x14ac:dyDescent="0.25">
      <c r="C20" s="562" t="s">
        <v>282</v>
      </c>
      <c r="D20" s="523"/>
      <c r="E20" s="523"/>
      <c r="F20" s="523"/>
      <c r="G20" s="523"/>
      <c r="H20" s="523"/>
      <c r="I20" s="563">
        <f>I13+I18</f>
        <v>58.189876907367534</v>
      </c>
      <c r="J20" s="563">
        <f t="shared" ref="J20:T20" si="5">J13+J18</f>
        <v>58.285126164843994</v>
      </c>
      <c r="K20" s="563">
        <f t="shared" si="5"/>
        <v>58.475936501080326</v>
      </c>
      <c r="L20" s="563">
        <f t="shared" si="5"/>
        <v>58.667371500705251</v>
      </c>
      <c r="M20" s="563">
        <f t="shared" si="5"/>
        <v>58.859433208704147</v>
      </c>
      <c r="N20" s="563">
        <f t="shared" si="5"/>
        <v>59.052123676757162</v>
      </c>
      <c r="O20" s="563">
        <f t="shared" si="5"/>
        <v>59.245444963261093</v>
      </c>
      <c r="P20" s="563">
        <f t="shared" si="5"/>
        <v>59.439399133351394</v>
      </c>
      <c r="Q20" s="563">
        <f t="shared" si="5"/>
        <v>59.633988258924241</v>
      </c>
      <c r="R20" s="563">
        <f t="shared" si="5"/>
        <v>59.829214418658673</v>
      </c>
      <c r="S20" s="563">
        <f t="shared" si="5"/>
        <v>60.025079698038752</v>
      </c>
      <c r="T20" s="564">
        <f t="shared" si="5"/>
        <v>60.221586189375877</v>
      </c>
      <c r="U20" s="565"/>
      <c r="V20" s="563">
        <f t="shared" ref="V20:AC20" si="6">V13+V18</f>
        <v>58.475936501080326</v>
      </c>
      <c r="W20" s="563">
        <f t="shared" si="6"/>
        <v>59.052123676757162</v>
      </c>
      <c r="X20" s="563">
        <f t="shared" si="6"/>
        <v>59.633988258924241</v>
      </c>
      <c r="Y20" s="563">
        <f t="shared" si="6"/>
        <v>60.221586189375877</v>
      </c>
      <c r="Z20" s="563">
        <f t="shared" si="6"/>
        <v>60.546200000000042</v>
      </c>
      <c r="AA20" s="563">
        <f t="shared" si="6"/>
        <v>60.998600000000032</v>
      </c>
      <c r="AB20" s="563">
        <f t="shared" si="6"/>
        <v>61.451000000000036</v>
      </c>
      <c r="AC20" s="564">
        <f t="shared" si="6"/>
        <v>61.903400000000033</v>
      </c>
      <c r="AD20" s="565"/>
      <c r="AE20" s="563">
        <f>AE13+AE18</f>
        <v>59.160381718422364</v>
      </c>
      <c r="AF20" s="563">
        <f>AF13+AF18</f>
        <v>61.224800000000037</v>
      </c>
      <c r="AG20" s="563">
        <f>AG13+AG18</f>
        <v>63.061544000000033</v>
      </c>
      <c r="AH20" s="563">
        <f>AH13+AH18</f>
        <v>64.95339032000004</v>
      </c>
      <c r="AI20" s="563">
        <f>AI13+AI18</f>
        <v>66.901992029600038</v>
      </c>
    </row>
    <row r="21" spans="2:35" x14ac:dyDescent="0.25">
      <c r="C21" s="82"/>
      <c r="I21" s="13"/>
      <c r="J21" s="13"/>
      <c r="K21" s="13"/>
      <c r="L21" s="13"/>
      <c r="M21" s="13"/>
      <c r="N21" s="13"/>
      <c r="O21" s="13"/>
      <c r="P21" s="13"/>
      <c r="Q21" s="13"/>
      <c r="R21" s="13"/>
      <c r="S21" s="13"/>
      <c r="T21" s="14"/>
      <c r="U21" s="381"/>
      <c r="V21" s="381"/>
      <c r="W21" s="381"/>
      <c r="X21" s="381"/>
      <c r="Y21" s="381"/>
      <c r="Z21" s="13"/>
      <c r="AA21" s="13"/>
      <c r="AB21" s="13"/>
      <c r="AC21" s="14"/>
      <c r="AD21" s="381"/>
      <c r="AE21" s="381"/>
      <c r="AF21" s="381"/>
      <c r="AG21" s="13"/>
      <c r="AH21" s="13"/>
      <c r="AI21" s="13"/>
    </row>
    <row r="22" spans="2:35" x14ac:dyDescent="0.25">
      <c r="B22" s="556" t="s">
        <v>386</v>
      </c>
      <c r="T22" s="188"/>
      <c r="AC22" s="188"/>
    </row>
    <row r="23" spans="2:35" x14ac:dyDescent="0.25">
      <c r="C23" s="82" t="str">
        <f>C10</f>
        <v>Hemo Dialysis</v>
      </c>
      <c r="T23" s="188"/>
      <c r="U23" s="381"/>
      <c r="V23" s="381"/>
      <c r="W23" s="381"/>
      <c r="X23" s="381"/>
      <c r="Y23" s="381"/>
      <c r="Z23" s="13"/>
      <c r="AA23" s="13"/>
      <c r="AB23" s="13"/>
      <c r="AC23" s="14"/>
      <c r="AD23" s="381"/>
      <c r="AE23" s="381"/>
      <c r="AF23" s="381"/>
      <c r="AG23" s="13"/>
      <c r="AH23" s="13"/>
      <c r="AI23" s="13"/>
    </row>
    <row r="24" spans="2:35" x14ac:dyDescent="0.25">
      <c r="C24" s="82"/>
      <c r="D24" s="82" t="str">
        <f>D11</f>
        <v>In Center</v>
      </c>
      <c r="I24" s="13">
        <f>'C1'!I$17</f>
        <v>0</v>
      </c>
      <c r="J24" s="13">
        <f>'C1'!J$17</f>
        <v>0</v>
      </c>
      <c r="K24" s="13">
        <f>'C1'!K$17</f>
        <v>0</v>
      </c>
      <c r="L24" s="13">
        <f>'C1'!L$17</f>
        <v>0</v>
      </c>
      <c r="M24" s="13">
        <f>'C1'!M$17</f>
        <v>0</v>
      </c>
      <c r="N24" s="13">
        <f>'C1'!N$17</f>
        <v>0</v>
      </c>
      <c r="O24" s="13">
        <f>'C1'!O$17</f>
        <v>0</v>
      </c>
      <c r="P24" s="13">
        <f>'C1'!P$17</f>
        <v>0</v>
      </c>
      <c r="Q24" s="13">
        <f>'C1'!Q$17</f>
        <v>0</v>
      </c>
      <c r="R24" s="13">
        <f>'C1'!R$17</f>
        <v>0</v>
      </c>
      <c r="S24" s="13">
        <f>'C1'!S$17</f>
        <v>0</v>
      </c>
      <c r="T24" s="14">
        <f>'C1'!T$17</f>
        <v>0</v>
      </c>
      <c r="U24" s="381"/>
      <c r="V24" s="13">
        <f>SUM(I24:K24)</f>
        <v>0</v>
      </c>
      <c r="W24" s="381">
        <f>SUM(L24:N24)</f>
        <v>0</v>
      </c>
      <c r="X24" s="381">
        <f>SUM(O24:Q24)</f>
        <v>0</v>
      </c>
      <c r="Y24" s="381">
        <f>SUM(R24:T24)</f>
        <v>0</v>
      </c>
      <c r="Z24" s="13">
        <f>'C1'!V$17</f>
        <v>0</v>
      </c>
      <c r="AA24" s="13">
        <f>'C1'!W$17</f>
        <v>0</v>
      </c>
      <c r="AB24" s="13">
        <f>'C1'!X$17</f>
        <v>0</v>
      </c>
      <c r="AC24" s="14">
        <f>'C1'!Y$17</f>
        <v>0</v>
      </c>
      <c r="AD24" s="381"/>
      <c r="AE24" s="13">
        <f>'C1'!AA$17</f>
        <v>0</v>
      </c>
      <c r="AF24" s="13">
        <f>'C1'!AB$17</f>
        <v>0</v>
      </c>
      <c r="AG24" s="13">
        <f>'C1'!AC$17</f>
        <v>0</v>
      </c>
      <c r="AH24" s="13">
        <f>'C1'!AD$17</f>
        <v>0</v>
      </c>
      <c r="AI24" s="13">
        <f>'C1'!AE$17</f>
        <v>0</v>
      </c>
    </row>
    <row r="25" spans="2:35" ht="17.25" x14ac:dyDescent="0.4">
      <c r="C25" s="82"/>
      <c r="D25" s="82" t="str">
        <f>D12</f>
        <v>Nocturnal</v>
      </c>
      <c r="I25" s="558">
        <f>'C2'!I$17</f>
        <v>0</v>
      </c>
      <c r="J25" s="558">
        <f>'C2'!J$17</f>
        <v>0</v>
      </c>
      <c r="K25" s="558">
        <f>'C2'!K$17</f>
        <v>0</v>
      </c>
      <c r="L25" s="558">
        <f>'C2'!L$17</f>
        <v>0</v>
      </c>
      <c r="M25" s="558">
        <f>'C2'!M$17</f>
        <v>0</v>
      </c>
      <c r="N25" s="558">
        <f>'C2'!N$17</f>
        <v>0</v>
      </c>
      <c r="O25" s="558">
        <f>'C2'!O$17</f>
        <v>0</v>
      </c>
      <c r="P25" s="558">
        <f>'C2'!P$17</f>
        <v>0</v>
      </c>
      <c r="Q25" s="558">
        <f>'C2'!Q$17</f>
        <v>0</v>
      </c>
      <c r="R25" s="558">
        <f>'C2'!R$17</f>
        <v>0</v>
      </c>
      <c r="S25" s="558">
        <f>'C2'!S$17</f>
        <v>0</v>
      </c>
      <c r="T25" s="559">
        <f>'C2'!T$17</f>
        <v>0</v>
      </c>
      <c r="U25" s="560"/>
      <c r="V25" s="558">
        <f>SUM(I25:K25)</f>
        <v>0</v>
      </c>
      <c r="W25" s="560">
        <f>SUM(L25:N25)</f>
        <v>0</v>
      </c>
      <c r="X25" s="560">
        <f>SUM(O25:Q25)</f>
        <v>0</v>
      </c>
      <c r="Y25" s="560">
        <f>SUM(R25:T25)</f>
        <v>0</v>
      </c>
      <c r="Z25" s="558">
        <f>'C2'!V$17</f>
        <v>0</v>
      </c>
      <c r="AA25" s="558">
        <f>'C2'!W$17</f>
        <v>0</v>
      </c>
      <c r="AB25" s="558">
        <f>'C2'!X$17</f>
        <v>0</v>
      </c>
      <c r="AC25" s="559">
        <f>'C2'!Y$17</f>
        <v>0</v>
      </c>
      <c r="AD25" s="560"/>
      <c r="AE25" s="558">
        <f>'C2'!AA$17</f>
        <v>0</v>
      </c>
      <c r="AF25" s="558">
        <f>'C2'!AB$17</f>
        <v>0</v>
      </c>
      <c r="AG25" s="558">
        <f>'C2'!AC$17</f>
        <v>0</v>
      </c>
      <c r="AH25" s="558">
        <f>'C2'!AD$17</f>
        <v>0</v>
      </c>
      <c r="AI25" s="558">
        <f>'C2'!AE$17</f>
        <v>0</v>
      </c>
    </row>
    <row r="26" spans="2:35" x14ac:dyDescent="0.25">
      <c r="C26" s="82"/>
      <c r="E26" s="1" t="s">
        <v>13</v>
      </c>
      <c r="I26" s="13">
        <f>I24+I25</f>
        <v>0</v>
      </c>
      <c r="J26" s="13">
        <f t="shared" ref="J26:AI26" si="7">J24+J25</f>
        <v>0</v>
      </c>
      <c r="K26" s="13">
        <f t="shared" si="7"/>
        <v>0</v>
      </c>
      <c r="L26" s="13">
        <f t="shared" si="7"/>
        <v>0</v>
      </c>
      <c r="M26" s="13">
        <f t="shared" si="7"/>
        <v>0</v>
      </c>
      <c r="N26" s="13">
        <f t="shared" si="7"/>
        <v>0</v>
      </c>
      <c r="O26" s="13">
        <f t="shared" si="7"/>
        <v>0</v>
      </c>
      <c r="P26" s="13">
        <f t="shared" si="7"/>
        <v>0</v>
      </c>
      <c r="Q26" s="13">
        <f t="shared" si="7"/>
        <v>0</v>
      </c>
      <c r="R26" s="13">
        <f t="shared" si="7"/>
        <v>0</v>
      </c>
      <c r="S26" s="13">
        <f t="shared" si="7"/>
        <v>0</v>
      </c>
      <c r="T26" s="14">
        <f t="shared" si="7"/>
        <v>0</v>
      </c>
      <c r="U26" s="381"/>
      <c r="V26" s="13">
        <f t="shared" si="7"/>
        <v>0</v>
      </c>
      <c r="W26" s="13">
        <f t="shared" si="7"/>
        <v>0</v>
      </c>
      <c r="X26" s="13">
        <f t="shared" si="7"/>
        <v>0</v>
      </c>
      <c r="Y26" s="13">
        <f t="shared" si="7"/>
        <v>0</v>
      </c>
      <c r="Z26" s="13">
        <f>Z24+Z25</f>
        <v>0</v>
      </c>
      <c r="AA26" s="13">
        <f>AA24+AA25</f>
        <v>0</v>
      </c>
      <c r="AB26" s="13">
        <f>AB24+AB25</f>
        <v>0</v>
      </c>
      <c r="AC26" s="14">
        <f>AC24+AC25</f>
        <v>0</v>
      </c>
      <c r="AD26" s="381"/>
      <c r="AE26" s="13">
        <f t="shared" si="7"/>
        <v>0</v>
      </c>
      <c r="AF26" s="13">
        <f t="shared" si="7"/>
        <v>0</v>
      </c>
      <c r="AG26" s="13">
        <f t="shared" si="7"/>
        <v>0</v>
      </c>
      <c r="AH26" s="13">
        <f t="shared" si="7"/>
        <v>0</v>
      </c>
      <c r="AI26" s="13">
        <f t="shared" si="7"/>
        <v>0</v>
      </c>
    </row>
    <row r="27" spans="2:35" x14ac:dyDescent="0.25">
      <c r="C27" s="82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14"/>
      <c r="U27" s="381"/>
      <c r="W27" s="381"/>
      <c r="X27" s="381"/>
      <c r="Y27" s="381"/>
      <c r="Z27" s="381"/>
      <c r="AA27" s="381"/>
      <c r="AB27" s="381"/>
      <c r="AC27" s="557"/>
      <c r="AD27" s="381"/>
      <c r="AE27" s="381"/>
      <c r="AF27" s="381"/>
      <c r="AG27" s="13"/>
      <c r="AH27" s="13"/>
      <c r="AI27" s="13"/>
    </row>
    <row r="28" spans="2:35" x14ac:dyDescent="0.25">
      <c r="C28" s="82" t="str">
        <f>C15</f>
        <v>Home Dialysis</v>
      </c>
      <c r="I28" s="13"/>
      <c r="J28" s="13"/>
      <c r="K28" s="13"/>
      <c r="L28" s="13"/>
      <c r="M28" s="13"/>
      <c r="N28" s="13"/>
      <c r="O28" s="13"/>
      <c r="P28" s="13"/>
      <c r="Q28" s="13"/>
      <c r="R28" s="13"/>
      <c r="S28" s="13"/>
      <c r="T28" s="14"/>
      <c r="U28" s="381"/>
      <c r="W28" s="381"/>
      <c r="X28" s="381"/>
      <c r="Y28" s="381"/>
      <c r="Z28" s="381"/>
      <c r="AA28" s="381"/>
      <c r="AB28" s="381"/>
      <c r="AC28" s="557"/>
      <c r="AD28" s="381"/>
      <c r="AE28" s="381"/>
      <c r="AF28" s="381"/>
      <c r="AG28" s="13"/>
      <c r="AH28" s="13"/>
      <c r="AI28" s="13"/>
    </row>
    <row r="29" spans="2:35" x14ac:dyDescent="0.25">
      <c r="C29" s="82"/>
      <c r="D29" s="82" t="str">
        <f>D16</f>
        <v>Peritoneal</v>
      </c>
      <c r="I29" s="13">
        <f>'C3'!I$17</f>
        <v>652.12185182854489</v>
      </c>
      <c r="J29" s="13">
        <f>'C3'!J$17</f>
        <v>653.18929045313109</v>
      </c>
      <c r="K29" s="13">
        <f>'C3'!K$17</f>
        <v>655.3276622185939</v>
      </c>
      <c r="L29" s="13">
        <f>'C3'!L$17</f>
        <v>657.47303445677426</v>
      </c>
      <c r="M29" s="13">
        <f>'C3'!M$17</f>
        <v>659.62543008539831</v>
      </c>
      <c r="N29" s="13">
        <f>'C3'!N$17</f>
        <v>661.78487209721902</v>
      </c>
      <c r="O29" s="13">
        <f>'C3'!O$17</f>
        <v>663.95138356026109</v>
      </c>
      <c r="P29" s="13">
        <f>'C3'!P$17</f>
        <v>666.1249876180683</v>
      </c>
      <c r="Q29" s="13">
        <f>'C3'!Q$17</f>
        <v>668.30570748995024</v>
      </c>
      <c r="R29" s="13">
        <f>'C3'!R$17</f>
        <v>670.49356647123079</v>
      </c>
      <c r="S29" s="13">
        <f>'C3'!S$17</f>
        <v>672.68858793349614</v>
      </c>
      <c r="T29" s="14">
        <f>'C3'!T$17</f>
        <v>674.89079532484527</v>
      </c>
      <c r="U29" s="13"/>
      <c r="V29" s="13">
        <f>SUM(I29:K29)</f>
        <v>1960.63880450027</v>
      </c>
      <c r="W29" s="381">
        <f>SUM(L29:N29)</f>
        <v>1978.8833366393917</v>
      </c>
      <c r="X29" s="381">
        <f>SUM(O29:Q29)</f>
        <v>1998.3820786682795</v>
      </c>
      <c r="Y29" s="381">
        <f>SUM(R29:T29)</f>
        <v>2018.0729497295724</v>
      </c>
      <c r="Z29" s="13">
        <f>'C3'!V$17</f>
        <v>2035.5860244232131</v>
      </c>
      <c r="AA29" s="13">
        <f>'C3'!W$17</f>
        <v>2050.7958826380809</v>
      </c>
      <c r="AB29" s="13">
        <f>'C3'!X$17</f>
        <v>2066.0057408529497</v>
      </c>
      <c r="AC29" s="14">
        <f>'C3'!Y$17</f>
        <v>2081.2155990678179</v>
      </c>
      <c r="AD29" s="381"/>
      <c r="AE29" s="13">
        <f>'C3'!AA$17</f>
        <v>7955.977169537513</v>
      </c>
      <c r="AF29" s="13">
        <f>'C3'!AB$17</f>
        <v>8233.603246982062</v>
      </c>
      <c r="AG29" s="13">
        <f>'C3'!AC$17</f>
        <v>8480.6113443915219</v>
      </c>
      <c r="AH29" s="13">
        <f>'C3'!AD$17</f>
        <v>8735.0296847232694</v>
      </c>
      <c r="AI29" s="13">
        <f>'C3'!AE$17</f>
        <v>8997.0805752649667</v>
      </c>
    </row>
    <row r="30" spans="2:35" ht="17.25" x14ac:dyDescent="0.4">
      <c r="C30" s="82"/>
      <c r="D30" s="82" t="str">
        <f>D17</f>
        <v>Home HD</v>
      </c>
      <c r="I30" s="558">
        <f>'C4'!I$17</f>
        <v>98.954473071149494</v>
      </c>
      <c r="J30" s="558">
        <f>'C4'!J$17</f>
        <v>99.116448668709268</v>
      </c>
      <c r="K30" s="558">
        <f>'C4'!K$17</f>
        <v>99.440930129786295</v>
      </c>
      <c r="L30" s="558">
        <f>'C4'!L$17</f>
        <v>99.766473858731047</v>
      </c>
      <c r="M30" s="558">
        <f>'C4'!M$17</f>
        <v>100.09308333313206</v>
      </c>
      <c r="N30" s="558">
        <f>'C4'!N$17</f>
        <v>100.42076204196269</v>
      </c>
      <c r="O30" s="558">
        <f>'C4'!O$17</f>
        <v>100.74951348561819</v>
      </c>
      <c r="P30" s="558">
        <f>'C4'!P$17</f>
        <v>101.07934117595325</v>
      </c>
      <c r="Q30" s="558">
        <f>'C4'!Q$17</f>
        <v>101.41024863631942</v>
      </c>
      <c r="R30" s="558">
        <f>'C4'!R$17</f>
        <v>101.74223940160283</v>
      </c>
      <c r="S30" s="558">
        <f>'C4'!S$17</f>
        <v>102.07531701826186</v>
      </c>
      <c r="T30" s="559">
        <f>'C4'!T$17</f>
        <v>102.40948504436511</v>
      </c>
      <c r="U30" s="558"/>
      <c r="V30" s="558">
        <f>SUM(I30:K30)</f>
        <v>297.51185186964506</v>
      </c>
      <c r="W30" s="560">
        <f>SUM(L30:N30)</f>
        <v>300.28031923382582</v>
      </c>
      <c r="X30" s="560">
        <f>SUM(O30:Q30)</f>
        <v>303.23910329789084</v>
      </c>
      <c r="Y30" s="560">
        <f>SUM(R30:T30)</f>
        <v>306.22704146422979</v>
      </c>
      <c r="Z30" s="558">
        <f>'C4'!V$17</f>
        <v>308.88451578947377</v>
      </c>
      <c r="AA30" s="558">
        <f>'C4'!W$17</f>
        <v>311.19249473684226</v>
      </c>
      <c r="AB30" s="558">
        <f>'C4'!X$17</f>
        <v>313.50047368421065</v>
      </c>
      <c r="AC30" s="559">
        <f>'C4'!Y$17</f>
        <v>315.80845263157909</v>
      </c>
      <c r="AD30" s="560"/>
      <c r="AE30" s="558">
        <f>'C4'!AA$17</f>
        <v>1207.2583158655914</v>
      </c>
      <c r="AF30" s="558">
        <f>'C4'!AB$17</f>
        <v>1249.3859368421058</v>
      </c>
      <c r="AG30" s="558">
        <f>'C4'!AC$17</f>
        <v>1286.8675149473688</v>
      </c>
      <c r="AH30" s="558">
        <f>'C4'!AD$17</f>
        <v>1325.47354039579</v>
      </c>
      <c r="AI30" s="558">
        <f>'C4'!AE$17</f>
        <v>1365.2377466076639</v>
      </c>
    </row>
    <row r="31" spans="2:35" x14ac:dyDescent="0.25">
      <c r="C31" s="82"/>
      <c r="I31" s="13">
        <f>I29+I30</f>
        <v>751.07632489969433</v>
      </c>
      <c r="J31" s="13">
        <f t="shared" ref="J31:AI31" si="8">J29+J30</f>
        <v>752.30573912184036</v>
      </c>
      <c r="K31" s="13">
        <f t="shared" si="8"/>
        <v>754.76859234838025</v>
      </c>
      <c r="L31" s="13">
        <f t="shared" si="8"/>
        <v>757.2395083155053</v>
      </c>
      <c r="M31" s="13">
        <f t="shared" si="8"/>
        <v>759.71851341853039</v>
      </c>
      <c r="N31" s="13">
        <f t="shared" si="8"/>
        <v>762.20563413918171</v>
      </c>
      <c r="O31" s="13">
        <f t="shared" si="8"/>
        <v>764.70089704587929</v>
      </c>
      <c r="P31" s="13">
        <f t="shared" si="8"/>
        <v>767.20432879402154</v>
      </c>
      <c r="Q31" s="13">
        <f t="shared" si="8"/>
        <v>769.7159561262697</v>
      </c>
      <c r="R31" s="13">
        <f t="shared" si="8"/>
        <v>772.23580587283368</v>
      </c>
      <c r="S31" s="13">
        <f t="shared" si="8"/>
        <v>774.76390495175804</v>
      </c>
      <c r="T31" s="14">
        <f t="shared" si="8"/>
        <v>777.30028036921044</v>
      </c>
      <c r="U31" s="13"/>
      <c r="V31" s="13">
        <f>V29+V30</f>
        <v>2258.1506563699149</v>
      </c>
      <c r="W31" s="13">
        <f t="shared" si="8"/>
        <v>2279.1636558732175</v>
      </c>
      <c r="X31" s="13">
        <f t="shared" si="8"/>
        <v>2301.6211819661703</v>
      </c>
      <c r="Y31" s="13">
        <f t="shared" si="8"/>
        <v>2324.2999911938023</v>
      </c>
      <c r="Z31" s="13">
        <f>Z29+Z30</f>
        <v>2344.470540212687</v>
      </c>
      <c r="AA31" s="13">
        <f>AA29+AA30</f>
        <v>2361.9883773749234</v>
      </c>
      <c r="AB31" s="13">
        <f>AB29+AB30</f>
        <v>2379.5062145371603</v>
      </c>
      <c r="AC31" s="14">
        <f>AC29+AC30</f>
        <v>2397.0240516993972</v>
      </c>
      <c r="AD31" s="381"/>
      <c r="AE31" s="13">
        <f t="shared" si="8"/>
        <v>9163.2354854031037</v>
      </c>
      <c r="AF31" s="13">
        <f t="shared" si="8"/>
        <v>9482.9891838241674</v>
      </c>
      <c r="AG31" s="13">
        <f t="shared" si="8"/>
        <v>9767.4788593388912</v>
      </c>
      <c r="AH31" s="13">
        <f t="shared" si="8"/>
        <v>10060.503225119059</v>
      </c>
      <c r="AI31" s="13">
        <f t="shared" si="8"/>
        <v>10362.31832187263</v>
      </c>
    </row>
    <row r="32" spans="2:35" x14ac:dyDescent="0.25">
      <c r="C32" s="82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13"/>
      <c r="T32" s="14"/>
      <c r="U32" s="381"/>
      <c r="V32" s="381"/>
      <c r="W32" s="381"/>
      <c r="X32" s="381"/>
      <c r="Y32" s="381"/>
      <c r="Z32" s="13"/>
      <c r="AA32" s="13"/>
      <c r="AB32" s="13"/>
      <c r="AC32" s="14"/>
      <c r="AD32" s="381"/>
      <c r="AE32" s="381"/>
      <c r="AF32" s="381"/>
      <c r="AG32" s="13"/>
      <c r="AH32" s="13"/>
      <c r="AI32" s="13"/>
    </row>
    <row r="33" spans="2:39" x14ac:dyDescent="0.25">
      <c r="C33" s="82" t="str">
        <f>'A1'!C68</f>
        <v>Acute Care</v>
      </c>
      <c r="I33" s="13"/>
      <c r="J33" s="13"/>
      <c r="K33" s="13"/>
      <c r="L33" s="13"/>
      <c r="M33" s="13"/>
      <c r="N33" s="13"/>
      <c r="O33" s="13"/>
      <c r="P33" s="13"/>
      <c r="Q33" s="13"/>
      <c r="R33" s="13"/>
      <c r="S33" s="13"/>
      <c r="T33" s="14"/>
      <c r="U33" s="381"/>
      <c r="V33" s="381"/>
      <c r="W33" s="381"/>
      <c r="X33" s="381"/>
      <c r="Y33" s="381"/>
      <c r="Z33" s="13"/>
      <c r="AA33" s="13"/>
      <c r="AB33" s="13"/>
      <c r="AC33" s="14"/>
      <c r="AD33" s="381"/>
      <c r="AE33" s="381"/>
      <c r="AF33" s="381"/>
      <c r="AG33" s="13"/>
      <c r="AH33" s="13"/>
      <c r="AI33" s="13"/>
    </row>
    <row r="34" spans="2:39" x14ac:dyDescent="0.25">
      <c r="C34" s="82"/>
      <c r="D34" s="82" t="str">
        <f>'C5'!C10</f>
        <v>Hemo Dialysis - 1x1</v>
      </c>
      <c r="I34" s="13">
        <f>'A3'!$H66*'A3'!I66</f>
        <v>0</v>
      </c>
      <c r="J34" s="13">
        <f>'A3'!$H66*'A3'!J66</f>
        <v>0</v>
      </c>
      <c r="K34" s="13">
        <f>'A3'!$H66*'A3'!K66</f>
        <v>0</v>
      </c>
      <c r="L34" s="13">
        <f>'A3'!$H66*'A3'!L66</f>
        <v>0</v>
      </c>
      <c r="M34" s="13">
        <f>'A3'!$H66*'A3'!M66</f>
        <v>0</v>
      </c>
      <c r="N34" s="13">
        <f>'A3'!$H66*'A3'!N66</f>
        <v>0</v>
      </c>
      <c r="O34" s="13">
        <f>'A3'!$H66*'A3'!O66</f>
        <v>0</v>
      </c>
      <c r="P34" s="13">
        <f>'A3'!$H66*'A3'!P66</f>
        <v>0</v>
      </c>
      <c r="Q34" s="13">
        <f>'A3'!$H66*'A3'!Q66</f>
        <v>0</v>
      </c>
      <c r="R34" s="13">
        <f>'A3'!$H66*'A3'!R66</f>
        <v>0</v>
      </c>
      <c r="S34" s="13">
        <f>'A3'!$H66*'A3'!S66</f>
        <v>0</v>
      </c>
      <c r="T34" s="14">
        <f>'A3'!$H66*'A3'!T66</f>
        <v>0</v>
      </c>
      <c r="U34" s="13">
        <f>'A3'!$H66*'A3'!U66</f>
        <v>0</v>
      </c>
      <c r="V34" s="13">
        <f>SUM(I34:K34)</f>
        <v>0</v>
      </c>
      <c r="W34" s="381">
        <f>SUM(L34:N34)</f>
        <v>0</v>
      </c>
      <c r="X34" s="381">
        <f>SUM(O34:Q34)</f>
        <v>0</v>
      </c>
      <c r="Y34" s="381">
        <f>SUM(R34:T34)</f>
        <v>0</v>
      </c>
      <c r="Z34" s="13">
        <f>'C5'!V10</f>
        <v>0</v>
      </c>
      <c r="AA34" s="13">
        <f>'C5'!W10</f>
        <v>0</v>
      </c>
      <c r="AB34" s="13">
        <f>'C5'!X10</f>
        <v>0</v>
      </c>
      <c r="AC34" s="14">
        <f>'C5'!Y10</f>
        <v>0</v>
      </c>
      <c r="AD34" s="381"/>
      <c r="AE34" s="381">
        <f>SUM(I34:T34)</f>
        <v>0</v>
      </c>
      <c r="AF34" s="13">
        <f>'C5'!AH10</f>
        <v>0</v>
      </c>
      <c r="AG34" s="13">
        <f>'C5'!AI10</f>
        <v>0</v>
      </c>
      <c r="AH34" s="13">
        <f>'C5'!AJ10</f>
        <v>0</v>
      </c>
      <c r="AI34" s="13">
        <f>'C5'!AK10</f>
        <v>0</v>
      </c>
    </row>
    <row r="35" spans="2:39" x14ac:dyDescent="0.25">
      <c r="C35" s="82"/>
      <c r="D35" s="82" t="str">
        <f>'C5'!C11</f>
        <v>Hemo Dialysis - 2x1</v>
      </c>
      <c r="I35" s="13">
        <f>'A3'!$H67*'A3'!I67</f>
        <v>0</v>
      </c>
      <c r="J35" s="13">
        <f>'A3'!$H67*'A3'!J67</f>
        <v>0</v>
      </c>
      <c r="K35" s="13">
        <f>'A3'!$H67*'A3'!K67</f>
        <v>0</v>
      </c>
      <c r="L35" s="13">
        <f>'A3'!$H67*'A3'!L67</f>
        <v>0</v>
      </c>
      <c r="M35" s="13">
        <f>'A3'!$H67*'A3'!M67</f>
        <v>0</v>
      </c>
      <c r="N35" s="13">
        <f>'A3'!$H67*'A3'!N67</f>
        <v>0</v>
      </c>
      <c r="O35" s="13">
        <f>'A3'!$H67*'A3'!O67</f>
        <v>0</v>
      </c>
      <c r="P35" s="13">
        <f>'A3'!$H67*'A3'!P67</f>
        <v>0</v>
      </c>
      <c r="Q35" s="13">
        <f>'A3'!$H67*'A3'!Q67</f>
        <v>0</v>
      </c>
      <c r="R35" s="13">
        <f>'A3'!$H67*'A3'!R67</f>
        <v>0</v>
      </c>
      <c r="S35" s="13">
        <f>'A3'!$H67*'A3'!S67</f>
        <v>0</v>
      </c>
      <c r="T35" s="14">
        <f>'A3'!$H67*'A3'!T67</f>
        <v>0</v>
      </c>
      <c r="U35" s="13">
        <f>'A3'!$H67*'A3'!U67</f>
        <v>0</v>
      </c>
      <c r="V35" s="13">
        <f>SUM(I35:K35)</f>
        <v>0</v>
      </c>
      <c r="W35" s="381">
        <f>SUM(L35:N35)</f>
        <v>0</v>
      </c>
      <c r="X35" s="381">
        <f>SUM(O35:Q35)</f>
        <v>0</v>
      </c>
      <c r="Y35" s="381">
        <f>SUM(R35:T35)</f>
        <v>0</v>
      </c>
      <c r="Z35" s="13">
        <f>'C5'!V11</f>
        <v>0</v>
      </c>
      <c r="AA35" s="13">
        <f>'C5'!W11</f>
        <v>0</v>
      </c>
      <c r="AB35" s="13">
        <f>'C5'!X11</f>
        <v>0</v>
      </c>
      <c r="AC35" s="14">
        <f>'C5'!Y11</f>
        <v>0</v>
      </c>
      <c r="AD35" s="381"/>
      <c r="AE35" s="381">
        <f>SUM(I35:T35)</f>
        <v>0</v>
      </c>
      <c r="AF35" s="13">
        <f>'C5'!AH11</f>
        <v>0</v>
      </c>
      <c r="AG35" s="13">
        <f>'C5'!AI11</f>
        <v>0</v>
      </c>
      <c r="AH35" s="13">
        <f>'C5'!AJ11</f>
        <v>0</v>
      </c>
      <c r="AI35" s="13">
        <f>'C5'!AK11</f>
        <v>0</v>
      </c>
    </row>
    <row r="36" spans="2:39" x14ac:dyDescent="0.25">
      <c r="C36" s="82"/>
      <c r="D36" s="82" t="str">
        <f>'C5'!C12</f>
        <v>Peritoneal</v>
      </c>
      <c r="I36" s="13">
        <f>'A3'!$H68*'A3'!I68</f>
        <v>0</v>
      </c>
      <c r="J36" s="13">
        <f>'A3'!$H68*'A3'!J68</f>
        <v>0</v>
      </c>
      <c r="K36" s="13">
        <f>'A3'!$H68*'A3'!K68</f>
        <v>0</v>
      </c>
      <c r="L36" s="13">
        <f>'A3'!$H68*'A3'!L68</f>
        <v>0</v>
      </c>
      <c r="M36" s="13">
        <f>'A3'!$H68*'A3'!M68</f>
        <v>0</v>
      </c>
      <c r="N36" s="13">
        <f>'A3'!$H68*'A3'!N68</f>
        <v>0</v>
      </c>
      <c r="O36" s="13">
        <f>'A3'!$H68*'A3'!O68</f>
        <v>0</v>
      </c>
      <c r="P36" s="13">
        <f>'A3'!$H68*'A3'!P68</f>
        <v>0</v>
      </c>
      <c r="Q36" s="13">
        <f>'A3'!$H68*'A3'!Q68</f>
        <v>0</v>
      </c>
      <c r="R36" s="13">
        <f>'A3'!$H68*'A3'!R68</f>
        <v>0</v>
      </c>
      <c r="S36" s="13">
        <f>'A3'!$H68*'A3'!S68</f>
        <v>0</v>
      </c>
      <c r="T36" s="14">
        <f>'A3'!$H68*'A3'!T68</f>
        <v>0</v>
      </c>
      <c r="U36" s="13">
        <f>'A3'!$H68*'A3'!U68</f>
        <v>0</v>
      </c>
      <c r="V36" s="13">
        <f>SUM(I36:K36)</f>
        <v>0</v>
      </c>
      <c r="W36" s="381">
        <f>SUM(L36:N36)</f>
        <v>0</v>
      </c>
      <c r="X36" s="381">
        <f>SUM(O36:Q36)</f>
        <v>0</v>
      </c>
      <c r="Y36" s="381">
        <f>SUM(R36:T36)</f>
        <v>0</v>
      </c>
      <c r="Z36" s="13">
        <f>'C5'!V12</f>
        <v>0</v>
      </c>
      <c r="AA36" s="13">
        <f>'C5'!W12</f>
        <v>0</v>
      </c>
      <c r="AB36" s="13">
        <f>'C5'!X12</f>
        <v>0</v>
      </c>
      <c r="AC36" s="14">
        <f>'C5'!Y12</f>
        <v>0</v>
      </c>
      <c r="AD36" s="381"/>
      <c r="AE36" s="381">
        <f>SUM(I36:T36)</f>
        <v>0</v>
      </c>
      <c r="AF36" s="13">
        <f>'C5'!AH12</f>
        <v>0</v>
      </c>
      <c r="AG36" s="13">
        <f>'C5'!AI12</f>
        <v>0</v>
      </c>
      <c r="AH36" s="13">
        <f>'C5'!AJ12</f>
        <v>0</v>
      </c>
      <c r="AI36" s="13">
        <f>'C5'!AK12</f>
        <v>0</v>
      </c>
    </row>
    <row r="37" spans="2:39" x14ac:dyDescent="0.25">
      <c r="C37" s="82"/>
      <c r="D37" s="82" t="str">
        <f>'C5'!C13</f>
        <v>CRRT</v>
      </c>
      <c r="I37" s="13">
        <f>'A3'!$H69*'A3'!I69</f>
        <v>0</v>
      </c>
      <c r="J37" s="13">
        <f>'A3'!$H69*'A3'!J69</f>
        <v>0</v>
      </c>
      <c r="K37" s="13">
        <f>'A3'!$H69*'A3'!K69</f>
        <v>0</v>
      </c>
      <c r="L37" s="13">
        <f>'A3'!$H69*'A3'!L69</f>
        <v>0</v>
      </c>
      <c r="M37" s="13">
        <f>'A3'!$H69*'A3'!M69</f>
        <v>0</v>
      </c>
      <c r="N37" s="13">
        <f>'A3'!$H69*'A3'!N69</f>
        <v>0</v>
      </c>
      <c r="O37" s="13">
        <f>'A3'!$H69*'A3'!O69</f>
        <v>0</v>
      </c>
      <c r="P37" s="13">
        <f>'A3'!$H69*'A3'!P69</f>
        <v>0</v>
      </c>
      <c r="Q37" s="13">
        <f>'A3'!$H69*'A3'!Q69</f>
        <v>0</v>
      </c>
      <c r="R37" s="13">
        <f>'A3'!$H69*'A3'!R69</f>
        <v>0</v>
      </c>
      <c r="S37" s="13">
        <f>'A3'!$H69*'A3'!S69</f>
        <v>0</v>
      </c>
      <c r="T37" s="14">
        <f>'A3'!$H69*'A3'!T69</f>
        <v>0</v>
      </c>
      <c r="U37" s="13">
        <f>'A3'!$H69*'A3'!U69</f>
        <v>0</v>
      </c>
      <c r="V37" s="13">
        <f>SUM(I37:K37)</f>
        <v>0</v>
      </c>
      <c r="W37" s="381">
        <f>SUM(L37:N37)</f>
        <v>0</v>
      </c>
      <c r="X37" s="381">
        <f>SUM(O37:Q37)</f>
        <v>0</v>
      </c>
      <c r="Y37" s="381">
        <f>SUM(R37:T37)</f>
        <v>0</v>
      </c>
      <c r="Z37" s="13">
        <f>'C5'!V13</f>
        <v>0</v>
      </c>
      <c r="AA37" s="13">
        <f>'C5'!W13</f>
        <v>0</v>
      </c>
      <c r="AB37" s="13">
        <f>'C5'!X13</f>
        <v>0</v>
      </c>
      <c r="AC37" s="14">
        <f>'C5'!Y13</f>
        <v>0</v>
      </c>
      <c r="AD37" s="381"/>
      <c r="AE37" s="381">
        <f>SUM(I37:T37)</f>
        <v>0</v>
      </c>
      <c r="AF37" s="13">
        <f>'C5'!AH13</f>
        <v>0</v>
      </c>
      <c r="AG37" s="13">
        <f>'C5'!AI13</f>
        <v>0</v>
      </c>
      <c r="AH37" s="13">
        <f>'C5'!AJ13</f>
        <v>0</v>
      </c>
      <c r="AI37" s="13">
        <f>'C5'!AK13</f>
        <v>0</v>
      </c>
    </row>
    <row r="38" spans="2:39" ht="17.25" x14ac:dyDescent="0.4">
      <c r="C38" s="82"/>
      <c r="D38" s="82" t="str">
        <f>'C5'!C14</f>
        <v>Apheresis</v>
      </c>
      <c r="I38" s="558">
        <f>'A3'!$H70*'A3'!I70</f>
        <v>0</v>
      </c>
      <c r="J38" s="558">
        <f>'A3'!$H70*'A3'!J70</f>
        <v>0</v>
      </c>
      <c r="K38" s="558">
        <f>'A3'!$H70*'A3'!K70</f>
        <v>0</v>
      </c>
      <c r="L38" s="558">
        <f>'A3'!$H70*'A3'!L70</f>
        <v>0</v>
      </c>
      <c r="M38" s="558">
        <f>'A3'!$H70*'A3'!M70</f>
        <v>0</v>
      </c>
      <c r="N38" s="558">
        <f>'A3'!$H70*'A3'!N70</f>
        <v>0</v>
      </c>
      <c r="O38" s="558">
        <f>'A3'!$H70*'A3'!O70</f>
        <v>0</v>
      </c>
      <c r="P38" s="558">
        <f>'A3'!$H70*'A3'!P70</f>
        <v>0</v>
      </c>
      <c r="Q38" s="558">
        <f>'A3'!$H70*'A3'!Q70</f>
        <v>0</v>
      </c>
      <c r="R38" s="558">
        <f>'A3'!$H70*'A3'!R70</f>
        <v>0</v>
      </c>
      <c r="S38" s="558">
        <f>'A3'!$H70*'A3'!S70</f>
        <v>0</v>
      </c>
      <c r="T38" s="559">
        <f>'A3'!$H70*'A3'!T70</f>
        <v>0</v>
      </c>
      <c r="U38" s="558">
        <f>'A3'!$H70*'A3'!U70</f>
        <v>0</v>
      </c>
      <c r="V38" s="558">
        <f>SUM(I38:K38)</f>
        <v>0</v>
      </c>
      <c r="W38" s="560">
        <f>SUM(L38:N38)</f>
        <v>0</v>
      </c>
      <c r="X38" s="560">
        <f>SUM(O38:Q38)</f>
        <v>0</v>
      </c>
      <c r="Y38" s="560">
        <f>SUM(R38:T38)</f>
        <v>0</v>
      </c>
      <c r="Z38" s="558">
        <f>'C5'!V14</f>
        <v>0</v>
      </c>
      <c r="AA38" s="558">
        <f>'C5'!W14</f>
        <v>0</v>
      </c>
      <c r="AB38" s="558">
        <f>'C5'!X14</f>
        <v>0</v>
      </c>
      <c r="AC38" s="559">
        <f>'C5'!Y14</f>
        <v>0</v>
      </c>
      <c r="AD38" s="381"/>
      <c r="AE38" s="560">
        <f>SUM(I38:T38)</f>
        <v>0</v>
      </c>
      <c r="AF38" s="558">
        <f>'C5'!AH14</f>
        <v>0</v>
      </c>
      <c r="AG38" s="558">
        <f>'C5'!AI14</f>
        <v>0</v>
      </c>
      <c r="AH38" s="558">
        <f>'C5'!AJ14</f>
        <v>0</v>
      </c>
      <c r="AI38" s="558">
        <f>'C5'!AK14</f>
        <v>0</v>
      </c>
    </row>
    <row r="39" spans="2:39" x14ac:dyDescent="0.25">
      <c r="C39" s="82"/>
      <c r="D39" s="82"/>
      <c r="I39" s="13">
        <f>SUM(I34:I38)</f>
        <v>0</v>
      </c>
      <c r="J39" s="13">
        <f t="shared" ref="J39:T39" si="9">SUM(J34:J38)</f>
        <v>0</v>
      </c>
      <c r="K39" s="13">
        <f t="shared" si="9"/>
        <v>0</v>
      </c>
      <c r="L39" s="13">
        <f t="shared" si="9"/>
        <v>0</v>
      </c>
      <c r="M39" s="13">
        <f t="shared" si="9"/>
        <v>0</v>
      </c>
      <c r="N39" s="13">
        <f t="shared" si="9"/>
        <v>0</v>
      </c>
      <c r="O39" s="13">
        <f t="shared" si="9"/>
        <v>0</v>
      </c>
      <c r="P39" s="13">
        <f t="shared" si="9"/>
        <v>0</v>
      </c>
      <c r="Q39" s="13">
        <f t="shared" si="9"/>
        <v>0</v>
      </c>
      <c r="R39" s="13">
        <f t="shared" si="9"/>
        <v>0</v>
      </c>
      <c r="S39" s="13">
        <f t="shared" si="9"/>
        <v>0</v>
      </c>
      <c r="T39" s="14">
        <f t="shared" si="9"/>
        <v>0</v>
      </c>
      <c r="U39" s="13">
        <f>SUM(U34:U38)</f>
        <v>0</v>
      </c>
      <c r="V39" s="13">
        <f>SUM(V34:V38)</f>
        <v>0</v>
      </c>
      <c r="W39" s="13">
        <f t="shared" ref="W39:AC39" si="10">SUM(W34:W38)</f>
        <v>0</v>
      </c>
      <c r="X39" s="13">
        <f t="shared" si="10"/>
        <v>0</v>
      </c>
      <c r="Y39" s="13">
        <f t="shared" si="10"/>
        <v>0</v>
      </c>
      <c r="Z39" s="13">
        <f t="shared" si="10"/>
        <v>0</v>
      </c>
      <c r="AA39" s="13">
        <f t="shared" si="10"/>
        <v>0</v>
      </c>
      <c r="AB39" s="13">
        <f t="shared" si="10"/>
        <v>0</v>
      </c>
      <c r="AC39" s="14">
        <f t="shared" si="10"/>
        <v>0</v>
      </c>
      <c r="AD39" s="381"/>
      <c r="AE39" s="13">
        <f>SUM(AE34:AE38)</f>
        <v>0</v>
      </c>
      <c r="AF39" s="13">
        <f>SUM(AF34:AF38)</f>
        <v>0</v>
      </c>
      <c r="AG39" s="13">
        <f>SUM(AG34:AG38)</f>
        <v>0</v>
      </c>
      <c r="AH39" s="13">
        <f>SUM(AH34:AH38)</f>
        <v>0</v>
      </c>
      <c r="AI39" s="13">
        <f>SUM(AI34:AI38)</f>
        <v>0</v>
      </c>
    </row>
    <row r="40" spans="2:39" x14ac:dyDescent="0.25">
      <c r="C40" s="82"/>
      <c r="I40" s="13"/>
      <c r="J40" s="13"/>
      <c r="K40" s="13"/>
      <c r="L40" s="13"/>
      <c r="M40" s="13"/>
      <c r="N40" s="13"/>
      <c r="O40" s="13"/>
      <c r="P40" s="13"/>
      <c r="Q40" s="13"/>
      <c r="R40" s="13"/>
      <c r="S40" s="13"/>
      <c r="T40" s="14"/>
      <c r="U40" s="381"/>
      <c r="V40" s="13"/>
      <c r="W40" s="13"/>
      <c r="X40" s="13"/>
      <c r="Y40" s="13"/>
      <c r="Z40" s="13"/>
      <c r="AA40" s="13"/>
      <c r="AB40" s="13"/>
      <c r="AC40" s="14"/>
      <c r="AD40" s="381"/>
      <c r="AE40" s="13"/>
      <c r="AF40" s="13"/>
      <c r="AG40" s="13"/>
      <c r="AH40" s="13"/>
      <c r="AI40" s="13"/>
    </row>
    <row r="41" spans="2:39" x14ac:dyDescent="0.25">
      <c r="C41" s="562" t="s">
        <v>115</v>
      </c>
      <c r="D41" s="523"/>
      <c r="E41" s="523"/>
      <c r="F41" s="523"/>
      <c r="G41" s="523"/>
      <c r="H41" s="523"/>
      <c r="I41" s="563">
        <f>I26+I31+I39</f>
        <v>751.07632489969433</v>
      </c>
      <c r="J41" s="563">
        <f t="shared" ref="J41:T41" si="11">J26+J31+J39</f>
        <v>752.30573912184036</v>
      </c>
      <c r="K41" s="563">
        <f t="shared" si="11"/>
        <v>754.76859234838025</v>
      </c>
      <c r="L41" s="563">
        <f t="shared" si="11"/>
        <v>757.2395083155053</v>
      </c>
      <c r="M41" s="563">
        <f t="shared" si="11"/>
        <v>759.71851341853039</v>
      </c>
      <c r="N41" s="563">
        <f t="shared" si="11"/>
        <v>762.20563413918171</v>
      </c>
      <c r="O41" s="563">
        <f t="shared" si="11"/>
        <v>764.70089704587929</v>
      </c>
      <c r="P41" s="563">
        <f t="shared" si="11"/>
        <v>767.20432879402154</v>
      </c>
      <c r="Q41" s="563">
        <f t="shared" si="11"/>
        <v>769.7159561262697</v>
      </c>
      <c r="R41" s="563">
        <f t="shared" si="11"/>
        <v>772.23580587283368</v>
      </c>
      <c r="S41" s="563">
        <f t="shared" si="11"/>
        <v>774.76390495175804</v>
      </c>
      <c r="T41" s="564">
        <f t="shared" si="11"/>
        <v>777.30028036921044</v>
      </c>
      <c r="U41" s="565"/>
      <c r="V41" s="563">
        <f t="shared" ref="V41:AH41" si="12">V26+V31+V39</f>
        <v>2258.1506563699149</v>
      </c>
      <c r="W41" s="563">
        <f t="shared" si="12"/>
        <v>2279.1636558732175</v>
      </c>
      <c r="X41" s="563">
        <f t="shared" si="12"/>
        <v>2301.6211819661703</v>
      </c>
      <c r="Y41" s="563">
        <f t="shared" si="12"/>
        <v>2324.2999911938023</v>
      </c>
      <c r="Z41" s="563">
        <f t="shared" si="12"/>
        <v>2344.470540212687</v>
      </c>
      <c r="AA41" s="563">
        <f t="shared" si="12"/>
        <v>2361.9883773749234</v>
      </c>
      <c r="AB41" s="563">
        <f t="shared" si="12"/>
        <v>2379.5062145371603</v>
      </c>
      <c r="AC41" s="564">
        <f t="shared" si="12"/>
        <v>2397.0240516993972</v>
      </c>
      <c r="AD41" s="563">
        <f t="shared" si="12"/>
        <v>0</v>
      </c>
      <c r="AE41" s="563">
        <f t="shared" si="12"/>
        <v>9163.2354854031037</v>
      </c>
      <c r="AF41" s="563">
        <f t="shared" si="12"/>
        <v>9482.9891838241674</v>
      </c>
      <c r="AG41" s="563">
        <f t="shared" si="12"/>
        <v>9767.4788593388912</v>
      </c>
      <c r="AH41" s="563">
        <f t="shared" si="12"/>
        <v>10060.503225119059</v>
      </c>
      <c r="AI41" s="563">
        <f>AI26+AI31+AI39</f>
        <v>10362.31832187263</v>
      </c>
    </row>
    <row r="42" spans="2:39" x14ac:dyDescent="0.25">
      <c r="C42" s="82"/>
      <c r="I42" s="13"/>
      <c r="J42" s="13"/>
      <c r="K42" s="13"/>
      <c r="L42" s="13"/>
      <c r="M42" s="13"/>
      <c r="N42" s="13"/>
      <c r="O42" s="13"/>
      <c r="P42" s="13"/>
      <c r="Q42" s="13"/>
      <c r="R42" s="13"/>
      <c r="S42" s="13"/>
      <c r="T42" s="14"/>
      <c r="U42" s="381"/>
      <c r="V42" s="381"/>
      <c r="W42" s="381"/>
      <c r="X42" s="381"/>
      <c r="Y42" s="381"/>
      <c r="Z42" s="13"/>
      <c r="AA42" s="13"/>
      <c r="AB42" s="13"/>
      <c r="AC42" s="14"/>
      <c r="AD42" s="381"/>
      <c r="AE42" s="381"/>
      <c r="AF42" s="381"/>
      <c r="AG42" s="13"/>
      <c r="AH42" s="13"/>
      <c r="AI42" s="13"/>
    </row>
    <row r="43" spans="2:39" x14ac:dyDescent="0.25">
      <c r="C43" s="82" t="s">
        <v>577</v>
      </c>
      <c r="I43" s="13"/>
      <c r="J43" s="13"/>
      <c r="K43" s="13"/>
      <c r="L43" s="13"/>
      <c r="M43" s="13"/>
      <c r="N43" s="13"/>
      <c r="O43" s="13"/>
      <c r="P43" s="13"/>
      <c r="Q43" s="13"/>
      <c r="R43" s="13"/>
      <c r="S43" s="13"/>
      <c r="T43" s="14"/>
      <c r="U43" s="381"/>
      <c r="V43" s="381"/>
      <c r="W43" s="381"/>
      <c r="X43" s="381"/>
      <c r="Y43" s="381"/>
      <c r="Z43" s="13"/>
      <c r="AA43" s="13"/>
      <c r="AB43" s="13"/>
      <c r="AC43" s="14"/>
      <c r="AD43" s="381"/>
      <c r="AE43" s="381"/>
      <c r="AF43" s="381"/>
      <c r="AG43" s="13"/>
      <c r="AH43" s="13"/>
      <c r="AI43" s="13"/>
    </row>
    <row r="44" spans="2:39" x14ac:dyDescent="0.25">
      <c r="C44" s="82"/>
      <c r="D44" s="82" t="str">
        <f>'A1'!E8</f>
        <v>Hemo Dialysis</v>
      </c>
      <c r="I44" s="36">
        <f>'C1'!I$44</f>
        <v>0</v>
      </c>
      <c r="J44" s="36">
        <f>'C1'!J$44</f>
        <v>0</v>
      </c>
      <c r="K44" s="36">
        <f>'C1'!K$44</f>
        <v>0</v>
      </c>
      <c r="L44" s="36">
        <f>'C1'!L$44</f>
        <v>0</v>
      </c>
      <c r="M44" s="36">
        <f>'C1'!M$44</f>
        <v>0</v>
      </c>
      <c r="N44" s="36">
        <f>'C1'!N$44</f>
        <v>0</v>
      </c>
      <c r="O44" s="36">
        <f>'C1'!O$44</f>
        <v>0</v>
      </c>
      <c r="P44" s="36">
        <f>'C1'!P$44</f>
        <v>0</v>
      </c>
      <c r="Q44" s="36">
        <f>'C1'!Q$44</f>
        <v>0</v>
      </c>
      <c r="R44" s="36">
        <f>'C1'!R$44</f>
        <v>0</v>
      </c>
      <c r="S44" s="36">
        <f>'C1'!S$44</f>
        <v>0</v>
      </c>
      <c r="T44" s="51">
        <f>'C1'!T$44</f>
        <v>0</v>
      </c>
      <c r="U44" s="36">
        <f>'C1'!U$44</f>
        <v>0</v>
      </c>
      <c r="V44" s="566">
        <f>SUM(I44:K44)</f>
        <v>0</v>
      </c>
      <c r="W44" s="566">
        <f>SUM(L44:N44)</f>
        <v>0</v>
      </c>
      <c r="X44" s="566">
        <f>SUM(O44:Q44)</f>
        <v>0</v>
      </c>
      <c r="Y44" s="566">
        <f>SUM(R44:T44)</f>
        <v>0</v>
      </c>
      <c r="Z44" s="36">
        <f>'C1'!V$44</f>
        <v>0</v>
      </c>
      <c r="AA44" s="36">
        <f>'C1'!W$44</f>
        <v>0</v>
      </c>
      <c r="AB44" s="36">
        <f>'C1'!X$44</f>
        <v>0</v>
      </c>
      <c r="AC44" s="51">
        <f>'C1'!Y$44</f>
        <v>0</v>
      </c>
      <c r="AD44" s="36">
        <f>'C1'!Z$44</f>
        <v>0</v>
      </c>
      <c r="AE44" s="36">
        <f>'C1'!AA$44</f>
        <v>0</v>
      </c>
      <c r="AF44" s="36">
        <f>'C1'!AB$44</f>
        <v>0</v>
      </c>
      <c r="AG44" s="36">
        <f>'C1'!AC$44</f>
        <v>0</v>
      </c>
      <c r="AH44" s="36">
        <f>'C1'!AD$44</f>
        <v>0</v>
      </c>
      <c r="AI44" s="36">
        <f>'C1'!AE$44</f>
        <v>0</v>
      </c>
    </row>
    <row r="45" spans="2:39" x14ac:dyDescent="0.25">
      <c r="C45" s="82"/>
      <c r="D45" s="82" t="str">
        <f>'A1'!G8</f>
        <v>Home Dialysis</v>
      </c>
      <c r="I45" s="36">
        <f>'C3'!I$44</f>
        <v>12.907336547477712</v>
      </c>
      <c r="J45" s="36">
        <f>'C3'!J$44</f>
        <v>12.907336547477712</v>
      </c>
      <c r="K45" s="36">
        <f>'C3'!K$44</f>
        <v>12.907336547477716</v>
      </c>
      <c r="L45" s="36">
        <f>'C3'!L$44</f>
        <v>12.907336547477714</v>
      </c>
      <c r="M45" s="36">
        <f>'C3'!M$44</f>
        <v>12.907336547477712</v>
      </c>
      <c r="N45" s="36">
        <f>'C3'!N$44</f>
        <v>12.907336547477714</v>
      </c>
      <c r="O45" s="36">
        <f>'C3'!O$44</f>
        <v>12.907336547477712</v>
      </c>
      <c r="P45" s="36">
        <f>'C3'!P$44</f>
        <v>12.907336547477712</v>
      </c>
      <c r="Q45" s="36">
        <f>'C3'!Q$44</f>
        <v>12.907336547477714</v>
      </c>
      <c r="R45" s="36">
        <f>'C3'!R$44</f>
        <v>12.907336547477714</v>
      </c>
      <c r="S45" s="36">
        <f>'C3'!S$44</f>
        <v>12.907336547477712</v>
      </c>
      <c r="T45" s="51">
        <f>'C3'!T$44</f>
        <v>12.907336547477714</v>
      </c>
      <c r="U45" s="36">
        <f>'C3'!U$44</f>
        <v>0</v>
      </c>
      <c r="V45" s="566">
        <f>SUM(I45:K45)</f>
        <v>38.722009642433136</v>
      </c>
      <c r="W45" s="566">
        <f>SUM(L45:N45)</f>
        <v>38.722009642433136</v>
      </c>
      <c r="X45" s="566">
        <f>SUM(O45:Q45)</f>
        <v>38.722009642433136</v>
      </c>
      <c r="Y45" s="566">
        <f>SUM(R45:T45)</f>
        <v>38.722009642433136</v>
      </c>
      <c r="Z45" s="36">
        <f>'C3'!V$44</f>
        <v>38.722009642433136</v>
      </c>
      <c r="AA45" s="36">
        <f>'C3'!W$44</f>
        <v>38.722009642433143</v>
      </c>
      <c r="AB45" s="36">
        <f>'C3'!X$44</f>
        <v>38.722009642433143</v>
      </c>
      <c r="AC45" s="51">
        <f>'C3'!Y$44</f>
        <v>38.722009642433143</v>
      </c>
      <c r="AD45" s="36">
        <f>'C3'!Z$44</f>
        <v>0</v>
      </c>
      <c r="AE45" s="36">
        <f>'C3'!AA$44</f>
        <v>154.88803856973254</v>
      </c>
      <c r="AF45" s="36">
        <f>'C3'!AB$44</f>
        <v>154.88803856973254</v>
      </c>
      <c r="AG45" s="36">
        <f>'C3'!AC$44</f>
        <v>154.88803856973254</v>
      </c>
      <c r="AH45" s="36">
        <f>'C3'!AD$44</f>
        <v>154.88803856973254</v>
      </c>
      <c r="AI45" s="36">
        <f>'C3'!AE$44</f>
        <v>154.88803856973254</v>
      </c>
    </row>
    <row r="46" spans="2:39" x14ac:dyDescent="0.25">
      <c r="C46" s="82"/>
      <c r="I46" s="13"/>
      <c r="J46" s="13"/>
      <c r="K46" s="13"/>
      <c r="L46" s="13"/>
      <c r="M46" s="13"/>
      <c r="N46" s="13"/>
      <c r="O46" s="13"/>
      <c r="P46" s="13"/>
      <c r="Q46" s="13"/>
      <c r="R46" s="13"/>
      <c r="S46" s="13"/>
      <c r="T46" s="14"/>
      <c r="U46" s="381"/>
      <c r="V46" s="381"/>
      <c r="W46" s="381"/>
      <c r="X46" s="381"/>
      <c r="Y46" s="381"/>
      <c r="Z46" s="13"/>
      <c r="AA46" s="13"/>
      <c r="AB46" s="13"/>
      <c r="AC46" s="14"/>
      <c r="AD46" s="381"/>
      <c r="AE46" s="381"/>
      <c r="AF46" s="381"/>
      <c r="AG46" s="13"/>
      <c r="AH46" s="13"/>
      <c r="AI46" s="13"/>
    </row>
    <row r="47" spans="2:39" x14ac:dyDescent="0.25">
      <c r="B47" s="556" t="s">
        <v>388</v>
      </c>
      <c r="T47" s="188"/>
      <c r="AC47" s="188"/>
    </row>
    <row r="48" spans="2:39" x14ac:dyDescent="0.25">
      <c r="C48" s="1">
        <v>1</v>
      </c>
      <c r="D48" s="1" t="str">
        <f>'C8'!E88</f>
        <v>Clinical Manager</v>
      </c>
      <c r="I48" s="36">
        <f>'C8'!I88</f>
        <v>1</v>
      </c>
      <c r="J48" s="36">
        <f>'C8'!J88</f>
        <v>1</v>
      </c>
      <c r="K48" s="36">
        <f>'C8'!K88</f>
        <v>1</v>
      </c>
      <c r="L48" s="36">
        <f>'C8'!L88</f>
        <v>1</v>
      </c>
      <c r="M48" s="36">
        <f>'C8'!M88</f>
        <v>1</v>
      </c>
      <c r="N48" s="36">
        <f>'C8'!N88</f>
        <v>1</v>
      </c>
      <c r="O48" s="36">
        <f>'C8'!O88</f>
        <v>1</v>
      </c>
      <c r="P48" s="36">
        <f>'C8'!P88</f>
        <v>1</v>
      </c>
      <c r="Q48" s="36">
        <f>'C8'!Q88</f>
        <v>1</v>
      </c>
      <c r="R48" s="36">
        <f>'C8'!R88</f>
        <v>1</v>
      </c>
      <c r="S48" s="36">
        <f>'C8'!S88</f>
        <v>1</v>
      </c>
      <c r="T48" s="51">
        <f>'C8'!T88</f>
        <v>1</v>
      </c>
      <c r="U48" s="36">
        <f>'C8'!U88</f>
        <v>0</v>
      </c>
      <c r="V48" s="566">
        <f>K48</f>
        <v>1</v>
      </c>
      <c r="W48" s="566">
        <f>N48</f>
        <v>1</v>
      </c>
      <c r="X48" s="566">
        <f>Q48</f>
        <v>1</v>
      </c>
      <c r="Y48" s="566">
        <f>T48</f>
        <v>1</v>
      </c>
      <c r="Z48" s="36">
        <f>'C8'!V88</f>
        <v>1</v>
      </c>
      <c r="AA48" s="36">
        <f>'C8'!W88</f>
        <v>1</v>
      </c>
      <c r="AB48" s="36">
        <f>'C8'!X88</f>
        <v>1</v>
      </c>
      <c r="AC48" s="51">
        <f>'C8'!Y88</f>
        <v>1</v>
      </c>
      <c r="AD48" s="36">
        <f>'C8'!Z88</f>
        <v>0</v>
      </c>
      <c r="AE48" s="36">
        <f>'C8'!AA88</f>
        <v>1</v>
      </c>
      <c r="AF48" s="36">
        <f>'C8'!AB88</f>
        <v>1</v>
      </c>
      <c r="AG48" s="36">
        <f>'C8'!AC88</f>
        <v>1</v>
      </c>
      <c r="AH48" s="36">
        <f>'C8'!AD88</f>
        <v>1</v>
      </c>
      <c r="AI48" s="36">
        <f>'C8'!AE88</f>
        <v>1</v>
      </c>
      <c r="AJ48" s="36"/>
      <c r="AK48" s="36"/>
      <c r="AL48" s="36"/>
      <c r="AM48" s="36"/>
    </row>
    <row r="49" spans="3:39" x14ac:dyDescent="0.25">
      <c r="C49" s="1">
        <f t="shared" ref="C49:C56" si="13">C48+1</f>
        <v>2</v>
      </c>
      <c r="D49" s="1" t="str">
        <f>'C8'!E89</f>
        <v>Clinical Coordinator</v>
      </c>
      <c r="I49" s="36">
        <f>'C8'!I89</f>
        <v>0</v>
      </c>
      <c r="J49" s="36">
        <f>'C8'!J89</f>
        <v>0</v>
      </c>
      <c r="K49" s="36">
        <f>'C8'!K89</f>
        <v>0</v>
      </c>
      <c r="L49" s="36">
        <f>'C8'!L89</f>
        <v>0</v>
      </c>
      <c r="M49" s="36">
        <f>'C8'!M89</f>
        <v>0</v>
      </c>
      <c r="N49" s="36">
        <f>'C8'!N89</f>
        <v>0</v>
      </c>
      <c r="O49" s="36">
        <f>'C8'!O89</f>
        <v>0</v>
      </c>
      <c r="P49" s="36">
        <f>'C8'!P89</f>
        <v>0</v>
      </c>
      <c r="Q49" s="36">
        <f>'C8'!Q89</f>
        <v>0</v>
      </c>
      <c r="R49" s="36">
        <f>'C8'!R89</f>
        <v>0</v>
      </c>
      <c r="S49" s="36">
        <f>'C8'!S89</f>
        <v>0</v>
      </c>
      <c r="T49" s="51">
        <f>'C8'!T89</f>
        <v>0</v>
      </c>
      <c r="U49" s="36">
        <f>'C8'!U89</f>
        <v>0</v>
      </c>
      <c r="V49" s="566">
        <f t="shared" ref="V49:V56" si="14">K49</f>
        <v>0</v>
      </c>
      <c r="W49" s="566">
        <f t="shared" ref="W49:W56" si="15">N49</f>
        <v>0</v>
      </c>
      <c r="X49" s="566">
        <f t="shared" ref="X49:X56" si="16">Q49</f>
        <v>0</v>
      </c>
      <c r="Y49" s="566">
        <f t="shared" ref="Y49:Y56" si="17">T49</f>
        <v>0</v>
      </c>
      <c r="Z49" s="36">
        <f>'C8'!V89</f>
        <v>0</v>
      </c>
      <c r="AA49" s="36">
        <f>'C8'!W89</f>
        <v>0</v>
      </c>
      <c r="AB49" s="36">
        <f>'C8'!X89</f>
        <v>0</v>
      </c>
      <c r="AC49" s="51">
        <f>'C8'!Y89</f>
        <v>0</v>
      </c>
      <c r="AD49" s="36">
        <f>'C8'!Z89</f>
        <v>0</v>
      </c>
      <c r="AE49" s="36">
        <f>'C8'!AA89</f>
        <v>0</v>
      </c>
      <c r="AF49" s="36">
        <f>'C8'!AB89</f>
        <v>0</v>
      </c>
      <c r="AG49" s="36">
        <f>'C8'!AC89</f>
        <v>0</v>
      </c>
      <c r="AH49" s="36">
        <f>'C8'!AD89</f>
        <v>0</v>
      </c>
      <c r="AI49" s="36">
        <f>'C8'!AE89</f>
        <v>0</v>
      </c>
      <c r="AJ49" s="36"/>
      <c r="AK49" s="36"/>
      <c r="AL49" s="36"/>
      <c r="AM49" s="36"/>
    </row>
    <row r="50" spans="3:39" x14ac:dyDescent="0.25">
      <c r="C50" s="1">
        <f t="shared" si="13"/>
        <v>3</v>
      </c>
      <c r="D50" s="1" t="str">
        <f>'C8'!E90</f>
        <v>CCHT (PCT)</v>
      </c>
      <c r="I50" s="36">
        <f>'C8'!I90</f>
        <v>0</v>
      </c>
      <c r="J50" s="36">
        <f>'C8'!J90</f>
        <v>0</v>
      </c>
      <c r="K50" s="36">
        <f>'C8'!K90</f>
        <v>0</v>
      </c>
      <c r="L50" s="36">
        <f>'C8'!L90</f>
        <v>0</v>
      </c>
      <c r="M50" s="36">
        <f>'C8'!M90</f>
        <v>0</v>
      </c>
      <c r="N50" s="36">
        <f>'C8'!N90</f>
        <v>0</v>
      </c>
      <c r="O50" s="36">
        <f>'C8'!O90</f>
        <v>0</v>
      </c>
      <c r="P50" s="36">
        <f>'C8'!P90</f>
        <v>0</v>
      </c>
      <c r="Q50" s="36">
        <f>'C8'!Q90</f>
        <v>0</v>
      </c>
      <c r="R50" s="36">
        <f>'C8'!R90</f>
        <v>0</v>
      </c>
      <c r="S50" s="36">
        <f>'C8'!S90</f>
        <v>0</v>
      </c>
      <c r="T50" s="51">
        <f>'C8'!T90</f>
        <v>0</v>
      </c>
      <c r="U50" s="36">
        <f>'C8'!U90</f>
        <v>0</v>
      </c>
      <c r="V50" s="566">
        <f t="shared" si="14"/>
        <v>0</v>
      </c>
      <c r="W50" s="566">
        <f t="shared" si="15"/>
        <v>0</v>
      </c>
      <c r="X50" s="566">
        <f t="shared" si="16"/>
        <v>0</v>
      </c>
      <c r="Y50" s="566">
        <f t="shared" si="17"/>
        <v>0</v>
      </c>
      <c r="Z50" s="36">
        <f>'C8'!V90</f>
        <v>0</v>
      </c>
      <c r="AA50" s="36">
        <f>'C8'!W90</f>
        <v>0</v>
      </c>
      <c r="AB50" s="36">
        <f>'C8'!X90</f>
        <v>0</v>
      </c>
      <c r="AC50" s="51">
        <f>'C8'!Y90</f>
        <v>0</v>
      </c>
      <c r="AD50" s="36">
        <f>'C8'!Z90</f>
        <v>0</v>
      </c>
      <c r="AE50" s="36">
        <f>'C8'!AA90</f>
        <v>0</v>
      </c>
      <c r="AF50" s="36">
        <f>'C8'!AB90</f>
        <v>0</v>
      </c>
      <c r="AG50" s="36">
        <f>'C8'!AC90</f>
        <v>0</v>
      </c>
      <c r="AH50" s="36">
        <f>'C8'!AD90</f>
        <v>0</v>
      </c>
      <c r="AI50" s="36">
        <f>'C8'!AE90</f>
        <v>0</v>
      </c>
      <c r="AJ50" s="36"/>
      <c r="AK50" s="36"/>
      <c r="AL50" s="36"/>
      <c r="AM50" s="36"/>
    </row>
    <row r="51" spans="3:39" x14ac:dyDescent="0.25">
      <c r="C51" s="1">
        <f t="shared" si="13"/>
        <v>4</v>
      </c>
      <c r="D51" s="1" t="str">
        <f>'C8'!E91</f>
        <v>RN</v>
      </c>
      <c r="I51" s="36">
        <f>'C8'!I91</f>
        <v>3.2327709392981965</v>
      </c>
      <c r="J51" s="36">
        <f>'C8'!J91</f>
        <v>3.2380625647135552</v>
      </c>
      <c r="K51" s="36">
        <f>'C8'!K91</f>
        <v>3.2486631389489071</v>
      </c>
      <c r="L51" s="36">
        <f>'C8'!L91</f>
        <v>3.2592984167058474</v>
      </c>
      <c r="M51" s="36">
        <f>'C8'!M91</f>
        <v>3.2699685115946746</v>
      </c>
      <c r="N51" s="36">
        <f>'C8'!N91</f>
        <v>3.2806735375976199</v>
      </c>
      <c r="O51" s="36">
        <f>'C8'!O91</f>
        <v>3.2914136090700605</v>
      </c>
      <c r="P51" s="36">
        <f>'C8'!P91</f>
        <v>3.3021888407417439</v>
      </c>
      <c r="Q51" s="36">
        <f>'C8'!Q91</f>
        <v>3.3129993477180135</v>
      </c>
      <c r="R51" s="36">
        <f>'C8'!R91</f>
        <v>3.3238452454810372</v>
      </c>
      <c r="S51" s="36">
        <f>'C8'!S91</f>
        <v>3.3347266498910417</v>
      </c>
      <c r="T51" s="51">
        <f>'C8'!T91</f>
        <v>3.3456436771875486</v>
      </c>
      <c r="U51" s="36">
        <f>'C8'!U91</f>
        <v>0</v>
      </c>
      <c r="V51" s="566">
        <f t="shared" si="14"/>
        <v>3.2486631389489071</v>
      </c>
      <c r="W51" s="566">
        <f t="shared" si="15"/>
        <v>3.2806735375976199</v>
      </c>
      <c r="X51" s="566">
        <f t="shared" si="16"/>
        <v>3.3129993477180135</v>
      </c>
      <c r="Y51" s="566">
        <f t="shared" si="17"/>
        <v>3.3456436771875486</v>
      </c>
      <c r="Z51" s="36">
        <f>'C8'!V91</f>
        <v>3.36367777777778</v>
      </c>
      <c r="AA51" s="36">
        <f>'C8'!W91</f>
        <v>3.3888111111111128</v>
      </c>
      <c r="AB51" s="36">
        <f>'C8'!X91</f>
        <v>3.4139444444444464</v>
      </c>
      <c r="AC51" s="51">
        <f>'C8'!Y91</f>
        <v>3.4390777777777797</v>
      </c>
      <c r="AD51" s="36">
        <f>'C8'!Z91</f>
        <v>0</v>
      </c>
      <c r="AE51" s="36">
        <f>'C8'!AA91</f>
        <v>3.3456436771875486</v>
      </c>
      <c r="AF51" s="36">
        <f>'C8'!AB91</f>
        <v>3.4390777777777797</v>
      </c>
      <c r="AG51" s="36">
        <f>'C8'!AC91</f>
        <v>3.5034191111111128</v>
      </c>
      <c r="AH51" s="36">
        <f>'C8'!AD91</f>
        <v>3.6085216844444465</v>
      </c>
      <c r="AI51" s="36">
        <f>'C8'!AE91</f>
        <v>3.7167773349777797</v>
      </c>
      <c r="AJ51" s="36"/>
      <c r="AK51" s="36"/>
      <c r="AL51" s="36"/>
      <c r="AM51" s="36"/>
    </row>
    <row r="52" spans="3:39" x14ac:dyDescent="0.25">
      <c r="C52" s="1">
        <f t="shared" si="13"/>
        <v>5</v>
      </c>
      <c r="D52" s="1" t="str">
        <f>'C8'!E92</f>
        <v>Territory Tech Manager</v>
      </c>
      <c r="I52" s="36">
        <f>'C8'!I92</f>
        <v>0</v>
      </c>
      <c r="J52" s="36">
        <f>'C8'!J92</f>
        <v>0</v>
      </c>
      <c r="K52" s="36">
        <f>'C8'!K92</f>
        <v>0</v>
      </c>
      <c r="L52" s="36">
        <f>'C8'!L92</f>
        <v>0</v>
      </c>
      <c r="M52" s="36">
        <f>'C8'!M92</f>
        <v>0</v>
      </c>
      <c r="N52" s="36">
        <f>'C8'!N92</f>
        <v>0</v>
      </c>
      <c r="O52" s="36">
        <f>'C8'!O92</f>
        <v>0</v>
      </c>
      <c r="P52" s="36">
        <f>'C8'!P92</f>
        <v>0</v>
      </c>
      <c r="Q52" s="36">
        <f>'C8'!Q92</f>
        <v>0</v>
      </c>
      <c r="R52" s="36">
        <f>'C8'!R92</f>
        <v>0</v>
      </c>
      <c r="S52" s="36">
        <f>'C8'!S92</f>
        <v>0</v>
      </c>
      <c r="T52" s="51">
        <f>'C8'!T92</f>
        <v>0</v>
      </c>
      <c r="U52" s="36">
        <f>'C8'!U92</f>
        <v>0</v>
      </c>
      <c r="V52" s="566">
        <f t="shared" si="14"/>
        <v>0</v>
      </c>
      <c r="W52" s="566">
        <f t="shared" si="15"/>
        <v>0</v>
      </c>
      <c r="X52" s="566">
        <f t="shared" si="16"/>
        <v>0</v>
      </c>
      <c r="Y52" s="566">
        <f t="shared" si="17"/>
        <v>0</v>
      </c>
      <c r="Z52" s="36">
        <f>'C8'!V92</f>
        <v>0</v>
      </c>
      <c r="AA52" s="36">
        <f>'C8'!W92</f>
        <v>0</v>
      </c>
      <c r="AB52" s="36">
        <f>'C8'!X92</f>
        <v>0</v>
      </c>
      <c r="AC52" s="51">
        <f>'C8'!Y92</f>
        <v>0</v>
      </c>
      <c r="AD52" s="36">
        <f>'C8'!Z92</f>
        <v>0</v>
      </c>
      <c r="AE52" s="36">
        <f>'C8'!AA92</f>
        <v>0</v>
      </c>
      <c r="AF52" s="36">
        <f>'C8'!AB92</f>
        <v>0</v>
      </c>
      <c r="AG52" s="36">
        <f>'C8'!AC92</f>
        <v>0</v>
      </c>
      <c r="AH52" s="36">
        <f>'C8'!AD92</f>
        <v>0</v>
      </c>
      <c r="AI52" s="36">
        <f>'C8'!AE92</f>
        <v>0</v>
      </c>
      <c r="AJ52" s="36"/>
      <c r="AK52" s="36"/>
      <c r="AL52" s="36"/>
      <c r="AM52" s="36"/>
    </row>
    <row r="53" spans="3:39" x14ac:dyDescent="0.25">
      <c r="C53" s="1">
        <f t="shared" si="13"/>
        <v>6</v>
      </c>
      <c r="D53" s="1" t="str">
        <f>'C8'!E93</f>
        <v>Biomed Technician</v>
      </c>
      <c r="I53" s="36">
        <f>'C8'!I93</f>
        <v>0.2</v>
      </c>
      <c r="J53" s="36">
        <f>'C8'!J93</f>
        <v>0.2</v>
      </c>
      <c r="K53" s="36">
        <f>'C8'!K93</f>
        <v>0.2</v>
      </c>
      <c r="L53" s="36">
        <f>'C8'!L93</f>
        <v>0.2</v>
      </c>
      <c r="M53" s="36">
        <f>'C8'!M93</f>
        <v>0.2</v>
      </c>
      <c r="N53" s="36">
        <f>'C8'!N93</f>
        <v>0.2</v>
      </c>
      <c r="O53" s="36">
        <f>'C8'!O93</f>
        <v>0.2</v>
      </c>
      <c r="P53" s="36">
        <f>'C8'!P93</f>
        <v>0.2</v>
      </c>
      <c r="Q53" s="36">
        <f>'C8'!Q93</f>
        <v>0.2</v>
      </c>
      <c r="R53" s="36">
        <f>'C8'!R93</f>
        <v>0.2</v>
      </c>
      <c r="S53" s="36">
        <f>'C8'!S93</f>
        <v>0.2</v>
      </c>
      <c r="T53" s="51">
        <f>'C8'!T93</f>
        <v>0.2</v>
      </c>
      <c r="U53" s="36">
        <f>'C8'!U93</f>
        <v>0</v>
      </c>
      <c r="V53" s="566">
        <f t="shared" si="14"/>
        <v>0.2</v>
      </c>
      <c r="W53" s="566">
        <f t="shared" si="15"/>
        <v>0.2</v>
      </c>
      <c r="X53" s="566">
        <f t="shared" si="16"/>
        <v>0.2</v>
      </c>
      <c r="Y53" s="566">
        <f t="shared" si="17"/>
        <v>0.2</v>
      </c>
      <c r="Z53" s="36">
        <f>'C8'!V93</f>
        <v>0.2</v>
      </c>
      <c r="AA53" s="36">
        <f>'C8'!W93</f>
        <v>0.2</v>
      </c>
      <c r="AB53" s="36">
        <f>'C8'!X93</f>
        <v>0.2</v>
      </c>
      <c r="AC53" s="51">
        <f>'C8'!Y93</f>
        <v>0.2</v>
      </c>
      <c r="AD53" s="36">
        <f>'C8'!Z93</f>
        <v>0</v>
      </c>
      <c r="AE53" s="36">
        <f>'C8'!AA93</f>
        <v>0.2</v>
      </c>
      <c r="AF53" s="36">
        <f>'C8'!AB93</f>
        <v>0.2</v>
      </c>
      <c r="AG53" s="36">
        <f>'C8'!AC93</f>
        <v>0.2</v>
      </c>
      <c r="AH53" s="36">
        <f>'C8'!AD93</f>
        <v>0.2</v>
      </c>
      <c r="AI53" s="36">
        <f>'C8'!AE93</f>
        <v>0.2</v>
      </c>
      <c r="AJ53" s="36"/>
      <c r="AK53" s="36"/>
      <c r="AL53" s="36"/>
      <c r="AM53" s="36"/>
    </row>
    <row r="54" spans="3:39" x14ac:dyDescent="0.25">
      <c r="C54" s="1">
        <f t="shared" si="13"/>
        <v>7</v>
      </c>
      <c r="D54" s="1" t="str">
        <f>'C8'!E94</f>
        <v>Dietician</v>
      </c>
      <c r="I54" s="36">
        <f>'C8'!I94</f>
        <v>0.52899888097606851</v>
      </c>
      <c r="J54" s="36">
        <f>'C8'!J94</f>
        <v>0.52986478331676357</v>
      </c>
      <c r="K54" s="36">
        <f>'C8'!K94</f>
        <v>0.53159942273709393</v>
      </c>
      <c r="L54" s="36">
        <f>'C8'!L94</f>
        <v>0.53333974091550229</v>
      </c>
      <c r="M54" s="36">
        <f>'C8'!M94</f>
        <v>0.53508575644276501</v>
      </c>
      <c r="N54" s="36">
        <f>'C8'!N94</f>
        <v>0.53683748797051967</v>
      </c>
      <c r="O54" s="36">
        <f>'C8'!O94</f>
        <v>0.53859495421146453</v>
      </c>
      <c r="P54" s="36">
        <f>'C8'!P94</f>
        <v>0.5403581739395581</v>
      </c>
      <c r="Q54" s="36">
        <f>'C8'!Q94</f>
        <v>0.54212716599022037</v>
      </c>
      <c r="R54" s="36">
        <f>'C8'!R94</f>
        <v>0.54390194926053337</v>
      </c>
      <c r="S54" s="36">
        <f>'C8'!S94</f>
        <v>0.54568254270944316</v>
      </c>
      <c r="T54" s="51">
        <f>'C8'!T94</f>
        <v>0.54746896535796252</v>
      </c>
      <c r="U54" s="36">
        <f>'C8'!U94</f>
        <v>0</v>
      </c>
      <c r="V54" s="566">
        <f t="shared" si="14"/>
        <v>0.53159942273709393</v>
      </c>
      <c r="W54" s="566">
        <f t="shared" si="15"/>
        <v>0.53683748797051967</v>
      </c>
      <c r="X54" s="566">
        <f t="shared" si="16"/>
        <v>0.54212716599022037</v>
      </c>
      <c r="Y54" s="566">
        <f t="shared" si="17"/>
        <v>0.54746896535796252</v>
      </c>
      <c r="Z54" s="36">
        <f>'C8'!V94</f>
        <v>0.55042000000000035</v>
      </c>
      <c r="AA54" s="36">
        <f>'C8'!W94</f>
        <v>0.55453272727272751</v>
      </c>
      <c r="AB54" s="36">
        <f>'C8'!X94</f>
        <v>0.55864545454545489</v>
      </c>
      <c r="AC54" s="51">
        <f>'C8'!Y94</f>
        <v>0.56275818181818216</v>
      </c>
      <c r="AD54" s="36">
        <f>'C8'!Z94</f>
        <v>0</v>
      </c>
      <c r="AE54" s="36">
        <f>'C8'!AA94</f>
        <v>0.54746896535796252</v>
      </c>
      <c r="AF54" s="36">
        <f>'C8'!AB94</f>
        <v>0.56275818181818216</v>
      </c>
      <c r="AG54" s="36">
        <f>'C8'!AC94</f>
        <v>0.57328676363636399</v>
      </c>
      <c r="AH54" s="36">
        <f>'C8'!AD94</f>
        <v>0.59048536654545491</v>
      </c>
      <c r="AI54" s="36">
        <f>'C8'!AE94</f>
        <v>0.60819992754181851</v>
      </c>
      <c r="AJ54" s="36"/>
      <c r="AK54" s="36"/>
      <c r="AL54" s="36"/>
      <c r="AM54" s="36"/>
    </row>
    <row r="55" spans="3:39" x14ac:dyDescent="0.25">
      <c r="C55" s="1">
        <f t="shared" si="13"/>
        <v>8</v>
      </c>
      <c r="D55" s="1" t="str">
        <f>'C8'!E95</f>
        <v>Social Worker</v>
      </c>
      <c r="I55" s="36">
        <f>'C8'!I95</f>
        <v>0.52899888097606851</v>
      </c>
      <c r="J55" s="36">
        <f>'C8'!J95</f>
        <v>0.52986478331676357</v>
      </c>
      <c r="K55" s="36">
        <f>'C8'!K95</f>
        <v>0.53159942273709393</v>
      </c>
      <c r="L55" s="36">
        <f>'C8'!L95</f>
        <v>0.53333974091550229</v>
      </c>
      <c r="M55" s="36">
        <f>'C8'!M95</f>
        <v>0.53508575644276501</v>
      </c>
      <c r="N55" s="36">
        <f>'C8'!N95</f>
        <v>0.53683748797051967</v>
      </c>
      <c r="O55" s="36">
        <f>'C8'!O95</f>
        <v>0.53859495421146453</v>
      </c>
      <c r="P55" s="36">
        <f>'C8'!P95</f>
        <v>0.5403581739395581</v>
      </c>
      <c r="Q55" s="36">
        <f>'C8'!Q95</f>
        <v>0.54212716599022037</v>
      </c>
      <c r="R55" s="36">
        <f>'C8'!R95</f>
        <v>0.54390194926053337</v>
      </c>
      <c r="S55" s="36">
        <f>'C8'!S95</f>
        <v>0.54568254270944316</v>
      </c>
      <c r="T55" s="51">
        <f>'C8'!T95</f>
        <v>0.54746896535796252</v>
      </c>
      <c r="U55" s="36">
        <f>'C8'!U95</f>
        <v>0</v>
      </c>
      <c r="V55" s="566">
        <f t="shared" si="14"/>
        <v>0.53159942273709393</v>
      </c>
      <c r="W55" s="566">
        <f t="shared" si="15"/>
        <v>0.53683748797051967</v>
      </c>
      <c r="X55" s="566">
        <f t="shared" si="16"/>
        <v>0.54212716599022037</v>
      </c>
      <c r="Y55" s="566">
        <f t="shared" si="17"/>
        <v>0.54746896535796252</v>
      </c>
      <c r="Z55" s="36">
        <f>'C8'!V95</f>
        <v>0.55042000000000035</v>
      </c>
      <c r="AA55" s="36">
        <f>'C8'!W95</f>
        <v>0.55453272727272751</v>
      </c>
      <c r="AB55" s="36">
        <f>'C8'!X95</f>
        <v>0.55864545454545489</v>
      </c>
      <c r="AC55" s="51">
        <f>'C8'!Y95</f>
        <v>0.56275818181818216</v>
      </c>
      <c r="AD55" s="36">
        <f>'C8'!Z95</f>
        <v>0</v>
      </c>
      <c r="AE55" s="36">
        <f>'C8'!AA95</f>
        <v>0.54746896535796252</v>
      </c>
      <c r="AF55" s="36">
        <f>'C8'!AB95</f>
        <v>0.56275818181818216</v>
      </c>
      <c r="AG55" s="36">
        <f>'C8'!AC95</f>
        <v>0.57328676363636399</v>
      </c>
      <c r="AH55" s="36">
        <f>'C8'!AD95</f>
        <v>0.59048536654545491</v>
      </c>
      <c r="AI55" s="36">
        <f>'C8'!AE95</f>
        <v>0.60819992754181851</v>
      </c>
      <c r="AJ55" s="36"/>
      <c r="AK55" s="36"/>
      <c r="AL55" s="36"/>
      <c r="AM55" s="36"/>
    </row>
    <row r="56" spans="3:39" x14ac:dyDescent="0.25">
      <c r="C56" s="1">
        <f t="shared" si="13"/>
        <v>9</v>
      </c>
      <c r="D56" s="1" t="str">
        <f>'C8'!E96</f>
        <v>Administrative Support</v>
      </c>
      <c r="I56" s="36">
        <f>'C8'!I96</f>
        <v>1.9396625635789178</v>
      </c>
      <c r="J56" s="36">
        <f>'C8'!J96</f>
        <v>1.9428375388281331</v>
      </c>
      <c r="K56" s="36">
        <f>'C8'!K96</f>
        <v>1.9491978833693442</v>
      </c>
      <c r="L56" s="36">
        <f>'C8'!L96</f>
        <v>1.9555790500235084</v>
      </c>
      <c r="M56" s="36">
        <f>'C8'!M96</f>
        <v>1.9619811069568049</v>
      </c>
      <c r="N56" s="36">
        <f>'C8'!N96</f>
        <v>1.968404122558572</v>
      </c>
      <c r="O56" s="36">
        <f>'C8'!O96</f>
        <v>1.9748481654420365</v>
      </c>
      <c r="P56" s="36">
        <f>'C8'!P96</f>
        <v>1.9813133044450464</v>
      </c>
      <c r="Q56" s="36">
        <f>'C8'!Q96</f>
        <v>1.9877996086308081</v>
      </c>
      <c r="R56" s="36">
        <f>'C8'!R96</f>
        <v>1.9943071472886225</v>
      </c>
      <c r="S56" s="36">
        <f>'C8'!S96</f>
        <v>2.0008359899346249</v>
      </c>
      <c r="T56" s="51">
        <f>'C8'!T96</f>
        <v>2.0073862063125292</v>
      </c>
      <c r="U56" s="36">
        <f>'C8'!U96</f>
        <v>0</v>
      </c>
      <c r="V56" s="566">
        <f t="shared" si="14"/>
        <v>1.9491978833693442</v>
      </c>
      <c r="W56" s="566">
        <f t="shared" si="15"/>
        <v>1.968404122558572</v>
      </c>
      <c r="X56" s="566">
        <f t="shared" si="16"/>
        <v>1.9877996086308081</v>
      </c>
      <c r="Y56" s="566">
        <f t="shared" si="17"/>
        <v>2.0073862063125292</v>
      </c>
      <c r="Z56" s="36">
        <f>'C8'!V96</f>
        <v>2.0182066666666683</v>
      </c>
      <c r="AA56" s="36">
        <f>'C8'!W96</f>
        <v>2.0332866666666676</v>
      </c>
      <c r="AB56" s="36">
        <f>'C8'!X96</f>
        <v>2.0483666666666678</v>
      </c>
      <c r="AC56" s="51">
        <f>'C8'!Y96</f>
        <v>2.063446666666668</v>
      </c>
      <c r="AD56" s="36">
        <f>'C8'!Z96</f>
        <v>0</v>
      </c>
      <c r="AE56" s="36">
        <f>'C8'!AA96</f>
        <v>2.0073862063125292</v>
      </c>
      <c r="AF56" s="36">
        <f>'C8'!AB96</f>
        <v>2.063446666666668</v>
      </c>
      <c r="AG56" s="36">
        <f>'C8'!AC96</f>
        <v>2.1020514666666679</v>
      </c>
      <c r="AH56" s="36">
        <f>'C8'!AD96</f>
        <v>2.1651130106666678</v>
      </c>
      <c r="AI56" s="36">
        <f>'C8'!AE96</f>
        <v>2.2300664009866678</v>
      </c>
      <c r="AJ56" s="36"/>
      <c r="AK56" s="36"/>
      <c r="AL56" s="36"/>
      <c r="AM56" s="36"/>
    </row>
    <row r="57" spans="3:39" x14ac:dyDescent="0.25">
      <c r="C57" s="562" t="s">
        <v>387</v>
      </c>
      <c r="D57" s="523"/>
      <c r="E57" s="523"/>
      <c r="F57" s="523"/>
      <c r="G57" s="523"/>
      <c r="H57" s="523"/>
      <c r="I57" s="563">
        <f>SUM(I48:I56)</f>
        <v>7.4304312648292523</v>
      </c>
      <c r="J57" s="563">
        <f t="shared" ref="J57:U57" si="18">SUM(J48:J56)</f>
        <v>7.4406296701752153</v>
      </c>
      <c r="K57" s="563">
        <f t="shared" si="18"/>
        <v>7.4610598677924393</v>
      </c>
      <c r="L57" s="563">
        <f t="shared" si="18"/>
        <v>7.4815569485603604</v>
      </c>
      <c r="M57" s="563">
        <f t="shared" si="18"/>
        <v>7.5021211314370095</v>
      </c>
      <c r="N57" s="563">
        <f t="shared" si="18"/>
        <v>7.5227526360972305</v>
      </c>
      <c r="O57" s="563">
        <f t="shared" si="18"/>
        <v>7.543451682935026</v>
      </c>
      <c r="P57" s="563">
        <f t="shared" si="18"/>
        <v>7.5642184930659067</v>
      </c>
      <c r="Q57" s="563">
        <f t="shared" si="18"/>
        <v>7.585053288329263</v>
      </c>
      <c r="R57" s="563">
        <f t="shared" si="18"/>
        <v>7.6059562912907257</v>
      </c>
      <c r="S57" s="563">
        <f t="shared" si="18"/>
        <v>7.6269277252445526</v>
      </c>
      <c r="T57" s="564">
        <f t="shared" si="18"/>
        <v>7.6479678142160035</v>
      </c>
      <c r="U57" s="567">
        <f t="shared" si="18"/>
        <v>0</v>
      </c>
      <c r="V57" s="563">
        <f t="shared" ref="V57:AI57" si="19">SUM(V48:V56)</f>
        <v>7.4610598677924393</v>
      </c>
      <c r="W57" s="563">
        <f t="shared" si="19"/>
        <v>7.5227526360972305</v>
      </c>
      <c r="X57" s="563">
        <f t="shared" si="19"/>
        <v>7.585053288329263</v>
      </c>
      <c r="Y57" s="563">
        <f t="shared" si="19"/>
        <v>7.6479678142160035</v>
      </c>
      <c r="Z57" s="563">
        <f t="shared" si="19"/>
        <v>7.6827244444444496</v>
      </c>
      <c r="AA57" s="563">
        <f t="shared" si="19"/>
        <v>7.7311632323232349</v>
      </c>
      <c r="AB57" s="563">
        <f t="shared" si="19"/>
        <v>7.7796020202020237</v>
      </c>
      <c r="AC57" s="564">
        <f t="shared" si="19"/>
        <v>7.8280408080808126</v>
      </c>
      <c r="AD57" s="563">
        <f t="shared" si="19"/>
        <v>0</v>
      </c>
      <c r="AE57" s="563">
        <f t="shared" si="19"/>
        <v>7.6479678142160035</v>
      </c>
      <c r="AF57" s="563">
        <f t="shared" si="19"/>
        <v>7.8280408080808126</v>
      </c>
      <c r="AG57" s="563">
        <f t="shared" si="19"/>
        <v>7.9520441050505095</v>
      </c>
      <c r="AH57" s="563">
        <f t="shared" si="19"/>
        <v>8.1546054282020233</v>
      </c>
      <c r="AI57" s="563">
        <f t="shared" si="19"/>
        <v>8.363243591048084</v>
      </c>
      <c r="AJ57" s="36"/>
      <c r="AK57" s="36"/>
      <c r="AL57" s="36"/>
      <c r="AM57" s="36"/>
    </row>
  </sheetData>
  <printOptions horizontalCentered="1"/>
  <pageMargins left="0.5" right="0.5" top="0.75" bottom="0.5" header="0.3" footer="0.3"/>
  <pageSetup scale="46" orientation="landscape" r:id="rId1"/>
  <colBreaks count="1" manualBreakCount="1">
    <brk id="20" max="1048575" man="1"/>
  </colBreaks>
  <ignoredErrors>
    <ignoredError sqref="A1:AI10 A18:AI57 A16:H16 A17:H17 U16:Y16 U17:Y17 AD16 AD17 A13:AI15 A11:AD11 A12:AD12" unlockedFormula="1"/>
  </ignoredErrors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theme="3" tint="0.59999389629810485"/>
    <pageSetUpPr fitToPage="1"/>
  </sheetPr>
  <dimension ref="A1:U150"/>
  <sheetViews>
    <sheetView showGridLines="0" view="pageBreakPreview" zoomScale="90" zoomScaleNormal="132" zoomScaleSheetLayoutView="90" workbookViewId="0"/>
  </sheetViews>
  <sheetFormatPr defaultColWidth="8.5703125" defaultRowHeight="15" x14ac:dyDescent="0.25"/>
  <cols>
    <col min="1" max="1" width="1.5703125" style="1" customWidth="1"/>
    <col min="2" max="3" width="3" style="1" customWidth="1"/>
    <col min="4" max="4" width="15" style="1" customWidth="1"/>
    <col min="5" max="7" width="13.5703125" style="1" customWidth="1"/>
    <col min="8" max="8" width="13.5703125" style="83" customWidth="1"/>
    <col min="9" max="9" width="13.5703125" style="1" customWidth="1"/>
    <col min="10" max="10" width="14" style="1" customWidth="1"/>
    <col min="11" max="15" width="13.5703125" style="1" customWidth="1"/>
    <col min="16" max="16" width="7.5703125" style="1" customWidth="1"/>
    <col min="17" max="16384" width="8.5703125" style="1"/>
  </cols>
  <sheetData>
    <row r="1" spans="1:21" ht="6" customHeight="1" thickBot="1" x14ac:dyDescent="0.3">
      <c r="B1" s="85"/>
      <c r="C1" s="85"/>
      <c r="D1" s="86"/>
      <c r="E1" s="85"/>
      <c r="F1" s="85"/>
      <c r="G1" s="85"/>
      <c r="H1" s="383"/>
      <c r="I1" s="85"/>
      <c r="J1" s="85"/>
      <c r="K1" s="85"/>
      <c r="L1" s="85"/>
      <c r="M1" s="85"/>
      <c r="N1" s="85"/>
      <c r="O1" s="85"/>
      <c r="P1" s="85"/>
    </row>
    <row r="2" spans="1:21" ht="16.5" thickTop="1" x14ac:dyDescent="0.25">
      <c r="B2" s="110" t="str">
        <f>MainOutline!B2</f>
        <v>WB Santa Cruz</v>
      </c>
      <c r="C2" s="110"/>
      <c r="D2" s="111"/>
      <c r="E2" s="111"/>
      <c r="F2" s="111"/>
      <c r="G2" s="508" t="str">
        <f>'A1'!$C$90</f>
        <v>Acquisition of an existing facility</v>
      </c>
      <c r="H2" s="385"/>
      <c r="I2" s="111"/>
      <c r="J2" s="111"/>
      <c r="K2" s="111"/>
      <c r="L2" s="111"/>
      <c r="M2" s="111"/>
      <c r="N2" s="111"/>
      <c r="O2" s="111"/>
      <c r="P2" s="1409">
        <f>$A3</f>
        <v>8</v>
      </c>
      <c r="R2" s="1" t="s">
        <v>1049</v>
      </c>
      <c r="T2" s="1">
        <f>NonAcute</f>
        <v>2</v>
      </c>
      <c r="U2" s="1">
        <f>IF(T2&gt;0,1,0)</f>
        <v>1</v>
      </c>
    </row>
    <row r="3" spans="1:21" ht="15.75" x14ac:dyDescent="0.25">
      <c r="A3" s="123">
        <f>MainOutline!B17</f>
        <v>8</v>
      </c>
      <c r="B3" s="102" t="str">
        <f>MainOutline!C17</f>
        <v>Exhibit B2</v>
      </c>
      <c r="C3" s="102"/>
      <c r="D3" s="89"/>
      <c r="E3" s="89"/>
      <c r="F3" s="89"/>
      <c r="G3" s="936" t="str">
        <f>IF(NonAcute=0,"ANALYSIS IN THIS WORKSHEET NOT USED","")</f>
        <v/>
      </c>
      <c r="H3" s="386"/>
      <c r="I3" s="89"/>
      <c r="J3" s="89"/>
      <c r="K3" s="89"/>
      <c r="L3" s="89"/>
      <c r="M3" s="89"/>
      <c r="N3" s="89"/>
      <c r="O3" s="89"/>
      <c r="P3" s="89"/>
    </row>
    <row r="4" spans="1:21" ht="16.5" thickBot="1" x14ac:dyDescent="0.3">
      <c r="B4" s="104" t="s">
        <v>379</v>
      </c>
      <c r="C4" s="104"/>
      <c r="D4" s="97"/>
      <c r="E4" s="97"/>
      <c r="F4" s="97"/>
      <c r="G4" s="97"/>
      <c r="H4" s="387"/>
      <c r="I4" s="97"/>
      <c r="J4" s="97"/>
      <c r="K4" s="97"/>
      <c r="L4" s="97"/>
      <c r="M4" s="97"/>
      <c r="N4" s="97"/>
      <c r="O4" s="97"/>
      <c r="P4" s="388"/>
      <c r="R4" s="1">
        <f>IF(SUM(R5:S5)=0,0,1)</f>
        <v>0</v>
      </c>
      <c r="T4" s="1">
        <f>IF(SUM(T5:U5)=0,0,1)</f>
        <v>1</v>
      </c>
    </row>
    <row r="5" spans="1:21" ht="15.75" thickTop="1" x14ac:dyDescent="0.25">
      <c r="C5" s="516" t="s">
        <v>924</v>
      </c>
      <c r="E5" s="516" t="str">
        <f>'A1'!F90</f>
        <v>Base Case</v>
      </c>
      <c r="R5" s="1">
        <f>'A1'!AG9</f>
        <v>0</v>
      </c>
      <c r="S5" s="1">
        <f>'A1'!AH9</f>
        <v>0</v>
      </c>
      <c r="T5" s="1">
        <f>'A1'!AI9</f>
        <v>1</v>
      </c>
      <c r="U5" s="1">
        <f>'A1'!AJ9</f>
        <v>1</v>
      </c>
    </row>
    <row r="6" spans="1:21" x14ac:dyDescent="0.25">
      <c r="C6" s="516"/>
      <c r="E6" s="516"/>
    </row>
    <row r="7" spans="1:21" ht="17.25" x14ac:dyDescent="0.4">
      <c r="B7" s="170"/>
      <c r="C7" s="23"/>
      <c r="D7" s="23"/>
      <c r="E7" s="854" t="s">
        <v>1036</v>
      </c>
      <c r="F7" s="466"/>
      <c r="G7" s="466"/>
      <c r="H7" s="466"/>
      <c r="I7" s="927"/>
      <c r="J7" s="170"/>
      <c r="K7" s="854" t="s">
        <v>229</v>
      </c>
      <c r="L7" s="466"/>
      <c r="M7" s="466"/>
      <c r="N7" s="466"/>
      <c r="O7" s="927"/>
      <c r="R7" s="1">
        <f>'A1'!AG9</f>
        <v>0</v>
      </c>
      <c r="S7" s="1">
        <f>'A1'!AH9</f>
        <v>0</v>
      </c>
      <c r="T7" s="1">
        <f>'A1'!AI9</f>
        <v>1</v>
      </c>
      <c r="U7" s="1">
        <f>'A1'!AJ9</f>
        <v>1</v>
      </c>
    </row>
    <row r="8" spans="1:21" ht="17.25" x14ac:dyDescent="0.4">
      <c r="B8" s="172"/>
      <c r="E8" s="1322" t="str">
        <f>E24</f>
        <v>Year 1</v>
      </c>
      <c r="F8" s="1322" t="str">
        <f>F24</f>
        <v>Year 2</v>
      </c>
      <c r="G8" s="1322" t="str">
        <f>G24</f>
        <v>Year 3</v>
      </c>
      <c r="H8" s="1322" t="str">
        <f>H24</f>
        <v>Year 4</v>
      </c>
      <c r="I8" s="1323" t="str">
        <f>I24</f>
        <v>Year 5</v>
      </c>
      <c r="J8" s="1324"/>
      <c r="K8" s="1322" t="str">
        <f>K24</f>
        <v>Year 1</v>
      </c>
      <c r="L8" s="1322" t="str">
        <f>L24</f>
        <v>Year 2</v>
      </c>
      <c r="M8" s="1322" t="str">
        <f>M24</f>
        <v>Year 3</v>
      </c>
      <c r="N8" s="1322" t="str">
        <f>N24</f>
        <v>Year 4</v>
      </c>
      <c r="O8" s="1323" t="str">
        <f>O24</f>
        <v>Year 5</v>
      </c>
    </row>
    <row r="9" spans="1:21" x14ac:dyDescent="0.25">
      <c r="B9" s="172"/>
      <c r="C9" s="570" t="str">
        <f>C25</f>
        <v>Commercial</v>
      </c>
      <c r="I9" s="188"/>
      <c r="J9" s="172"/>
      <c r="O9" s="188"/>
    </row>
    <row r="10" spans="1:21" x14ac:dyDescent="0.25">
      <c r="B10" s="172"/>
      <c r="C10" s="571" t="str">
        <f t="shared" ref="C10:C17" si="0">C26</f>
        <v>Non-contracted</v>
      </c>
      <c r="E10" s="79">
        <f>K$16*E26+K$17*K26+K$18*E40+K$19*K40</f>
        <v>1.7725329644502168E-2</v>
      </c>
      <c r="F10" s="79">
        <f t="shared" ref="F10:I16" si="1">L$16*F26+L$17*L26+L$18*F40+L$19*L40</f>
        <v>1.7725329644502168E-2</v>
      </c>
      <c r="G10" s="79">
        <f t="shared" si="1"/>
        <v>1.7725329644502165E-2</v>
      </c>
      <c r="H10" s="79">
        <f t="shared" si="1"/>
        <v>1.7725329644502168E-2</v>
      </c>
      <c r="I10" s="246">
        <f t="shared" si="1"/>
        <v>1.7725329644502168E-2</v>
      </c>
      <c r="J10" s="1315" t="str">
        <f>'A1'!E9</f>
        <v>In Center</v>
      </c>
      <c r="K10" s="381">
        <f>'B1'!AE24</f>
        <v>0</v>
      </c>
      <c r="L10" s="381">
        <f>'B1'!AF24</f>
        <v>0</v>
      </c>
      <c r="M10" s="381">
        <f>'B1'!AG24</f>
        <v>0</v>
      </c>
      <c r="N10" s="381">
        <f>'B1'!AH24</f>
        <v>0</v>
      </c>
      <c r="O10" s="557">
        <f>'B1'!AI24</f>
        <v>0</v>
      </c>
    </row>
    <row r="11" spans="1:21" x14ac:dyDescent="0.25">
      <c r="B11" s="172"/>
      <c r="C11" s="571" t="str">
        <f t="shared" si="0"/>
        <v>Contracted</v>
      </c>
      <c r="E11" s="79">
        <f t="shared" ref="E11:E16" si="2">K$16*E27+K$17*K27+K$18*E41+K$19*K41</f>
        <v>0.14894133156078948</v>
      </c>
      <c r="F11" s="79">
        <f t="shared" si="1"/>
        <v>0.14894133156078945</v>
      </c>
      <c r="G11" s="79">
        <f t="shared" si="1"/>
        <v>0.14894133156078945</v>
      </c>
      <c r="H11" s="79">
        <f t="shared" si="1"/>
        <v>0.14894133156078945</v>
      </c>
      <c r="I11" s="246">
        <f t="shared" si="1"/>
        <v>0.14894133156078945</v>
      </c>
      <c r="J11" s="1315" t="str">
        <f>'A1'!F9</f>
        <v>Nocturnal</v>
      </c>
      <c r="K11" s="381">
        <f>'B1'!AE25</f>
        <v>0</v>
      </c>
      <c r="L11" s="381">
        <f>'B1'!AF25</f>
        <v>0</v>
      </c>
      <c r="M11" s="381">
        <f>'B1'!AG25</f>
        <v>0</v>
      </c>
      <c r="N11" s="381">
        <f>'B1'!AH25</f>
        <v>0</v>
      </c>
      <c r="O11" s="557">
        <f>'B1'!AI25</f>
        <v>0</v>
      </c>
    </row>
    <row r="12" spans="1:21" x14ac:dyDescent="0.25">
      <c r="B12" s="172"/>
      <c r="C12" s="571" t="str">
        <f t="shared" si="0"/>
        <v>KP</v>
      </c>
      <c r="E12" s="79">
        <f t="shared" si="2"/>
        <v>1.6143704506404476E-2</v>
      </c>
      <c r="F12" s="79">
        <f t="shared" si="1"/>
        <v>1.6143704506404476E-2</v>
      </c>
      <c r="G12" s="79">
        <f t="shared" si="1"/>
        <v>1.6143704506404472E-2</v>
      </c>
      <c r="H12" s="79">
        <f t="shared" si="1"/>
        <v>1.6143704506404476E-2</v>
      </c>
      <c r="I12" s="246">
        <f t="shared" si="1"/>
        <v>1.6143704506404476E-2</v>
      </c>
      <c r="J12" s="1315" t="str">
        <f>'A1'!G9</f>
        <v>Peritoneal</v>
      </c>
      <c r="K12" s="381">
        <f>'B1'!AE29</f>
        <v>7955.977169537513</v>
      </c>
      <c r="L12" s="381">
        <f>'B1'!AF29</f>
        <v>8233.603246982062</v>
      </c>
      <c r="M12" s="381">
        <f>'B1'!AG29</f>
        <v>8480.6113443915219</v>
      </c>
      <c r="N12" s="381">
        <f>'B1'!AH29</f>
        <v>8735.0296847232694</v>
      </c>
      <c r="O12" s="557">
        <f>'B1'!AI29</f>
        <v>8997.0805752649667</v>
      </c>
    </row>
    <row r="13" spans="1:21" ht="17.25" x14ac:dyDescent="0.4">
      <c r="B13" s="172"/>
      <c r="C13" s="570" t="str">
        <f t="shared" si="0"/>
        <v>Medicare</v>
      </c>
      <c r="E13" s="79">
        <f t="shared" si="2"/>
        <v>0.57761980932482815</v>
      </c>
      <c r="F13" s="79">
        <f t="shared" si="1"/>
        <v>0.57761980932482815</v>
      </c>
      <c r="G13" s="79">
        <f t="shared" si="1"/>
        <v>0.57761980932482804</v>
      </c>
      <c r="H13" s="79">
        <f t="shared" si="1"/>
        <v>0.57761980932482815</v>
      </c>
      <c r="I13" s="246">
        <f t="shared" si="1"/>
        <v>0.57761980932482815</v>
      </c>
      <c r="J13" s="1315" t="str">
        <f>'A1'!H9</f>
        <v>Home HD</v>
      </c>
      <c r="K13" s="560">
        <f>'B1'!AE30</f>
        <v>1207.2583158655914</v>
      </c>
      <c r="L13" s="560">
        <f>'B1'!AF30</f>
        <v>1249.3859368421058</v>
      </c>
      <c r="M13" s="560">
        <f>'B1'!AG30</f>
        <v>1286.8675149473688</v>
      </c>
      <c r="N13" s="560">
        <f>'B1'!AH30</f>
        <v>1325.47354039579</v>
      </c>
      <c r="O13" s="561">
        <f>'B1'!AI30</f>
        <v>1365.2377466076639</v>
      </c>
    </row>
    <row r="14" spans="1:21" x14ac:dyDescent="0.25">
      <c r="B14" s="172"/>
      <c r="C14" s="570" t="str">
        <f t="shared" si="0"/>
        <v>Medicaid</v>
      </c>
      <c r="E14" s="79">
        <f t="shared" si="2"/>
        <v>0.18911333866035857</v>
      </c>
      <c r="F14" s="79">
        <f t="shared" si="1"/>
        <v>0.18911333866035854</v>
      </c>
      <c r="G14" s="79">
        <f t="shared" si="1"/>
        <v>0.18911333866035851</v>
      </c>
      <c r="H14" s="79">
        <f t="shared" si="1"/>
        <v>0.18911333866035854</v>
      </c>
      <c r="I14" s="246">
        <f t="shared" si="1"/>
        <v>0.18911333866035854</v>
      </c>
      <c r="J14" s="172"/>
      <c r="K14" s="381">
        <f>SUM(K10:K13)</f>
        <v>9163.2354854031037</v>
      </c>
      <c r="L14" s="381">
        <f>SUM(L10:L13)</f>
        <v>9482.9891838241674</v>
      </c>
      <c r="M14" s="381">
        <f>SUM(M10:M13)</f>
        <v>9767.4788593388912</v>
      </c>
      <c r="N14" s="381">
        <f>SUM(N10:N13)</f>
        <v>10060.503225119059</v>
      </c>
      <c r="O14" s="557">
        <f>SUM(O10:O13)</f>
        <v>10362.31832187263</v>
      </c>
    </row>
    <row r="15" spans="1:21" x14ac:dyDescent="0.25">
      <c r="B15" s="172"/>
      <c r="C15" s="570" t="str">
        <f t="shared" si="0"/>
        <v>Other</v>
      </c>
      <c r="E15" s="79">
        <f t="shared" si="2"/>
        <v>5.0456486303117137E-2</v>
      </c>
      <c r="F15" s="79">
        <f t="shared" si="1"/>
        <v>5.045648630311713E-2</v>
      </c>
      <c r="G15" s="79">
        <f t="shared" si="1"/>
        <v>5.0456486303117123E-2</v>
      </c>
      <c r="H15" s="79">
        <f t="shared" si="1"/>
        <v>5.045648630311713E-2</v>
      </c>
      <c r="I15" s="246">
        <f t="shared" si="1"/>
        <v>5.045648630311713E-2</v>
      </c>
      <c r="J15" s="172"/>
      <c r="O15" s="188"/>
    </row>
    <row r="16" spans="1:21" x14ac:dyDescent="0.25">
      <c r="B16" s="172"/>
      <c r="C16" s="570" t="str">
        <f>C32</f>
        <v>AKI</v>
      </c>
      <c r="E16" s="637">
        <f t="shared" si="2"/>
        <v>0</v>
      </c>
      <c r="F16" s="637">
        <f t="shared" si="1"/>
        <v>0</v>
      </c>
      <c r="G16" s="637">
        <f t="shared" si="1"/>
        <v>0</v>
      </c>
      <c r="H16" s="637">
        <f t="shared" si="1"/>
        <v>0</v>
      </c>
      <c r="I16" s="1319">
        <f t="shared" si="1"/>
        <v>0</v>
      </c>
      <c r="J16" s="1315" t="str">
        <f>J10</f>
        <v>In Center</v>
      </c>
      <c r="K16" s="225">
        <f t="shared" ref="K16:O19" si="3">IF(K$14=0,0,K10/K$14)</f>
        <v>0</v>
      </c>
      <c r="L16" s="225">
        <f t="shared" si="3"/>
        <v>0</v>
      </c>
      <c r="M16" s="225">
        <f t="shared" si="3"/>
        <v>0</v>
      </c>
      <c r="N16" s="225">
        <f t="shared" si="3"/>
        <v>0</v>
      </c>
      <c r="O16" s="224">
        <f t="shared" si="3"/>
        <v>0</v>
      </c>
    </row>
    <row r="17" spans="2:18" x14ac:dyDescent="0.25">
      <c r="B17" s="172"/>
      <c r="C17" s="570" t="str">
        <f t="shared" si="0"/>
        <v>Total</v>
      </c>
      <c r="E17" s="77">
        <f>SUM(E10:E16)</f>
        <v>1</v>
      </c>
      <c r="F17" s="77">
        <f>SUM(F10:F16)</f>
        <v>0.99999999999999989</v>
      </c>
      <c r="G17" s="77">
        <f>SUM(G10:G16)</f>
        <v>0.99999999999999978</v>
      </c>
      <c r="H17" s="77">
        <f>SUM(H10:H16)</f>
        <v>0.99999999999999989</v>
      </c>
      <c r="I17" s="1320">
        <f>SUM(I10:I16)</f>
        <v>0.99999999999999989</v>
      </c>
      <c r="J17" s="1315" t="str">
        <f>J11</f>
        <v>Nocturnal</v>
      </c>
      <c r="K17" s="225">
        <f t="shared" si="3"/>
        <v>0</v>
      </c>
      <c r="L17" s="225">
        <f t="shared" si="3"/>
        <v>0</v>
      </c>
      <c r="M17" s="225">
        <f t="shared" si="3"/>
        <v>0</v>
      </c>
      <c r="N17" s="225">
        <f t="shared" si="3"/>
        <v>0</v>
      </c>
      <c r="O17" s="224">
        <f t="shared" si="3"/>
        <v>0</v>
      </c>
    </row>
    <row r="18" spans="2:18" x14ac:dyDescent="0.25">
      <c r="B18" s="172"/>
      <c r="I18" s="188"/>
      <c r="J18" s="1315" t="str">
        <f>J12</f>
        <v>Peritoneal</v>
      </c>
      <c r="K18" s="225">
        <f t="shared" si="3"/>
        <v>0.86824977729877895</v>
      </c>
      <c r="L18" s="225">
        <f t="shared" si="3"/>
        <v>0.86824977729877884</v>
      </c>
      <c r="M18" s="225">
        <f t="shared" si="3"/>
        <v>0.86824977729877872</v>
      </c>
      <c r="N18" s="225">
        <f t="shared" si="3"/>
        <v>0.86824977729877884</v>
      </c>
      <c r="O18" s="224">
        <f t="shared" si="3"/>
        <v>0.86824977729877884</v>
      </c>
    </row>
    <row r="19" spans="2:18" x14ac:dyDescent="0.25">
      <c r="B19" s="172"/>
      <c r="I19" s="188"/>
      <c r="J19" s="1315" t="str">
        <f>J13</f>
        <v>Home HD</v>
      </c>
      <c r="K19" s="1316">
        <f t="shared" si="3"/>
        <v>0.13175022270122116</v>
      </c>
      <c r="L19" s="1316">
        <f t="shared" si="3"/>
        <v>0.13175022270122119</v>
      </c>
      <c r="M19" s="1316">
        <f t="shared" si="3"/>
        <v>0.13175022270122119</v>
      </c>
      <c r="N19" s="1316">
        <f t="shared" si="3"/>
        <v>0.13175022270122119</v>
      </c>
      <c r="O19" s="1317">
        <f t="shared" si="3"/>
        <v>0.13175022270122122</v>
      </c>
    </row>
    <row r="20" spans="2:18" x14ac:dyDescent="0.25">
      <c r="B20" s="178"/>
      <c r="C20" s="46"/>
      <c r="D20" s="46"/>
      <c r="E20" s="46"/>
      <c r="F20" s="46"/>
      <c r="G20" s="46"/>
      <c r="H20" s="1321"/>
      <c r="I20" s="380"/>
      <c r="J20" s="178"/>
      <c r="K20" s="235">
        <f>SUM(K16:K19)</f>
        <v>1</v>
      </c>
      <c r="L20" s="235">
        <f>SUM(L16:L19)</f>
        <v>1</v>
      </c>
      <c r="M20" s="235">
        <f>SUM(M16:M19)</f>
        <v>0.99999999999999989</v>
      </c>
      <c r="N20" s="235">
        <f>SUM(N16:N19)</f>
        <v>1</v>
      </c>
      <c r="O20" s="1318">
        <f>SUM(O16:O19)</f>
        <v>1</v>
      </c>
    </row>
    <row r="22" spans="2:18" ht="15.75" x14ac:dyDescent="0.25">
      <c r="B22" s="568" t="str">
        <f>'A1'!E8</f>
        <v>Hemo Dialysis</v>
      </c>
      <c r="C22" s="528"/>
      <c r="D22" s="532"/>
      <c r="E22" s="549"/>
      <c r="F22" s="528"/>
      <c r="G22" s="528"/>
      <c r="H22" s="531"/>
      <c r="I22" s="528"/>
      <c r="J22" s="519"/>
      <c r="K22" s="519"/>
      <c r="L22" s="519"/>
      <c r="M22" s="519"/>
      <c r="N22" s="519"/>
      <c r="O22" s="519"/>
      <c r="P22" s="519"/>
      <c r="Q22" s="528"/>
      <c r="R22" s="528"/>
    </row>
    <row r="23" spans="2:18" s="106" customFormat="1" ht="16.5" x14ac:dyDescent="0.35">
      <c r="B23" s="533"/>
      <c r="D23" s="534"/>
      <c r="E23" s="535" t="str">
        <f>'A1'!E9</f>
        <v>In Center</v>
      </c>
      <c r="F23" s="340"/>
      <c r="G23" s="340"/>
      <c r="H23" s="340"/>
      <c r="I23" s="340"/>
      <c r="J23" s="536"/>
      <c r="K23" s="535" t="str">
        <f>'A1'!F9</f>
        <v>Nocturnal</v>
      </c>
      <c r="L23" s="340"/>
      <c r="M23" s="340"/>
      <c r="N23" s="340"/>
      <c r="O23" s="340"/>
      <c r="P23" s="536"/>
    </row>
    <row r="24" spans="2:18" s="537" customFormat="1" ht="17.25" x14ac:dyDescent="0.4">
      <c r="D24" s="569"/>
      <c r="E24" s="101" t="s">
        <v>116</v>
      </c>
      <c r="F24" s="101" t="s">
        <v>90</v>
      </c>
      <c r="G24" s="101" t="s">
        <v>91</v>
      </c>
      <c r="H24" s="101" t="s">
        <v>92</v>
      </c>
      <c r="I24" s="101" t="s">
        <v>93</v>
      </c>
      <c r="K24" s="101" t="str">
        <f>E24</f>
        <v>Year 1</v>
      </c>
      <c r="L24" s="101" t="str">
        <f>F24</f>
        <v>Year 2</v>
      </c>
      <c r="M24" s="101" t="str">
        <f>G24</f>
        <v>Year 3</v>
      </c>
      <c r="N24" s="101" t="str">
        <f>H24</f>
        <v>Year 4</v>
      </c>
      <c r="O24" s="101" t="str">
        <f>I24</f>
        <v>Year 5</v>
      </c>
      <c r="Q24" s="1310" t="s">
        <v>1032</v>
      </c>
      <c r="R24" s="1311"/>
    </row>
    <row r="25" spans="2:18" x14ac:dyDescent="0.25">
      <c r="B25" s="528"/>
      <c r="C25" s="570" t="str">
        <f>'C6'!C27</f>
        <v>Commercial</v>
      </c>
      <c r="D25" s="570"/>
      <c r="E25" s="517"/>
      <c r="F25" s="517"/>
      <c r="G25" s="517"/>
      <c r="H25" s="517"/>
      <c r="I25" s="540"/>
      <c r="J25" s="540"/>
      <c r="K25" s="540"/>
      <c r="L25" s="540"/>
      <c r="M25" s="540"/>
      <c r="N25" s="540"/>
      <c r="O25" s="540"/>
      <c r="P25" s="518"/>
      <c r="Q25" s="106" t="s">
        <v>1033</v>
      </c>
      <c r="R25" s="106"/>
    </row>
    <row r="26" spans="2:18" x14ac:dyDescent="0.25">
      <c r="B26" s="528"/>
      <c r="C26" s="571" t="str">
        <f>'C6'!C28</f>
        <v>Non-contracted</v>
      </c>
      <c r="D26" s="571"/>
      <c r="E26" s="572">
        <f>'C6'!E28</f>
        <v>0</v>
      </c>
      <c r="F26" s="572">
        <f>'C6'!F28</f>
        <v>0</v>
      </c>
      <c r="G26" s="572">
        <f>'C6'!G28</f>
        <v>0</v>
      </c>
      <c r="H26" s="572">
        <f>'C6'!H28</f>
        <v>0</v>
      </c>
      <c r="I26" s="572">
        <f>'C6'!I28</f>
        <v>0</v>
      </c>
      <c r="J26" s="573"/>
      <c r="K26" s="572">
        <f>'C6'!K28</f>
        <v>0</v>
      </c>
      <c r="L26" s="572">
        <f>'C6'!L28</f>
        <v>0</v>
      </c>
      <c r="M26" s="572">
        <f>'C6'!M28</f>
        <v>0</v>
      </c>
      <c r="N26" s="572">
        <f>'C6'!N28</f>
        <v>0</v>
      </c>
      <c r="O26" s="572">
        <f>'C6'!O28</f>
        <v>0</v>
      </c>
      <c r="P26" s="519"/>
      <c r="Q26" s="106"/>
      <c r="R26" s="106"/>
    </row>
    <row r="27" spans="2:18" x14ac:dyDescent="0.25">
      <c r="B27" s="528"/>
      <c r="C27" s="571" t="str">
        <f>'C6'!C29</f>
        <v>Contracted</v>
      </c>
      <c r="D27" s="571"/>
      <c r="E27" s="572">
        <f>'C6'!E29</f>
        <v>0</v>
      </c>
      <c r="F27" s="572">
        <f>'C6'!F29</f>
        <v>0</v>
      </c>
      <c r="G27" s="572">
        <f>'C6'!G29</f>
        <v>0</v>
      </c>
      <c r="H27" s="572">
        <f>'C6'!H29</f>
        <v>0</v>
      </c>
      <c r="I27" s="572">
        <f>'C6'!I29</f>
        <v>0</v>
      </c>
      <c r="J27" s="529"/>
      <c r="K27" s="572">
        <f>'C6'!K29</f>
        <v>0</v>
      </c>
      <c r="L27" s="572">
        <f>'C6'!L29</f>
        <v>0</v>
      </c>
      <c r="M27" s="572">
        <f>'C6'!M29</f>
        <v>0</v>
      </c>
      <c r="N27" s="572">
        <f>'C6'!N29</f>
        <v>0</v>
      </c>
      <c r="O27" s="572">
        <f>'C6'!O29</f>
        <v>0</v>
      </c>
      <c r="P27" s="528"/>
      <c r="Q27" s="106"/>
      <c r="R27" s="106"/>
    </row>
    <row r="28" spans="2:18" x14ac:dyDescent="0.25">
      <c r="B28" s="528"/>
      <c r="C28" s="571" t="str">
        <f>'C6'!C30</f>
        <v>KP</v>
      </c>
      <c r="D28" s="571"/>
      <c r="E28" s="572">
        <f>'C6'!E30</f>
        <v>0</v>
      </c>
      <c r="F28" s="572">
        <f>'C6'!F30</f>
        <v>0</v>
      </c>
      <c r="G28" s="572">
        <f>'C6'!G30</f>
        <v>0</v>
      </c>
      <c r="H28" s="572">
        <f>'C6'!H30</f>
        <v>0</v>
      </c>
      <c r="I28" s="572">
        <f>'C6'!I30</f>
        <v>0</v>
      </c>
      <c r="J28" s="573"/>
      <c r="K28" s="572">
        <f>'C6'!K30</f>
        <v>0</v>
      </c>
      <c r="L28" s="572">
        <f>'C6'!L30</f>
        <v>0</v>
      </c>
      <c r="M28" s="572">
        <f>'C6'!M30</f>
        <v>0</v>
      </c>
      <c r="N28" s="572">
        <f>'C6'!N30</f>
        <v>0</v>
      </c>
      <c r="O28" s="572">
        <f>'C6'!O30</f>
        <v>0</v>
      </c>
      <c r="P28" s="519"/>
      <c r="Q28" s="528"/>
      <c r="R28" s="528"/>
    </row>
    <row r="29" spans="2:18" x14ac:dyDescent="0.25">
      <c r="B29" s="528"/>
      <c r="C29" s="570" t="str">
        <f>'C6'!C31</f>
        <v>Medicare</v>
      </c>
      <c r="D29" s="570"/>
      <c r="E29" s="572">
        <f>'C6'!E31</f>
        <v>0</v>
      </c>
      <c r="F29" s="572">
        <f>'C6'!F31</f>
        <v>0</v>
      </c>
      <c r="G29" s="572">
        <f>'C6'!G31</f>
        <v>0</v>
      </c>
      <c r="H29" s="572">
        <f>'C6'!H31</f>
        <v>0</v>
      </c>
      <c r="I29" s="572">
        <f>'C6'!I31</f>
        <v>0</v>
      </c>
      <c r="J29" s="573"/>
      <c r="K29" s="572">
        <f>'C6'!K31</f>
        <v>0</v>
      </c>
      <c r="L29" s="572">
        <f>'C6'!L31</f>
        <v>0</v>
      </c>
      <c r="M29" s="572">
        <f>'C6'!M31</f>
        <v>0</v>
      </c>
      <c r="N29" s="572">
        <f>'C6'!N31</f>
        <v>0</v>
      </c>
      <c r="O29" s="572">
        <f>'C6'!O31</f>
        <v>0</v>
      </c>
      <c r="P29" s="519"/>
      <c r="Q29" s="528"/>
      <c r="R29" s="528"/>
    </row>
    <row r="30" spans="2:18" x14ac:dyDescent="0.25">
      <c r="B30" s="528"/>
      <c r="C30" s="570" t="str">
        <f>'C6'!C32</f>
        <v>Medicaid</v>
      </c>
      <c r="D30" s="570"/>
      <c r="E30" s="572">
        <f>'C6'!E32</f>
        <v>0</v>
      </c>
      <c r="F30" s="572">
        <f>'C6'!F32</f>
        <v>0</v>
      </c>
      <c r="G30" s="572">
        <f>'C6'!G32</f>
        <v>0</v>
      </c>
      <c r="H30" s="572">
        <f>'C6'!H32</f>
        <v>0</v>
      </c>
      <c r="I30" s="572">
        <f>'C6'!I32</f>
        <v>0</v>
      </c>
      <c r="J30" s="573"/>
      <c r="K30" s="572">
        <f>'C6'!K32</f>
        <v>0</v>
      </c>
      <c r="L30" s="572">
        <f>'C6'!L32</f>
        <v>0</v>
      </c>
      <c r="M30" s="572">
        <f>'C6'!M32</f>
        <v>0</v>
      </c>
      <c r="N30" s="572">
        <f>'C6'!N32</f>
        <v>0</v>
      </c>
      <c r="O30" s="572">
        <f>'C6'!O32</f>
        <v>0</v>
      </c>
      <c r="P30" s="519"/>
      <c r="Q30" s="528"/>
      <c r="R30" s="528"/>
    </row>
    <row r="31" spans="2:18" x14ac:dyDescent="0.25">
      <c r="B31" s="528"/>
      <c r="C31" s="570" t="str">
        <f>'C6'!C33</f>
        <v>Other</v>
      </c>
      <c r="D31" s="570"/>
      <c r="E31" s="572">
        <f>'C6'!E33</f>
        <v>0</v>
      </c>
      <c r="F31" s="572">
        <f>'C6'!F33</f>
        <v>0</v>
      </c>
      <c r="G31" s="572">
        <f>'C6'!G33</f>
        <v>0</v>
      </c>
      <c r="H31" s="572">
        <f>'C6'!H33</f>
        <v>0</v>
      </c>
      <c r="I31" s="572">
        <f>'C6'!I33</f>
        <v>0</v>
      </c>
      <c r="J31" s="573"/>
      <c r="K31" s="572">
        <f>'C6'!K33</f>
        <v>0</v>
      </c>
      <c r="L31" s="572">
        <f>'C6'!L33</f>
        <v>0</v>
      </c>
      <c r="M31" s="572">
        <f>'C6'!M33</f>
        <v>0</v>
      </c>
      <c r="N31" s="572">
        <f>'C6'!N33</f>
        <v>0</v>
      </c>
      <c r="O31" s="572">
        <f>'C6'!O33</f>
        <v>0</v>
      </c>
      <c r="P31" s="519"/>
      <c r="Q31" s="528"/>
      <c r="R31" s="528"/>
    </row>
    <row r="32" spans="2:18" x14ac:dyDescent="0.25">
      <c r="B32" s="528"/>
      <c r="C32" s="570" t="str">
        <f>'C6'!C34</f>
        <v>AKI</v>
      </c>
      <c r="D32" s="570"/>
      <c r="E32" s="574">
        <f>'C6'!E34</f>
        <v>0</v>
      </c>
      <c r="F32" s="574">
        <f>'C6'!F34</f>
        <v>0</v>
      </c>
      <c r="G32" s="574">
        <f>'C6'!G34</f>
        <v>0</v>
      </c>
      <c r="H32" s="574">
        <f>'C6'!H34</f>
        <v>0</v>
      </c>
      <c r="I32" s="574">
        <f>'C6'!I34</f>
        <v>0</v>
      </c>
      <c r="J32" s="540"/>
      <c r="K32" s="574">
        <f>'C6'!K34</f>
        <v>0</v>
      </c>
      <c r="L32" s="574">
        <f>'C6'!L34</f>
        <v>0</v>
      </c>
      <c r="M32" s="574">
        <f>'C6'!M34</f>
        <v>0</v>
      </c>
      <c r="N32" s="574">
        <f>'C6'!N34</f>
        <v>0</v>
      </c>
      <c r="O32" s="574">
        <f>'C6'!O34</f>
        <v>0</v>
      </c>
      <c r="P32" s="518"/>
      <c r="Q32" s="528"/>
      <c r="R32" s="528"/>
    </row>
    <row r="33" spans="2:18" x14ac:dyDescent="0.25">
      <c r="B33" s="528"/>
      <c r="C33" s="570" t="str">
        <f>'C6'!C35</f>
        <v>Total</v>
      </c>
      <c r="D33" s="570"/>
      <c r="E33" s="542">
        <f>SUM(E26:E32)</f>
        <v>0</v>
      </c>
      <c r="F33" s="542">
        <f>SUM(F26:F32)</f>
        <v>0</v>
      </c>
      <c r="G33" s="542">
        <f>SUM(G26:G32)</f>
        <v>0</v>
      </c>
      <c r="H33" s="542">
        <f>SUM(H26:H32)</f>
        <v>0</v>
      </c>
      <c r="I33" s="542">
        <f>SUM(I26:I32)</f>
        <v>0</v>
      </c>
      <c r="J33" s="573"/>
      <c r="K33" s="572">
        <f>SUM(K26:K32)</f>
        <v>0</v>
      </c>
      <c r="L33" s="572">
        <f>SUM(L26:L32)</f>
        <v>0</v>
      </c>
      <c r="M33" s="572">
        <f>SUM(M26:M32)</f>
        <v>0</v>
      </c>
      <c r="N33" s="572">
        <f>SUM(N26:N32)</f>
        <v>0</v>
      </c>
      <c r="O33" s="572">
        <f>SUM(O26:O32)</f>
        <v>0</v>
      </c>
      <c r="P33" s="519"/>
      <c r="Q33" s="528"/>
      <c r="R33" s="528"/>
    </row>
    <row r="34" spans="2:18" x14ac:dyDescent="0.25">
      <c r="B34" s="528"/>
      <c r="C34" s="575"/>
      <c r="D34" s="575"/>
      <c r="E34" s="529"/>
      <c r="F34" s="530"/>
      <c r="G34" s="528"/>
      <c r="H34" s="531"/>
      <c r="I34" s="528"/>
      <c r="J34" s="528"/>
      <c r="K34" s="528"/>
      <c r="L34" s="528"/>
      <c r="M34" s="528"/>
      <c r="N34" s="528"/>
      <c r="O34" s="528"/>
      <c r="P34" s="528"/>
      <c r="Q34" s="528"/>
      <c r="R34" s="528"/>
    </row>
    <row r="35" spans="2:18" x14ac:dyDescent="0.25">
      <c r="B35" s="528"/>
      <c r="C35" s="575"/>
      <c r="D35" s="575"/>
      <c r="E35" s="529"/>
      <c r="F35" s="530"/>
      <c r="G35" s="528"/>
      <c r="H35" s="531"/>
      <c r="I35" s="528"/>
      <c r="J35" s="528"/>
      <c r="K35" s="528"/>
      <c r="L35" s="528"/>
      <c r="M35" s="528"/>
      <c r="N35" s="528"/>
      <c r="O35" s="528"/>
      <c r="P35" s="528"/>
      <c r="Q35" s="528"/>
      <c r="R35" s="528"/>
    </row>
    <row r="36" spans="2:18" ht="15.75" x14ac:dyDescent="0.25">
      <c r="B36" s="568" t="str">
        <f>'A1'!G8</f>
        <v>Home Dialysis</v>
      </c>
      <c r="C36" s="575"/>
      <c r="D36" s="576"/>
      <c r="E36" s="549"/>
      <c r="F36" s="528"/>
      <c r="G36" s="528"/>
      <c r="H36" s="531"/>
      <c r="I36" s="528"/>
      <c r="J36" s="519"/>
      <c r="K36" s="519"/>
      <c r="L36" s="519"/>
      <c r="M36" s="519"/>
      <c r="N36" s="519"/>
      <c r="O36" s="519"/>
      <c r="P36" s="519"/>
      <c r="Q36" s="528"/>
      <c r="R36" s="528"/>
    </row>
    <row r="37" spans="2:18" s="106" customFormat="1" ht="16.5" x14ac:dyDescent="0.35">
      <c r="B37" s="533"/>
      <c r="C37" s="577"/>
      <c r="D37" s="578"/>
      <c r="E37" s="535" t="str">
        <f>'C6'!E39</f>
        <v>Peritoneal</v>
      </c>
      <c r="F37" s="340"/>
      <c r="G37" s="340"/>
      <c r="H37" s="340"/>
      <c r="I37" s="340"/>
      <c r="J37" s="536"/>
      <c r="K37" s="535" t="str">
        <f>'A1'!H9</f>
        <v>Home HD</v>
      </c>
      <c r="L37" s="340"/>
      <c r="M37" s="340"/>
      <c r="N37" s="340"/>
      <c r="O37" s="340"/>
      <c r="P37" s="536"/>
    </row>
    <row r="38" spans="2:18" s="537" customFormat="1" ht="17.25" x14ac:dyDescent="0.4">
      <c r="D38" s="569"/>
      <c r="E38" s="101" t="s">
        <v>116</v>
      </c>
      <c r="F38" s="101" t="s">
        <v>90</v>
      </c>
      <c r="G38" s="101" t="s">
        <v>91</v>
      </c>
      <c r="H38" s="101" t="s">
        <v>92</v>
      </c>
      <c r="I38" s="101" t="s">
        <v>93</v>
      </c>
      <c r="K38" s="101" t="str">
        <f>E38</f>
        <v>Year 1</v>
      </c>
      <c r="L38" s="101" t="str">
        <f>F38</f>
        <v>Year 2</v>
      </c>
      <c r="M38" s="101" t="str">
        <f>G38</f>
        <v>Year 3</v>
      </c>
      <c r="N38" s="101" t="str">
        <f>H38</f>
        <v>Year 4</v>
      </c>
      <c r="O38" s="101" t="str">
        <f>I38</f>
        <v>Year 5</v>
      </c>
    </row>
    <row r="39" spans="2:18" x14ac:dyDescent="0.25">
      <c r="B39" s="528"/>
      <c r="C39" s="570" t="str">
        <f t="shared" ref="C39:C47" si="4">C25</f>
        <v>Commercial</v>
      </c>
      <c r="D39" s="570"/>
      <c r="E39" s="517"/>
      <c r="F39" s="517"/>
      <c r="G39" s="517"/>
      <c r="H39" s="517"/>
      <c r="I39" s="540"/>
      <c r="J39" s="540"/>
      <c r="K39" s="540"/>
      <c r="L39" s="540"/>
      <c r="M39" s="540"/>
      <c r="N39" s="540"/>
      <c r="O39" s="540"/>
      <c r="P39" s="518"/>
      <c r="Q39" s="528"/>
      <c r="R39" s="528"/>
    </row>
    <row r="40" spans="2:18" x14ac:dyDescent="0.25">
      <c r="B40" s="528"/>
      <c r="C40" s="571" t="str">
        <f t="shared" si="4"/>
        <v>Non-contracted</v>
      </c>
      <c r="D40" s="571"/>
      <c r="E40" s="572">
        <f>'C6'!E43</f>
        <v>2.0415012025281055E-2</v>
      </c>
      <c r="F40" s="572">
        <f>'C6'!F43</f>
        <v>2.0415012025281055E-2</v>
      </c>
      <c r="G40" s="572">
        <f>'C6'!G43</f>
        <v>2.0415012025281055E-2</v>
      </c>
      <c r="H40" s="572">
        <f>'C6'!H43</f>
        <v>2.0415012025281055E-2</v>
      </c>
      <c r="I40" s="572">
        <f>'C6'!I43</f>
        <v>2.0415012025281055E-2</v>
      </c>
      <c r="J40" s="573"/>
      <c r="K40" s="572">
        <f>'C6'!K43</f>
        <v>0</v>
      </c>
      <c r="L40" s="572">
        <f>'C6'!L43</f>
        <v>0</v>
      </c>
      <c r="M40" s="572">
        <f>'C6'!M43</f>
        <v>0</v>
      </c>
      <c r="N40" s="572">
        <f>'C6'!N43</f>
        <v>0</v>
      </c>
      <c r="O40" s="572">
        <f>'C6'!O43</f>
        <v>0</v>
      </c>
      <c r="P40" s="519"/>
      <c r="Q40" s="528"/>
      <c r="R40" s="528"/>
    </row>
    <row r="41" spans="2:18" x14ac:dyDescent="0.25">
      <c r="B41" s="528"/>
      <c r="C41" s="571" t="str">
        <f t="shared" si="4"/>
        <v>Contracted</v>
      </c>
      <c r="D41" s="571"/>
      <c r="E41" s="572">
        <f>'C6'!E44</f>
        <v>0.17154203255215617</v>
      </c>
      <c r="F41" s="572">
        <f>'C6'!F44</f>
        <v>0.17154203255215617</v>
      </c>
      <c r="G41" s="572">
        <f>'C6'!G44</f>
        <v>0.17154203255215617</v>
      </c>
      <c r="H41" s="572">
        <f>'C6'!H44</f>
        <v>0.17154203255215617</v>
      </c>
      <c r="I41" s="572">
        <f>'C6'!I44</f>
        <v>0.17154203255215617</v>
      </c>
      <c r="J41" s="529"/>
      <c r="K41" s="572">
        <f>'C6'!K44</f>
        <v>0</v>
      </c>
      <c r="L41" s="572">
        <f>'C6'!L44</f>
        <v>0</v>
      </c>
      <c r="M41" s="572">
        <f>'C6'!M44</f>
        <v>0</v>
      </c>
      <c r="N41" s="572">
        <f>'C6'!N44</f>
        <v>0</v>
      </c>
      <c r="O41" s="572">
        <f>'C6'!O44</f>
        <v>0</v>
      </c>
      <c r="P41" s="528"/>
      <c r="Q41" s="528"/>
      <c r="R41" s="528"/>
    </row>
    <row r="42" spans="2:18" x14ac:dyDescent="0.25">
      <c r="B42" s="528"/>
      <c r="C42" s="571" t="str">
        <f t="shared" si="4"/>
        <v>KP</v>
      </c>
      <c r="D42" s="571"/>
      <c r="E42" s="572">
        <f>'C6'!E45</f>
        <v>1.6164215000838974E-2</v>
      </c>
      <c r="F42" s="572">
        <f>'C6'!F45</f>
        <v>1.6164215000838974E-2</v>
      </c>
      <c r="G42" s="572">
        <f>'C6'!G45</f>
        <v>1.6164215000838974E-2</v>
      </c>
      <c r="H42" s="572">
        <f>'C6'!H45</f>
        <v>1.6164215000838974E-2</v>
      </c>
      <c r="I42" s="572">
        <f>'C6'!I45</f>
        <v>1.6164215000838974E-2</v>
      </c>
      <c r="J42" s="573"/>
      <c r="K42" s="572">
        <f>'C6'!K45</f>
        <v>1.6008537886872998E-2</v>
      </c>
      <c r="L42" s="572">
        <f>'C6'!L45</f>
        <v>1.6008537886872998E-2</v>
      </c>
      <c r="M42" s="572">
        <f>'C6'!M45</f>
        <v>1.6008537886872998E-2</v>
      </c>
      <c r="N42" s="572">
        <f>'C6'!N45</f>
        <v>1.6008537886872998E-2</v>
      </c>
      <c r="O42" s="572">
        <f>'C6'!O45</f>
        <v>1.6008537886872998E-2</v>
      </c>
      <c r="P42" s="519"/>
      <c r="Q42" s="528"/>
      <c r="R42" s="528"/>
    </row>
    <row r="43" spans="2:18" x14ac:dyDescent="0.25">
      <c r="B43" s="528"/>
      <c r="C43" s="570" t="str">
        <f t="shared" si="4"/>
        <v>Medicare</v>
      </c>
      <c r="D43" s="570"/>
      <c r="E43" s="572">
        <f>'C6'!E46</f>
        <v>0.5187091000615246</v>
      </c>
      <c r="F43" s="572">
        <f>'C6'!F46</f>
        <v>0.5187091000615246</v>
      </c>
      <c r="G43" s="572">
        <f>'C6'!G46</f>
        <v>0.5187091000615246</v>
      </c>
      <c r="H43" s="572">
        <f>'C6'!H46</f>
        <v>0.5187091000615246</v>
      </c>
      <c r="I43" s="572">
        <f>'C6'!I46</f>
        <v>0.5187091000615246</v>
      </c>
      <c r="J43" s="573"/>
      <c r="K43" s="572">
        <f>'C6'!K46</f>
        <v>0.96584845250800422</v>
      </c>
      <c r="L43" s="572">
        <f>'C6'!L46</f>
        <v>0.96584845250800422</v>
      </c>
      <c r="M43" s="572">
        <f>'C6'!M46</f>
        <v>0.96584845250800422</v>
      </c>
      <c r="N43" s="572">
        <f>'C6'!N46</f>
        <v>0.96584845250800422</v>
      </c>
      <c r="O43" s="572">
        <f>'C6'!O46</f>
        <v>0.96584845250800422</v>
      </c>
      <c r="P43" s="519"/>
      <c r="Q43" s="528"/>
      <c r="R43" s="528"/>
    </row>
    <row r="44" spans="2:18" x14ac:dyDescent="0.25">
      <c r="B44" s="528"/>
      <c r="C44" s="570" t="str">
        <f t="shared" si="4"/>
        <v>Medicaid</v>
      </c>
      <c r="D44" s="570"/>
      <c r="E44" s="572">
        <f>'C6'!E47</f>
        <v>0.21505677051289218</v>
      </c>
      <c r="F44" s="572">
        <f>'C6'!F47</f>
        <v>0.21505677051289218</v>
      </c>
      <c r="G44" s="572">
        <f>'C6'!G47</f>
        <v>0.21505677051289218</v>
      </c>
      <c r="H44" s="572">
        <f>'C6'!H47</f>
        <v>0.21505677051289218</v>
      </c>
      <c r="I44" s="572">
        <f>'C6'!I47</f>
        <v>0.21505677051289218</v>
      </c>
      <c r="J44" s="573"/>
      <c r="K44" s="572">
        <f>'C6'!K47</f>
        <v>1.8143009605122731E-2</v>
      </c>
      <c r="L44" s="572">
        <f>'C6'!L47</f>
        <v>1.8143009605122731E-2</v>
      </c>
      <c r="M44" s="572">
        <f>'C6'!M47</f>
        <v>1.8143009605122731E-2</v>
      </c>
      <c r="N44" s="572">
        <f>'C6'!N47</f>
        <v>1.8143009605122731E-2</v>
      </c>
      <c r="O44" s="572">
        <f>'C6'!O47</f>
        <v>1.8143009605122731E-2</v>
      </c>
      <c r="P44" s="519"/>
      <c r="Q44" s="528"/>
      <c r="R44" s="528"/>
    </row>
    <row r="45" spans="2:18" x14ac:dyDescent="0.25">
      <c r="B45" s="528"/>
      <c r="C45" s="570" t="str">
        <f t="shared" si="4"/>
        <v>Other</v>
      </c>
      <c r="D45" s="570"/>
      <c r="E45" s="572">
        <f>'C6'!E48</f>
        <v>5.8112869847306896E-2</v>
      </c>
      <c r="F45" s="572">
        <f>'C6'!F48</f>
        <v>5.8112869847306896E-2</v>
      </c>
      <c r="G45" s="572">
        <f>'C6'!G48</f>
        <v>5.8112869847306896E-2</v>
      </c>
      <c r="H45" s="572">
        <f>'C6'!H48</f>
        <v>5.8112869847306896E-2</v>
      </c>
      <c r="I45" s="572">
        <f>'C6'!I48</f>
        <v>5.8112869847306896E-2</v>
      </c>
      <c r="J45" s="573"/>
      <c r="K45" s="572">
        <f>'C6'!K48</f>
        <v>0</v>
      </c>
      <c r="L45" s="572">
        <f>'C6'!L48</f>
        <v>0</v>
      </c>
      <c r="M45" s="572">
        <f>'C6'!M48</f>
        <v>0</v>
      </c>
      <c r="N45" s="572">
        <f>'C6'!N48</f>
        <v>0</v>
      </c>
      <c r="O45" s="572">
        <f>'C6'!O48</f>
        <v>0</v>
      </c>
      <c r="P45" s="519"/>
      <c r="Q45" s="528"/>
      <c r="R45" s="528"/>
    </row>
    <row r="46" spans="2:18" x14ac:dyDescent="0.25">
      <c r="B46" s="528"/>
      <c r="C46" s="570" t="str">
        <f t="shared" si="4"/>
        <v>AKI</v>
      </c>
      <c r="D46" s="570"/>
      <c r="E46" s="574">
        <f>'C6'!E49</f>
        <v>0</v>
      </c>
      <c r="F46" s="574">
        <f>'C6'!F49</f>
        <v>0</v>
      </c>
      <c r="G46" s="574">
        <f>'C6'!G49</f>
        <v>0</v>
      </c>
      <c r="H46" s="574">
        <f>'C6'!H49</f>
        <v>0</v>
      </c>
      <c r="I46" s="574">
        <f>'C6'!I49</f>
        <v>0</v>
      </c>
      <c r="J46" s="540"/>
      <c r="K46" s="574">
        <f>'C6'!K49</f>
        <v>0</v>
      </c>
      <c r="L46" s="574">
        <f>'C6'!L49</f>
        <v>0</v>
      </c>
      <c r="M46" s="574">
        <f>'C6'!M49</f>
        <v>0</v>
      </c>
      <c r="N46" s="574">
        <f>'C6'!N49</f>
        <v>0</v>
      </c>
      <c r="O46" s="574">
        <f>'C6'!O49</f>
        <v>0</v>
      </c>
      <c r="P46" s="518"/>
      <c r="Q46" s="528"/>
      <c r="R46" s="528"/>
    </row>
    <row r="47" spans="2:18" x14ac:dyDescent="0.25">
      <c r="B47" s="528"/>
      <c r="C47" s="570" t="str">
        <f t="shared" si="4"/>
        <v>Total</v>
      </c>
      <c r="D47" s="570"/>
      <c r="E47" s="572">
        <f>SUM(E40:E46)</f>
        <v>0.99999999999999989</v>
      </c>
      <c r="F47" s="572">
        <f>SUM(F40:F46)</f>
        <v>0.99999999999999989</v>
      </c>
      <c r="G47" s="572">
        <f>SUM(G40:G46)</f>
        <v>0.99999999999999989</v>
      </c>
      <c r="H47" s="572">
        <f>SUM(H40:H46)</f>
        <v>0.99999999999999989</v>
      </c>
      <c r="I47" s="572">
        <f>SUM(I40:I46)</f>
        <v>0.99999999999999989</v>
      </c>
      <c r="J47" s="573"/>
      <c r="K47" s="572">
        <f>SUM(K40:K46)</f>
        <v>0.99999999999999989</v>
      </c>
      <c r="L47" s="572">
        <f>SUM(L40:L46)</f>
        <v>0.99999999999999989</v>
      </c>
      <c r="M47" s="572">
        <f>SUM(M40:M46)</f>
        <v>0.99999999999999989</v>
      </c>
      <c r="N47" s="572">
        <f>SUM(N40:N46)</f>
        <v>0.99999999999999989</v>
      </c>
      <c r="O47" s="572">
        <f>SUM(O40:O46)</f>
        <v>0.99999999999999989</v>
      </c>
      <c r="P47" s="519"/>
      <c r="Q47" s="528"/>
      <c r="R47" s="528"/>
    </row>
    <row r="48" spans="2:18" x14ac:dyDescent="0.25">
      <c r="B48" s="528"/>
      <c r="C48" s="570"/>
      <c r="D48" s="579"/>
      <c r="E48" s="549"/>
      <c r="F48" s="528"/>
      <c r="G48" s="528"/>
      <c r="H48" s="531"/>
      <c r="I48" s="519"/>
      <c r="J48" s="519"/>
      <c r="K48" s="519"/>
      <c r="L48" s="519"/>
      <c r="M48" s="519"/>
      <c r="N48" s="519"/>
      <c r="O48" s="519"/>
      <c r="P48" s="519"/>
      <c r="Q48" s="528"/>
      <c r="R48" s="528"/>
    </row>
    <row r="49" spans="2:18" x14ac:dyDescent="0.25">
      <c r="B49" s="528"/>
      <c r="C49" s="575"/>
      <c r="D49" s="576"/>
      <c r="E49" s="549"/>
      <c r="F49" s="528"/>
      <c r="G49" s="528"/>
      <c r="H49" s="531"/>
      <c r="I49" s="519"/>
      <c r="J49" s="519"/>
      <c r="K49" s="519"/>
      <c r="L49" s="519"/>
      <c r="M49" s="519"/>
      <c r="N49" s="519"/>
      <c r="O49" s="519"/>
      <c r="P49" s="519"/>
      <c r="Q49" s="528"/>
      <c r="R49" s="528"/>
    </row>
    <row r="50" spans="2:18" x14ac:dyDescent="0.25">
      <c r="B50" s="528"/>
      <c r="C50" s="575"/>
      <c r="D50" s="579"/>
      <c r="E50" s="549"/>
      <c r="F50" s="528"/>
      <c r="G50" s="528"/>
      <c r="H50" s="531"/>
      <c r="I50" s="519"/>
      <c r="J50" s="519"/>
      <c r="K50" s="519"/>
      <c r="L50" s="519"/>
      <c r="M50" s="519"/>
      <c r="N50" s="519"/>
      <c r="O50" s="519"/>
      <c r="P50" s="519"/>
      <c r="Q50" s="528"/>
      <c r="R50" s="528"/>
    </row>
    <row r="51" spans="2:18" x14ac:dyDescent="0.25">
      <c r="B51" s="528"/>
      <c r="C51" s="528"/>
      <c r="D51" s="532"/>
      <c r="E51" s="549"/>
      <c r="F51" s="528"/>
      <c r="G51" s="528"/>
      <c r="H51" s="531"/>
      <c r="I51" s="519"/>
      <c r="J51" s="519"/>
      <c r="K51" s="519"/>
      <c r="L51" s="519"/>
      <c r="M51" s="519"/>
      <c r="N51" s="519"/>
      <c r="O51" s="519"/>
      <c r="P51" s="519"/>
      <c r="Q51" s="528"/>
      <c r="R51" s="528"/>
    </row>
    <row r="52" spans="2:18" x14ac:dyDescent="0.25">
      <c r="B52" s="528"/>
      <c r="C52" s="516"/>
      <c r="D52" s="516"/>
      <c r="E52" s="516"/>
      <c r="F52" s="516"/>
      <c r="G52" s="516"/>
      <c r="H52" s="550"/>
      <c r="I52" s="518"/>
      <c r="J52" s="518"/>
      <c r="K52" s="518"/>
      <c r="L52" s="518"/>
      <c r="M52" s="518"/>
      <c r="N52" s="518"/>
      <c r="O52" s="518"/>
      <c r="P52" s="518"/>
      <c r="Q52" s="528"/>
      <c r="R52" s="528"/>
    </row>
    <row r="53" spans="2:18" x14ac:dyDescent="0.25">
      <c r="B53" s="528"/>
      <c r="C53" s="528"/>
      <c r="D53" s="528"/>
      <c r="E53" s="530"/>
      <c r="F53" s="530"/>
      <c r="G53" s="528"/>
      <c r="H53" s="580"/>
      <c r="I53" s="519"/>
      <c r="J53" s="519"/>
      <c r="K53" s="519"/>
      <c r="L53" s="519"/>
      <c r="M53" s="519"/>
      <c r="N53" s="519"/>
      <c r="O53" s="519"/>
      <c r="P53" s="519"/>
      <c r="Q53" s="528"/>
      <c r="R53" s="528"/>
    </row>
    <row r="54" spans="2:18" x14ac:dyDescent="0.25">
      <c r="B54" s="528"/>
      <c r="C54" s="528"/>
      <c r="D54" s="528"/>
      <c r="E54" s="528"/>
      <c r="F54" s="528"/>
      <c r="G54" s="528"/>
      <c r="H54" s="531"/>
      <c r="I54" s="528"/>
      <c r="J54" s="528"/>
      <c r="K54" s="528"/>
      <c r="L54" s="528"/>
      <c r="M54" s="528"/>
      <c r="N54" s="528"/>
      <c r="O54" s="528"/>
      <c r="P54" s="528"/>
      <c r="Q54" s="528"/>
      <c r="R54" s="528"/>
    </row>
    <row r="55" spans="2:18" x14ac:dyDescent="0.25">
      <c r="B55" s="528"/>
      <c r="C55" s="528"/>
      <c r="D55" s="528"/>
      <c r="E55" s="528"/>
      <c r="F55" s="528"/>
      <c r="G55" s="528"/>
      <c r="H55" s="531"/>
      <c r="I55" s="528"/>
      <c r="J55" s="528"/>
      <c r="K55" s="528"/>
      <c r="L55" s="528"/>
      <c r="M55" s="528"/>
      <c r="N55" s="528"/>
      <c r="O55" s="528"/>
      <c r="P55" s="528"/>
      <c r="Q55" s="528"/>
      <c r="R55" s="528"/>
    </row>
    <row r="56" spans="2:18" x14ac:dyDescent="0.25">
      <c r="B56" s="528"/>
      <c r="C56" s="528"/>
      <c r="D56" s="528"/>
      <c r="E56" s="528"/>
      <c r="F56" s="528"/>
      <c r="G56" s="528"/>
      <c r="H56" s="531"/>
      <c r="I56" s="528"/>
      <c r="J56" s="528"/>
      <c r="K56" s="528"/>
      <c r="L56" s="528"/>
      <c r="M56" s="528"/>
      <c r="N56" s="528"/>
      <c r="O56" s="528"/>
      <c r="P56" s="528"/>
      <c r="Q56" s="528"/>
      <c r="R56" s="528"/>
    </row>
    <row r="57" spans="2:18" ht="14.1" customHeight="1" x14ac:dyDescent="0.25">
      <c r="B57" s="528"/>
      <c r="C57" s="528"/>
      <c r="D57" s="549"/>
      <c r="E57" s="528"/>
      <c r="F57" s="528"/>
      <c r="G57" s="528"/>
      <c r="H57" s="531"/>
      <c r="I57" s="519"/>
      <c r="J57" s="519"/>
      <c r="K57" s="519"/>
      <c r="L57" s="519"/>
      <c r="M57" s="519"/>
      <c r="N57" s="519"/>
      <c r="O57" s="519"/>
      <c r="P57" s="519"/>
      <c r="Q57" s="528"/>
      <c r="R57" s="528"/>
    </row>
    <row r="58" spans="2:18" x14ac:dyDescent="0.25">
      <c r="B58" s="528"/>
      <c r="C58" s="528"/>
      <c r="D58" s="549"/>
      <c r="E58" s="528"/>
      <c r="F58" s="528"/>
      <c r="G58" s="528"/>
      <c r="H58" s="531"/>
      <c r="I58" s="519"/>
      <c r="J58" s="519"/>
      <c r="K58" s="519"/>
      <c r="L58" s="519"/>
      <c r="M58" s="519"/>
      <c r="N58" s="519"/>
      <c r="O58" s="519"/>
      <c r="P58" s="519"/>
      <c r="Q58" s="528"/>
      <c r="R58" s="528"/>
    </row>
    <row r="59" spans="2:18" x14ac:dyDescent="0.25">
      <c r="B59" s="528"/>
      <c r="C59" s="528"/>
      <c r="D59" s="549"/>
      <c r="E59" s="528"/>
      <c r="F59" s="528"/>
      <c r="G59" s="528"/>
      <c r="H59" s="531"/>
      <c r="I59" s="519"/>
      <c r="J59" s="519"/>
      <c r="K59" s="519"/>
      <c r="L59" s="519"/>
      <c r="M59" s="519"/>
      <c r="N59" s="519"/>
      <c r="O59" s="519"/>
      <c r="P59" s="519"/>
      <c r="Q59" s="528"/>
      <c r="R59" s="528"/>
    </row>
    <row r="60" spans="2:18" ht="14.1" customHeight="1" x14ac:dyDescent="0.25">
      <c r="B60" s="528"/>
      <c r="C60" s="528"/>
      <c r="D60" s="549"/>
      <c r="E60" s="528"/>
      <c r="F60" s="528"/>
      <c r="G60" s="528"/>
      <c r="H60" s="531"/>
      <c r="I60" s="519"/>
      <c r="J60" s="519"/>
      <c r="K60" s="519"/>
      <c r="L60" s="519"/>
      <c r="M60" s="519"/>
      <c r="N60" s="519"/>
      <c r="O60" s="519"/>
      <c r="P60" s="519"/>
      <c r="Q60" s="528"/>
      <c r="R60" s="528"/>
    </row>
    <row r="61" spans="2:18" x14ac:dyDescent="0.25">
      <c r="B61" s="528"/>
      <c r="C61" s="528"/>
      <c r="D61" s="549"/>
      <c r="E61" s="528"/>
      <c r="F61" s="528"/>
      <c r="G61" s="528"/>
      <c r="H61" s="531"/>
      <c r="I61" s="519"/>
      <c r="J61" s="519"/>
      <c r="K61" s="519"/>
      <c r="L61" s="519"/>
      <c r="M61" s="519"/>
      <c r="N61" s="519"/>
      <c r="O61" s="519"/>
      <c r="P61" s="519"/>
      <c r="Q61" s="528"/>
      <c r="R61" s="528"/>
    </row>
    <row r="62" spans="2:18" s="516" customFormat="1" x14ac:dyDescent="0.25">
      <c r="H62" s="550"/>
      <c r="I62" s="518"/>
      <c r="J62" s="518"/>
      <c r="K62" s="518"/>
      <c r="L62" s="518"/>
      <c r="M62" s="518"/>
      <c r="N62" s="518"/>
      <c r="O62" s="518"/>
      <c r="P62" s="518"/>
    </row>
    <row r="63" spans="2:18" x14ac:dyDescent="0.25">
      <c r="B63" s="528"/>
      <c r="C63" s="528"/>
      <c r="D63" s="528"/>
      <c r="E63" s="528"/>
      <c r="F63" s="528"/>
      <c r="G63" s="528"/>
      <c r="H63" s="531"/>
      <c r="I63" s="581"/>
      <c r="J63" s="581"/>
      <c r="K63" s="581"/>
      <c r="L63" s="581"/>
      <c r="M63" s="581"/>
      <c r="N63" s="581"/>
      <c r="O63" s="581"/>
      <c r="P63" s="581"/>
      <c r="Q63" s="528"/>
      <c r="R63" s="528"/>
    </row>
    <row r="64" spans="2:18" x14ac:dyDescent="0.25">
      <c r="B64" s="528"/>
      <c r="C64" s="528"/>
      <c r="D64" s="528"/>
      <c r="E64" s="528"/>
      <c r="F64" s="528"/>
      <c r="G64" s="528"/>
      <c r="H64" s="531"/>
      <c r="I64" s="528"/>
      <c r="J64" s="528"/>
      <c r="K64" s="528"/>
      <c r="L64" s="528"/>
      <c r="M64" s="528"/>
      <c r="N64" s="528"/>
      <c r="O64" s="528"/>
      <c r="P64" s="528"/>
      <c r="Q64" s="528"/>
      <c r="R64" s="528"/>
    </row>
    <row r="65" spans="2:18" ht="14.1" customHeight="1" x14ac:dyDescent="0.25">
      <c r="B65" s="528"/>
      <c r="C65" s="528"/>
      <c r="D65" s="549"/>
      <c r="E65" s="528"/>
      <c r="F65" s="528"/>
      <c r="G65" s="528"/>
      <c r="H65" s="531"/>
      <c r="I65" s="519"/>
      <c r="J65" s="519"/>
      <c r="K65" s="519"/>
      <c r="L65" s="519"/>
      <c r="M65" s="519"/>
      <c r="N65" s="519"/>
      <c r="O65" s="519"/>
      <c r="P65" s="519"/>
      <c r="Q65" s="528"/>
      <c r="R65" s="528"/>
    </row>
    <row r="66" spans="2:18" x14ac:dyDescent="0.25">
      <c r="B66" s="528"/>
      <c r="C66" s="528"/>
      <c r="D66" s="549"/>
      <c r="E66" s="528"/>
      <c r="F66" s="528"/>
      <c r="G66" s="528"/>
      <c r="H66" s="531"/>
      <c r="I66" s="519"/>
      <c r="J66" s="519"/>
      <c r="K66" s="519"/>
      <c r="L66" s="519"/>
      <c r="M66" s="519"/>
      <c r="N66" s="519"/>
      <c r="O66" s="519"/>
      <c r="P66" s="519"/>
      <c r="Q66" s="528"/>
      <c r="R66" s="528"/>
    </row>
    <row r="67" spans="2:18" x14ac:dyDescent="0.25">
      <c r="B67" s="528"/>
      <c r="C67" s="528"/>
      <c r="D67" s="549"/>
      <c r="E67" s="528"/>
      <c r="F67" s="528"/>
      <c r="G67" s="528"/>
      <c r="H67" s="531"/>
      <c r="I67" s="519"/>
      <c r="J67" s="519"/>
      <c r="K67" s="519"/>
      <c r="L67" s="519"/>
      <c r="M67" s="519"/>
      <c r="N67" s="519"/>
      <c r="O67" s="519"/>
      <c r="P67" s="519"/>
      <c r="Q67" s="528"/>
      <c r="R67" s="528"/>
    </row>
    <row r="68" spans="2:18" ht="14.1" customHeight="1" x14ac:dyDescent="0.25">
      <c r="B68" s="528"/>
      <c r="C68" s="528"/>
      <c r="D68" s="549"/>
      <c r="E68" s="528"/>
      <c r="F68" s="528"/>
      <c r="G68" s="528"/>
      <c r="H68" s="531"/>
      <c r="I68" s="519"/>
      <c r="J68" s="519"/>
      <c r="K68" s="519"/>
      <c r="L68" s="519"/>
      <c r="M68" s="519"/>
      <c r="N68" s="519"/>
      <c r="O68" s="519"/>
      <c r="P68" s="519"/>
      <c r="Q68" s="528"/>
      <c r="R68" s="528"/>
    </row>
    <row r="69" spans="2:18" x14ac:dyDescent="0.25">
      <c r="B69" s="528"/>
      <c r="C69" s="528"/>
      <c r="D69" s="549"/>
      <c r="E69" s="528"/>
      <c r="F69" s="528"/>
      <c r="G69" s="528"/>
      <c r="H69" s="531"/>
      <c r="I69" s="519"/>
      <c r="J69" s="519"/>
      <c r="K69" s="519"/>
      <c r="L69" s="519"/>
      <c r="M69" s="519"/>
      <c r="N69" s="519"/>
      <c r="O69" s="519"/>
      <c r="P69" s="519"/>
      <c r="Q69" s="528"/>
      <c r="R69" s="528"/>
    </row>
    <row r="70" spans="2:18" x14ac:dyDescent="0.25">
      <c r="B70" s="528"/>
      <c r="C70" s="516"/>
      <c r="D70" s="516"/>
      <c r="E70" s="516"/>
      <c r="F70" s="516"/>
      <c r="G70" s="516"/>
      <c r="H70" s="550"/>
      <c r="I70" s="518"/>
      <c r="J70" s="518"/>
      <c r="K70" s="518"/>
      <c r="L70" s="518"/>
      <c r="M70" s="518"/>
      <c r="N70" s="518"/>
      <c r="O70" s="518"/>
      <c r="P70" s="518"/>
      <c r="Q70" s="528"/>
      <c r="R70" s="528"/>
    </row>
    <row r="71" spans="2:18" x14ac:dyDescent="0.25">
      <c r="B71" s="528"/>
      <c r="C71" s="528"/>
      <c r="D71" s="528"/>
      <c r="E71" s="528"/>
      <c r="F71" s="528"/>
      <c r="G71" s="528"/>
      <c r="H71" s="580"/>
      <c r="I71" s="519"/>
      <c r="J71" s="519"/>
      <c r="K71" s="519"/>
      <c r="L71" s="519"/>
      <c r="M71" s="519"/>
      <c r="N71" s="519"/>
      <c r="O71" s="519"/>
      <c r="P71" s="519"/>
      <c r="Q71" s="528"/>
      <c r="R71" s="528"/>
    </row>
    <row r="72" spans="2:18" x14ac:dyDescent="0.25">
      <c r="B72" s="528"/>
      <c r="C72" s="528"/>
      <c r="D72" s="528"/>
      <c r="E72" s="528"/>
      <c r="F72" s="528"/>
      <c r="G72" s="528"/>
      <c r="H72" s="531"/>
      <c r="I72" s="528"/>
      <c r="J72" s="528"/>
      <c r="K72" s="528"/>
      <c r="L72" s="528"/>
      <c r="M72" s="528"/>
      <c r="N72" s="528"/>
      <c r="O72" s="528"/>
      <c r="P72" s="528"/>
      <c r="Q72" s="528"/>
      <c r="R72" s="528"/>
    </row>
    <row r="73" spans="2:18" ht="14.1" customHeight="1" x14ac:dyDescent="0.25">
      <c r="B73" s="528"/>
      <c r="C73" s="528"/>
      <c r="D73" s="549"/>
      <c r="E73" s="528"/>
      <c r="F73" s="528"/>
      <c r="G73" s="528"/>
      <c r="H73" s="531"/>
      <c r="I73" s="519"/>
      <c r="J73" s="519"/>
      <c r="K73" s="519"/>
      <c r="L73" s="519"/>
      <c r="M73" s="519"/>
      <c r="N73" s="519"/>
      <c r="O73" s="519"/>
      <c r="P73" s="519"/>
      <c r="Q73" s="528"/>
      <c r="R73" s="528"/>
    </row>
    <row r="74" spans="2:18" x14ac:dyDescent="0.25">
      <c r="B74" s="528"/>
      <c r="C74" s="528"/>
      <c r="D74" s="549"/>
      <c r="E74" s="528"/>
      <c r="F74" s="528"/>
      <c r="G74" s="528"/>
      <c r="H74" s="531"/>
      <c r="I74" s="519"/>
      <c r="J74" s="519"/>
      <c r="K74" s="519"/>
      <c r="L74" s="519"/>
      <c r="M74" s="519"/>
      <c r="N74" s="519"/>
      <c r="O74" s="519"/>
      <c r="P74" s="519"/>
      <c r="Q74" s="528"/>
      <c r="R74" s="528"/>
    </row>
    <row r="75" spans="2:18" x14ac:dyDescent="0.25">
      <c r="B75" s="528"/>
      <c r="C75" s="528"/>
      <c r="D75" s="549"/>
      <c r="E75" s="528"/>
      <c r="F75" s="528"/>
      <c r="G75" s="528"/>
      <c r="H75" s="531"/>
      <c r="I75" s="519"/>
      <c r="J75" s="519"/>
      <c r="K75" s="519"/>
      <c r="L75" s="519"/>
      <c r="M75" s="519"/>
      <c r="N75" s="519"/>
      <c r="O75" s="519"/>
      <c r="P75" s="519"/>
      <c r="Q75" s="528"/>
      <c r="R75" s="528"/>
    </row>
    <row r="76" spans="2:18" ht="14.1" customHeight="1" x14ac:dyDescent="0.25">
      <c r="B76" s="528"/>
      <c r="C76" s="528"/>
      <c r="D76" s="549"/>
      <c r="E76" s="528"/>
      <c r="F76" s="528"/>
      <c r="G76" s="528"/>
      <c r="H76" s="531"/>
      <c r="I76" s="519"/>
      <c r="J76" s="519"/>
      <c r="K76" s="519"/>
      <c r="L76" s="519"/>
      <c r="M76" s="519"/>
      <c r="N76" s="519"/>
      <c r="O76" s="519"/>
      <c r="P76" s="519"/>
      <c r="Q76" s="528"/>
      <c r="R76" s="528"/>
    </row>
    <row r="77" spans="2:18" x14ac:dyDescent="0.25">
      <c r="B77" s="528"/>
      <c r="C77" s="528"/>
      <c r="D77" s="549"/>
      <c r="E77" s="528"/>
      <c r="F77" s="528"/>
      <c r="G77" s="528"/>
      <c r="H77" s="531"/>
      <c r="I77" s="519"/>
      <c r="J77" s="519"/>
      <c r="K77" s="519"/>
      <c r="L77" s="519"/>
      <c r="M77" s="519"/>
      <c r="N77" s="519"/>
      <c r="O77" s="519"/>
      <c r="P77" s="519"/>
      <c r="Q77" s="528"/>
      <c r="R77" s="528"/>
    </row>
    <row r="78" spans="2:18" x14ac:dyDescent="0.25">
      <c r="B78" s="528"/>
      <c r="C78" s="516"/>
      <c r="D78" s="516"/>
      <c r="E78" s="516"/>
      <c r="F78" s="516"/>
      <c r="G78" s="516"/>
      <c r="H78" s="550"/>
      <c r="I78" s="518"/>
      <c r="J78" s="518"/>
      <c r="K78" s="518"/>
      <c r="L78" s="518"/>
      <c r="M78" s="518"/>
      <c r="N78" s="518"/>
      <c r="O78" s="518"/>
      <c r="P78" s="518"/>
      <c r="Q78" s="528"/>
      <c r="R78" s="528"/>
    </row>
    <row r="79" spans="2:18" x14ac:dyDescent="0.25">
      <c r="B79" s="528"/>
      <c r="C79" s="528"/>
      <c r="D79" s="528"/>
      <c r="E79" s="528"/>
      <c r="F79" s="528"/>
      <c r="G79" s="528"/>
      <c r="H79" s="531"/>
      <c r="I79" s="519"/>
      <c r="J79" s="519"/>
      <c r="K79" s="519"/>
      <c r="L79" s="519"/>
      <c r="M79" s="519"/>
      <c r="N79" s="519"/>
      <c r="O79" s="519"/>
      <c r="P79" s="519"/>
      <c r="Q79" s="528"/>
      <c r="R79" s="528"/>
    </row>
    <row r="80" spans="2:18" x14ac:dyDescent="0.25">
      <c r="B80" s="528"/>
      <c r="C80" s="528"/>
      <c r="D80" s="528"/>
      <c r="E80" s="529"/>
      <c r="F80" s="530"/>
      <c r="G80" s="528"/>
      <c r="H80" s="531"/>
      <c r="I80" s="528"/>
      <c r="J80" s="528"/>
      <c r="K80" s="528"/>
      <c r="L80" s="528"/>
      <c r="M80" s="528"/>
      <c r="N80" s="528"/>
      <c r="O80" s="528"/>
      <c r="P80" s="528"/>
      <c r="Q80" s="528"/>
      <c r="R80" s="528"/>
    </row>
    <row r="81" spans="2:18" ht="14.1" customHeight="1" x14ac:dyDescent="0.25">
      <c r="B81" s="528"/>
      <c r="C81" s="528"/>
      <c r="D81" s="549"/>
      <c r="E81" s="528"/>
      <c r="F81" s="528"/>
      <c r="G81" s="528"/>
      <c r="H81" s="531"/>
      <c r="I81" s="519"/>
      <c r="J81" s="519"/>
      <c r="K81" s="519"/>
      <c r="L81" s="519"/>
      <c r="M81" s="519"/>
      <c r="N81" s="519"/>
      <c r="O81" s="519"/>
      <c r="P81" s="519"/>
      <c r="Q81" s="528"/>
      <c r="R81" s="528"/>
    </row>
    <row r="82" spans="2:18" ht="14.1" customHeight="1" x14ac:dyDescent="0.25">
      <c r="B82" s="528"/>
      <c r="C82" s="528"/>
      <c r="D82" s="549"/>
      <c r="E82" s="528"/>
      <c r="F82" s="528"/>
      <c r="G82" s="528"/>
      <c r="H82" s="531"/>
      <c r="I82" s="519"/>
      <c r="J82" s="519"/>
      <c r="K82" s="519"/>
      <c r="L82" s="519"/>
      <c r="M82" s="519"/>
      <c r="N82" s="519"/>
      <c r="O82" s="519"/>
      <c r="P82" s="519"/>
      <c r="Q82" s="528"/>
      <c r="R82" s="528"/>
    </row>
    <row r="83" spans="2:18" x14ac:dyDescent="0.25">
      <c r="B83" s="528"/>
      <c r="C83" s="528"/>
      <c r="D83" s="549"/>
      <c r="E83" s="528"/>
      <c r="F83" s="528"/>
      <c r="G83" s="528"/>
      <c r="H83" s="531"/>
      <c r="I83" s="519"/>
      <c r="J83" s="519"/>
      <c r="K83" s="519"/>
      <c r="L83" s="519"/>
      <c r="M83" s="519"/>
      <c r="N83" s="519"/>
      <c r="O83" s="519"/>
      <c r="P83" s="519"/>
      <c r="Q83" s="528"/>
      <c r="R83" s="528"/>
    </row>
    <row r="84" spans="2:18" ht="14.1" customHeight="1" x14ac:dyDescent="0.25">
      <c r="B84" s="528"/>
      <c r="C84" s="528"/>
      <c r="D84" s="549"/>
      <c r="E84" s="528"/>
      <c r="F84" s="528"/>
      <c r="G84" s="528"/>
      <c r="H84" s="531"/>
      <c r="I84" s="519"/>
      <c r="J84" s="519"/>
      <c r="K84" s="519"/>
      <c r="L84" s="519"/>
      <c r="M84" s="519"/>
      <c r="N84" s="519"/>
      <c r="O84" s="519"/>
      <c r="P84" s="519"/>
      <c r="Q84" s="528"/>
      <c r="R84" s="528"/>
    </row>
    <row r="85" spans="2:18" x14ac:dyDescent="0.25">
      <c r="B85" s="528"/>
      <c r="C85" s="528"/>
      <c r="D85" s="549"/>
      <c r="E85" s="528"/>
      <c r="F85" s="528"/>
      <c r="G85" s="528"/>
      <c r="H85" s="531"/>
      <c r="I85" s="519"/>
      <c r="J85" s="519"/>
      <c r="K85" s="519"/>
      <c r="L85" s="519"/>
      <c r="M85" s="519"/>
      <c r="N85" s="519"/>
      <c r="O85" s="519"/>
      <c r="P85" s="519"/>
      <c r="Q85" s="528"/>
      <c r="R85" s="528"/>
    </row>
    <row r="86" spans="2:18" x14ac:dyDescent="0.25">
      <c r="B86" s="528"/>
      <c r="C86" s="516"/>
      <c r="D86" s="516"/>
      <c r="E86" s="516"/>
      <c r="F86" s="516"/>
      <c r="G86" s="516"/>
      <c r="H86" s="550"/>
      <c r="I86" s="518"/>
      <c r="J86" s="518"/>
      <c r="K86" s="518"/>
      <c r="L86" s="518"/>
      <c r="M86" s="518"/>
      <c r="N86" s="518"/>
      <c r="O86" s="518"/>
      <c r="P86" s="518"/>
      <c r="Q86" s="528"/>
      <c r="R86" s="528"/>
    </row>
    <row r="87" spans="2:18" x14ac:dyDescent="0.25">
      <c r="B87" s="528"/>
      <c r="C87" s="528"/>
      <c r="D87" s="528"/>
      <c r="E87" s="528"/>
      <c r="F87" s="528"/>
      <c r="G87" s="528"/>
      <c r="H87" s="531"/>
      <c r="I87" s="528"/>
      <c r="J87" s="528"/>
      <c r="K87" s="528"/>
      <c r="L87" s="528"/>
      <c r="M87" s="528"/>
      <c r="N87" s="528"/>
      <c r="O87" s="528"/>
      <c r="P87" s="528"/>
      <c r="Q87" s="528"/>
      <c r="R87" s="528"/>
    </row>
    <row r="88" spans="2:18" x14ac:dyDescent="0.25">
      <c r="B88" s="528"/>
      <c r="C88" s="528"/>
      <c r="D88" s="528"/>
      <c r="E88" s="528"/>
      <c r="F88" s="528"/>
      <c r="G88" s="528"/>
      <c r="H88" s="531"/>
      <c r="I88" s="528"/>
      <c r="J88" s="528"/>
      <c r="K88" s="528"/>
      <c r="L88" s="528"/>
      <c r="M88" s="528"/>
      <c r="N88" s="528"/>
      <c r="O88" s="528"/>
      <c r="P88" s="528"/>
      <c r="Q88" s="528"/>
      <c r="R88" s="528"/>
    </row>
    <row r="89" spans="2:18" x14ac:dyDescent="0.25">
      <c r="B89" s="528"/>
      <c r="C89" s="528"/>
      <c r="D89" s="528"/>
      <c r="E89" s="528"/>
      <c r="F89" s="528"/>
      <c r="G89" s="528"/>
      <c r="H89" s="531"/>
      <c r="I89" s="528"/>
      <c r="J89" s="528"/>
      <c r="K89" s="528"/>
      <c r="L89" s="528"/>
      <c r="M89" s="528"/>
      <c r="N89" s="528"/>
      <c r="O89" s="528"/>
      <c r="P89" s="528"/>
      <c r="Q89" s="528"/>
      <c r="R89" s="528"/>
    </row>
    <row r="90" spans="2:18" x14ac:dyDescent="0.25">
      <c r="B90" s="528"/>
      <c r="C90" s="528"/>
      <c r="D90" s="528"/>
      <c r="E90" s="528"/>
      <c r="F90" s="528"/>
      <c r="G90" s="528"/>
      <c r="H90" s="531"/>
      <c r="I90" s="528"/>
      <c r="J90" s="528"/>
      <c r="K90" s="528"/>
      <c r="L90" s="528"/>
      <c r="M90" s="528"/>
      <c r="N90" s="528"/>
      <c r="O90" s="528"/>
      <c r="P90" s="528"/>
      <c r="Q90" s="528"/>
      <c r="R90" s="528"/>
    </row>
    <row r="91" spans="2:18" x14ac:dyDescent="0.25">
      <c r="B91" s="528"/>
      <c r="C91" s="528"/>
      <c r="D91" s="528"/>
      <c r="E91" s="528"/>
      <c r="F91" s="528"/>
      <c r="G91" s="528"/>
      <c r="H91" s="531"/>
      <c r="I91" s="528"/>
      <c r="J91" s="528"/>
      <c r="K91" s="528"/>
      <c r="L91" s="528"/>
      <c r="M91" s="528"/>
      <c r="N91" s="528"/>
      <c r="O91" s="528"/>
      <c r="P91" s="528"/>
      <c r="Q91" s="528"/>
      <c r="R91" s="528"/>
    </row>
    <row r="92" spans="2:18" x14ac:dyDescent="0.25">
      <c r="B92" s="528"/>
      <c r="C92" s="528"/>
      <c r="D92" s="528"/>
      <c r="E92" s="528"/>
      <c r="F92" s="528"/>
      <c r="G92" s="528"/>
      <c r="H92" s="531"/>
      <c r="I92" s="528"/>
      <c r="J92" s="528"/>
      <c r="K92" s="528"/>
      <c r="L92" s="528"/>
      <c r="M92" s="528"/>
      <c r="N92" s="528"/>
      <c r="O92" s="528"/>
      <c r="P92" s="528"/>
      <c r="Q92" s="528"/>
      <c r="R92" s="528"/>
    </row>
    <row r="93" spans="2:18" x14ac:dyDescent="0.25">
      <c r="B93" s="528"/>
      <c r="C93" s="528"/>
      <c r="D93" s="528"/>
      <c r="E93" s="528"/>
      <c r="F93" s="528"/>
      <c r="G93" s="528"/>
      <c r="H93" s="531"/>
      <c r="I93" s="528"/>
      <c r="J93" s="528"/>
      <c r="K93" s="528"/>
      <c r="L93" s="528"/>
      <c r="M93" s="528"/>
      <c r="N93" s="528"/>
      <c r="O93" s="528"/>
      <c r="P93" s="528"/>
      <c r="Q93" s="528"/>
      <c r="R93" s="528"/>
    </row>
    <row r="94" spans="2:18" x14ac:dyDescent="0.25">
      <c r="B94" s="528"/>
      <c r="C94" s="528"/>
      <c r="D94" s="528"/>
      <c r="E94" s="528"/>
      <c r="F94" s="528"/>
      <c r="G94" s="528"/>
      <c r="H94" s="531"/>
      <c r="I94" s="528"/>
      <c r="J94" s="528"/>
      <c r="K94" s="528"/>
      <c r="L94" s="528"/>
      <c r="M94" s="528"/>
      <c r="N94" s="528"/>
      <c r="O94" s="528"/>
      <c r="P94" s="528"/>
      <c r="Q94" s="528"/>
      <c r="R94" s="528"/>
    </row>
    <row r="95" spans="2:18" x14ac:dyDescent="0.25">
      <c r="B95" s="528"/>
      <c r="C95" s="528"/>
      <c r="D95" s="528"/>
      <c r="E95" s="528"/>
      <c r="F95" s="528"/>
      <c r="G95" s="528"/>
      <c r="H95" s="531"/>
      <c r="I95" s="528"/>
      <c r="J95" s="528"/>
      <c r="K95" s="528"/>
      <c r="L95" s="528"/>
      <c r="M95" s="528"/>
      <c r="N95" s="528"/>
      <c r="O95" s="528"/>
      <c r="P95" s="528"/>
      <c r="Q95" s="528"/>
      <c r="R95" s="528"/>
    </row>
    <row r="96" spans="2:18" x14ac:dyDescent="0.25">
      <c r="B96" s="528"/>
      <c r="C96" s="528"/>
      <c r="D96" s="528"/>
      <c r="E96" s="528"/>
      <c r="F96" s="528"/>
      <c r="G96" s="528"/>
      <c r="H96" s="531"/>
      <c r="I96" s="528"/>
      <c r="J96" s="528"/>
      <c r="K96" s="528"/>
      <c r="L96" s="528"/>
      <c r="M96" s="528"/>
      <c r="N96" s="528"/>
      <c r="O96" s="528"/>
      <c r="P96" s="528"/>
      <c r="Q96" s="528"/>
      <c r="R96" s="528"/>
    </row>
    <row r="97" spans="2:18" x14ac:dyDescent="0.25">
      <c r="B97" s="528"/>
      <c r="C97" s="528"/>
      <c r="D97" s="528"/>
      <c r="E97" s="528"/>
      <c r="F97" s="528"/>
      <c r="G97" s="528"/>
      <c r="H97" s="531"/>
      <c r="I97" s="528"/>
      <c r="J97" s="528"/>
      <c r="K97" s="528"/>
      <c r="L97" s="528"/>
      <c r="M97" s="528"/>
      <c r="N97" s="528"/>
      <c r="O97" s="528"/>
      <c r="P97" s="528"/>
      <c r="Q97" s="528"/>
      <c r="R97" s="528"/>
    </row>
    <row r="98" spans="2:18" x14ac:dyDescent="0.25">
      <c r="B98" s="528"/>
      <c r="C98" s="528"/>
      <c r="D98" s="528"/>
      <c r="E98" s="528"/>
      <c r="F98" s="528"/>
      <c r="G98" s="528"/>
      <c r="H98" s="531"/>
      <c r="I98" s="528"/>
      <c r="J98" s="528"/>
      <c r="K98" s="528"/>
      <c r="L98" s="528"/>
      <c r="M98" s="528"/>
      <c r="N98" s="528"/>
      <c r="O98" s="528"/>
      <c r="P98" s="528"/>
      <c r="Q98" s="528"/>
      <c r="R98" s="528"/>
    </row>
    <row r="99" spans="2:18" x14ac:dyDescent="0.25">
      <c r="B99" s="528"/>
      <c r="C99" s="528"/>
      <c r="D99" s="528"/>
      <c r="E99" s="528"/>
      <c r="F99" s="528"/>
      <c r="G99" s="528"/>
      <c r="H99" s="531"/>
      <c r="I99" s="528"/>
      <c r="J99" s="528"/>
      <c r="K99" s="528"/>
      <c r="L99" s="528"/>
      <c r="M99" s="528"/>
      <c r="N99" s="528"/>
      <c r="O99" s="528"/>
      <c r="P99" s="528"/>
      <c r="Q99" s="528"/>
      <c r="R99" s="528"/>
    </row>
    <row r="100" spans="2:18" x14ac:dyDescent="0.25">
      <c r="B100" s="528"/>
      <c r="C100" s="528"/>
      <c r="D100" s="528"/>
      <c r="E100" s="528"/>
      <c r="F100" s="528"/>
      <c r="G100" s="528"/>
      <c r="H100" s="531"/>
      <c r="I100" s="528"/>
      <c r="J100" s="528"/>
      <c r="K100" s="528"/>
      <c r="L100" s="528"/>
      <c r="M100" s="528"/>
      <c r="N100" s="528"/>
      <c r="O100" s="528"/>
      <c r="P100" s="528"/>
      <c r="Q100" s="528"/>
      <c r="R100" s="528"/>
    </row>
    <row r="101" spans="2:18" x14ac:dyDescent="0.25">
      <c r="B101" s="528"/>
      <c r="C101" s="528"/>
      <c r="D101" s="528"/>
      <c r="E101" s="528"/>
      <c r="F101" s="528"/>
      <c r="G101" s="528"/>
      <c r="H101" s="531"/>
      <c r="I101" s="528"/>
      <c r="J101" s="528"/>
      <c r="K101" s="528"/>
      <c r="L101" s="528"/>
      <c r="M101" s="528"/>
      <c r="N101" s="528"/>
      <c r="O101" s="528"/>
      <c r="P101" s="528"/>
      <c r="Q101" s="528"/>
      <c r="R101" s="528"/>
    </row>
    <row r="102" spans="2:18" x14ac:dyDescent="0.25">
      <c r="B102" s="528"/>
      <c r="C102" s="528"/>
      <c r="D102" s="528"/>
      <c r="E102" s="528"/>
      <c r="F102" s="528"/>
      <c r="G102" s="528"/>
      <c r="H102" s="531"/>
      <c r="I102" s="528"/>
      <c r="J102" s="528"/>
      <c r="K102" s="528"/>
      <c r="L102" s="528"/>
      <c r="M102" s="528"/>
      <c r="N102" s="528"/>
      <c r="O102" s="528"/>
      <c r="P102" s="528"/>
      <c r="Q102" s="528"/>
      <c r="R102" s="528"/>
    </row>
    <row r="103" spans="2:18" x14ac:dyDescent="0.25">
      <c r="B103" s="528"/>
      <c r="C103" s="528"/>
      <c r="D103" s="528"/>
      <c r="E103" s="528"/>
      <c r="F103" s="528"/>
      <c r="G103" s="528"/>
      <c r="H103" s="531"/>
      <c r="I103" s="528"/>
      <c r="J103" s="528"/>
      <c r="K103" s="528"/>
      <c r="L103" s="528"/>
      <c r="M103" s="528"/>
      <c r="N103" s="528"/>
      <c r="O103" s="528"/>
      <c r="P103" s="528"/>
      <c r="Q103" s="528"/>
      <c r="R103" s="528"/>
    </row>
    <row r="104" spans="2:18" x14ac:dyDescent="0.25">
      <c r="B104" s="528"/>
      <c r="C104" s="528"/>
      <c r="D104" s="528"/>
      <c r="E104" s="528"/>
      <c r="F104" s="528"/>
      <c r="G104" s="528"/>
      <c r="H104" s="531"/>
      <c r="I104" s="528"/>
      <c r="J104" s="528"/>
      <c r="K104" s="528"/>
      <c r="L104" s="528"/>
      <c r="M104" s="528"/>
      <c r="N104" s="528"/>
      <c r="O104" s="528"/>
      <c r="P104" s="528"/>
      <c r="Q104" s="528"/>
      <c r="R104" s="528"/>
    </row>
    <row r="105" spans="2:18" x14ac:dyDescent="0.25">
      <c r="B105" s="528"/>
      <c r="C105" s="528"/>
      <c r="D105" s="528"/>
      <c r="E105" s="528"/>
      <c r="F105" s="528"/>
      <c r="G105" s="528"/>
      <c r="H105" s="531"/>
      <c r="I105" s="528"/>
      <c r="J105" s="528"/>
      <c r="K105" s="528"/>
      <c r="L105" s="528"/>
      <c r="M105" s="528"/>
      <c r="N105" s="528"/>
      <c r="O105" s="528"/>
      <c r="P105" s="528"/>
      <c r="Q105" s="528"/>
      <c r="R105" s="528"/>
    </row>
    <row r="106" spans="2:18" x14ac:dyDescent="0.25">
      <c r="B106" s="528"/>
      <c r="C106" s="528"/>
      <c r="D106" s="528"/>
      <c r="E106" s="528"/>
      <c r="F106" s="528"/>
      <c r="G106" s="528"/>
      <c r="H106" s="531"/>
      <c r="I106" s="528"/>
      <c r="J106" s="528"/>
      <c r="K106" s="528"/>
      <c r="L106" s="528"/>
      <c r="M106" s="528"/>
      <c r="N106" s="528"/>
      <c r="O106" s="528"/>
      <c r="P106" s="528"/>
      <c r="Q106" s="528"/>
      <c r="R106" s="528"/>
    </row>
    <row r="107" spans="2:18" x14ac:dyDescent="0.25">
      <c r="B107" s="528"/>
      <c r="C107" s="528"/>
      <c r="D107" s="528"/>
      <c r="E107" s="528"/>
      <c r="F107" s="528"/>
      <c r="G107" s="528"/>
      <c r="H107" s="531"/>
      <c r="I107" s="528"/>
      <c r="J107" s="528"/>
      <c r="K107" s="528"/>
      <c r="L107" s="528"/>
      <c r="M107" s="528"/>
      <c r="N107" s="528"/>
      <c r="O107" s="528"/>
      <c r="P107" s="528"/>
      <c r="Q107" s="528"/>
      <c r="R107" s="528"/>
    </row>
    <row r="108" spans="2:18" x14ac:dyDescent="0.25">
      <c r="B108" s="528"/>
      <c r="C108" s="528"/>
      <c r="D108" s="528"/>
      <c r="E108" s="528"/>
      <c r="F108" s="528"/>
      <c r="G108" s="528"/>
      <c r="H108" s="531"/>
      <c r="I108" s="528"/>
      <c r="J108" s="528"/>
      <c r="K108" s="528"/>
      <c r="L108" s="528"/>
      <c r="M108" s="528"/>
      <c r="N108" s="528"/>
      <c r="O108" s="528"/>
      <c r="P108" s="528"/>
      <c r="Q108" s="528"/>
      <c r="R108" s="528"/>
    </row>
    <row r="109" spans="2:18" x14ac:dyDescent="0.25">
      <c r="B109" s="528"/>
      <c r="C109" s="528"/>
      <c r="D109" s="528"/>
      <c r="E109" s="528"/>
      <c r="F109" s="528"/>
      <c r="G109" s="528"/>
      <c r="H109" s="531"/>
      <c r="I109" s="528"/>
      <c r="J109" s="528"/>
      <c r="K109" s="528"/>
      <c r="L109" s="528"/>
      <c r="M109" s="528"/>
      <c r="N109" s="528"/>
      <c r="O109" s="528"/>
      <c r="P109" s="528"/>
      <c r="Q109" s="528"/>
      <c r="R109" s="528"/>
    </row>
    <row r="110" spans="2:18" x14ac:dyDescent="0.25">
      <c r="B110" s="528"/>
      <c r="C110" s="528"/>
      <c r="D110" s="528"/>
      <c r="E110" s="528"/>
      <c r="F110" s="528"/>
      <c r="G110" s="528"/>
      <c r="H110" s="531"/>
      <c r="I110" s="528"/>
      <c r="J110" s="528"/>
      <c r="K110" s="528"/>
      <c r="L110" s="528"/>
      <c r="M110" s="528"/>
      <c r="N110" s="528"/>
      <c r="O110" s="528"/>
      <c r="P110" s="528"/>
      <c r="Q110" s="528"/>
      <c r="R110" s="528"/>
    </row>
    <row r="111" spans="2:18" x14ac:dyDescent="0.25">
      <c r="B111" s="528"/>
      <c r="C111" s="528"/>
      <c r="D111" s="528"/>
      <c r="E111" s="528"/>
      <c r="F111" s="528"/>
      <c r="G111" s="528"/>
      <c r="H111" s="531"/>
      <c r="I111" s="528"/>
      <c r="J111" s="528"/>
      <c r="K111" s="528"/>
      <c r="L111" s="528"/>
      <c r="M111" s="528"/>
      <c r="N111" s="528"/>
      <c r="O111" s="528"/>
      <c r="P111" s="528"/>
      <c r="Q111" s="528"/>
      <c r="R111" s="528"/>
    </row>
    <row r="112" spans="2:18" x14ac:dyDescent="0.25">
      <c r="B112" s="528"/>
      <c r="C112" s="528"/>
      <c r="D112" s="528"/>
      <c r="E112" s="528"/>
      <c r="F112" s="528"/>
      <c r="G112" s="528"/>
      <c r="H112" s="531"/>
      <c r="I112" s="528"/>
      <c r="J112" s="528"/>
      <c r="K112" s="528"/>
      <c r="L112" s="528"/>
      <c r="M112" s="528"/>
      <c r="N112" s="528"/>
      <c r="O112" s="528"/>
      <c r="P112" s="528"/>
      <c r="Q112" s="528"/>
      <c r="R112" s="528"/>
    </row>
    <row r="113" spans="2:18" x14ac:dyDescent="0.25">
      <c r="B113" s="528"/>
      <c r="C113" s="528"/>
      <c r="D113" s="528"/>
      <c r="E113" s="528"/>
      <c r="F113" s="528"/>
      <c r="G113" s="528"/>
      <c r="H113" s="531"/>
      <c r="I113" s="528"/>
      <c r="J113" s="528"/>
      <c r="K113" s="528"/>
      <c r="L113" s="528"/>
      <c r="M113" s="528"/>
      <c r="N113" s="528"/>
      <c r="O113" s="528"/>
      <c r="P113" s="528"/>
      <c r="Q113" s="528"/>
      <c r="R113" s="528"/>
    </row>
    <row r="114" spans="2:18" x14ac:dyDescent="0.25">
      <c r="B114" s="528"/>
      <c r="C114" s="528"/>
      <c r="D114" s="528"/>
      <c r="E114" s="528"/>
      <c r="F114" s="528"/>
      <c r="G114" s="528"/>
      <c r="H114" s="531"/>
      <c r="I114" s="528"/>
      <c r="J114" s="528"/>
      <c r="K114" s="528"/>
      <c r="L114" s="528"/>
      <c r="M114" s="528"/>
      <c r="N114" s="528"/>
      <c r="O114" s="528"/>
      <c r="P114" s="528"/>
      <c r="Q114" s="528"/>
      <c r="R114" s="528"/>
    </row>
    <row r="115" spans="2:18" x14ac:dyDescent="0.25">
      <c r="B115" s="528"/>
      <c r="C115" s="528"/>
      <c r="D115" s="528"/>
      <c r="E115" s="528"/>
      <c r="F115" s="528"/>
      <c r="G115" s="528"/>
      <c r="H115" s="531"/>
      <c r="I115" s="528"/>
      <c r="J115" s="528"/>
      <c r="K115" s="528"/>
      <c r="L115" s="528"/>
      <c r="M115" s="528"/>
      <c r="N115" s="528"/>
      <c r="O115" s="528"/>
      <c r="P115" s="528"/>
      <c r="Q115" s="528"/>
      <c r="R115" s="528"/>
    </row>
    <row r="116" spans="2:18" x14ac:dyDescent="0.25">
      <c r="B116" s="528"/>
      <c r="C116" s="528"/>
      <c r="D116" s="528"/>
      <c r="E116" s="528"/>
      <c r="F116" s="528"/>
      <c r="G116" s="528"/>
      <c r="H116" s="531"/>
      <c r="I116" s="528"/>
      <c r="J116" s="528"/>
      <c r="K116" s="528"/>
      <c r="L116" s="528"/>
      <c r="M116" s="528"/>
      <c r="N116" s="528"/>
      <c r="O116" s="528"/>
      <c r="P116" s="528"/>
      <c r="Q116" s="528"/>
      <c r="R116" s="528"/>
    </row>
    <row r="117" spans="2:18" x14ac:dyDescent="0.25">
      <c r="B117" s="528"/>
      <c r="C117" s="528"/>
      <c r="D117" s="528"/>
      <c r="E117" s="528"/>
      <c r="F117" s="528"/>
      <c r="G117" s="528"/>
      <c r="H117" s="531"/>
      <c r="I117" s="528"/>
      <c r="J117" s="528"/>
      <c r="K117" s="528"/>
      <c r="L117" s="528"/>
      <c r="M117" s="528"/>
      <c r="N117" s="528"/>
      <c r="O117" s="528"/>
      <c r="P117" s="528"/>
      <c r="Q117" s="528"/>
      <c r="R117" s="528"/>
    </row>
    <row r="118" spans="2:18" x14ac:dyDescent="0.25">
      <c r="B118" s="528"/>
      <c r="C118" s="528"/>
      <c r="D118" s="528"/>
      <c r="E118" s="528"/>
      <c r="F118" s="528"/>
      <c r="G118" s="528"/>
      <c r="H118" s="531"/>
      <c r="I118" s="528"/>
      <c r="J118" s="528"/>
      <c r="K118" s="528"/>
      <c r="L118" s="528"/>
      <c r="M118" s="528"/>
      <c r="N118" s="528"/>
      <c r="O118" s="528"/>
      <c r="P118" s="528"/>
      <c r="Q118" s="528"/>
      <c r="R118" s="528"/>
    </row>
    <row r="119" spans="2:18" x14ac:dyDescent="0.25">
      <c r="B119" s="528"/>
      <c r="C119" s="528"/>
      <c r="D119" s="528"/>
      <c r="E119" s="528"/>
      <c r="F119" s="528"/>
      <c r="G119" s="528"/>
      <c r="H119" s="531"/>
      <c r="I119" s="528"/>
      <c r="J119" s="528"/>
      <c r="K119" s="528"/>
      <c r="L119" s="528"/>
      <c r="M119" s="528"/>
      <c r="N119" s="528"/>
      <c r="O119" s="528"/>
      <c r="P119" s="528"/>
      <c r="Q119" s="528"/>
      <c r="R119" s="528"/>
    </row>
    <row r="120" spans="2:18" x14ac:dyDescent="0.25">
      <c r="B120" s="528"/>
      <c r="C120" s="528"/>
      <c r="D120" s="528"/>
      <c r="E120" s="528"/>
      <c r="F120" s="528"/>
      <c r="G120" s="528"/>
      <c r="H120" s="531"/>
      <c r="I120" s="528"/>
      <c r="J120" s="528"/>
      <c r="K120" s="528"/>
      <c r="L120" s="528"/>
      <c r="M120" s="528"/>
      <c r="N120" s="528"/>
      <c r="O120" s="528"/>
      <c r="P120" s="528"/>
      <c r="Q120" s="528"/>
      <c r="R120" s="528"/>
    </row>
    <row r="121" spans="2:18" x14ac:dyDescent="0.25">
      <c r="B121" s="528"/>
      <c r="C121" s="528"/>
      <c r="D121" s="528"/>
      <c r="E121" s="528"/>
      <c r="F121" s="528"/>
      <c r="G121" s="528"/>
      <c r="H121" s="531"/>
      <c r="I121" s="528"/>
      <c r="J121" s="528"/>
      <c r="K121" s="528"/>
      <c r="L121" s="528"/>
      <c r="M121" s="528"/>
      <c r="N121" s="528"/>
      <c r="O121" s="528"/>
      <c r="P121" s="528"/>
      <c r="Q121" s="528"/>
      <c r="R121" s="528"/>
    </row>
    <row r="122" spans="2:18" x14ac:dyDescent="0.25">
      <c r="B122" s="528"/>
      <c r="C122" s="528"/>
      <c r="D122" s="528"/>
      <c r="E122" s="528"/>
      <c r="F122" s="528"/>
      <c r="G122" s="528"/>
      <c r="H122" s="531"/>
      <c r="I122" s="528"/>
      <c r="J122" s="528"/>
      <c r="K122" s="528"/>
      <c r="L122" s="528"/>
      <c r="M122" s="528"/>
      <c r="N122" s="528"/>
      <c r="O122" s="528"/>
      <c r="P122" s="528"/>
      <c r="Q122" s="528"/>
      <c r="R122" s="528"/>
    </row>
    <row r="123" spans="2:18" x14ac:dyDescent="0.25">
      <c r="B123" s="528"/>
      <c r="C123" s="528"/>
      <c r="D123" s="528"/>
      <c r="E123" s="528"/>
      <c r="F123" s="528"/>
      <c r="G123" s="528"/>
      <c r="H123" s="531"/>
      <c r="I123" s="528"/>
      <c r="J123" s="528"/>
      <c r="K123" s="528"/>
      <c r="L123" s="528"/>
      <c r="M123" s="528"/>
      <c r="N123" s="528"/>
      <c r="O123" s="528"/>
      <c r="P123" s="528"/>
      <c r="Q123" s="528"/>
      <c r="R123" s="528"/>
    </row>
    <row r="124" spans="2:18" x14ac:dyDescent="0.25">
      <c r="B124" s="528"/>
      <c r="C124" s="528"/>
      <c r="D124" s="528"/>
      <c r="E124" s="528"/>
      <c r="F124" s="528"/>
      <c r="G124" s="528"/>
      <c r="H124" s="531"/>
      <c r="I124" s="528"/>
      <c r="J124" s="528"/>
      <c r="K124" s="528"/>
      <c r="L124" s="528"/>
      <c r="M124" s="528"/>
      <c r="N124" s="528"/>
      <c r="O124" s="528"/>
      <c r="P124" s="528"/>
      <c r="Q124" s="528"/>
      <c r="R124" s="528"/>
    </row>
    <row r="125" spans="2:18" x14ac:dyDescent="0.25">
      <c r="B125" s="528"/>
      <c r="C125" s="528"/>
      <c r="D125" s="528"/>
      <c r="E125" s="528"/>
      <c r="F125" s="528"/>
      <c r="G125" s="528"/>
      <c r="H125" s="531"/>
      <c r="I125" s="528"/>
      <c r="J125" s="528"/>
      <c r="K125" s="528"/>
      <c r="L125" s="528"/>
      <c r="M125" s="528"/>
      <c r="N125" s="528"/>
      <c r="O125" s="528"/>
      <c r="P125" s="528"/>
      <c r="Q125" s="528"/>
      <c r="R125" s="528"/>
    </row>
    <row r="126" spans="2:18" x14ac:dyDescent="0.25">
      <c r="B126" s="528"/>
      <c r="C126" s="528"/>
      <c r="D126" s="528"/>
      <c r="E126" s="528"/>
      <c r="F126" s="528"/>
      <c r="G126" s="528"/>
      <c r="H126" s="531"/>
      <c r="I126" s="528"/>
      <c r="J126" s="528"/>
      <c r="K126" s="528"/>
      <c r="L126" s="528"/>
      <c r="M126" s="528"/>
      <c r="N126" s="528"/>
      <c r="O126" s="528"/>
      <c r="P126" s="528"/>
      <c r="Q126" s="528"/>
      <c r="R126" s="528"/>
    </row>
    <row r="127" spans="2:18" x14ac:dyDescent="0.25">
      <c r="B127" s="528"/>
      <c r="C127" s="528"/>
      <c r="D127" s="528"/>
      <c r="E127" s="528"/>
      <c r="F127" s="528"/>
      <c r="G127" s="528"/>
      <c r="H127" s="531"/>
      <c r="I127" s="528"/>
      <c r="J127" s="528"/>
      <c r="K127" s="528"/>
      <c r="L127" s="528"/>
      <c r="M127" s="528"/>
      <c r="N127" s="528"/>
      <c r="O127" s="528"/>
      <c r="P127" s="528"/>
      <c r="Q127" s="528"/>
      <c r="R127" s="528"/>
    </row>
    <row r="128" spans="2:18" x14ac:dyDescent="0.25">
      <c r="B128" s="528"/>
      <c r="C128" s="528"/>
      <c r="D128" s="528"/>
      <c r="E128" s="528"/>
      <c r="F128" s="528"/>
      <c r="G128" s="528"/>
      <c r="H128" s="531"/>
      <c r="I128" s="528"/>
      <c r="J128" s="528"/>
      <c r="K128" s="528"/>
      <c r="L128" s="528"/>
      <c r="M128" s="528"/>
      <c r="N128" s="528"/>
      <c r="O128" s="528"/>
      <c r="P128" s="528"/>
      <c r="Q128" s="528"/>
      <c r="R128" s="528"/>
    </row>
    <row r="129" spans="2:18" x14ac:dyDescent="0.25">
      <c r="B129" s="528"/>
      <c r="C129" s="528"/>
      <c r="D129" s="528"/>
      <c r="E129" s="528"/>
      <c r="F129" s="528"/>
      <c r="G129" s="528"/>
      <c r="H129" s="531"/>
      <c r="I129" s="528"/>
      <c r="J129" s="528"/>
      <c r="K129" s="528"/>
      <c r="L129" s="528"/>
      <c r="M129" s="528"/>
      <c r="N129" s="528"/>
      <c r="O129" s="528"/>
      <c r="P129" s="528"/>
      <c r="Q129" s="528"/>
      <c r="R129" s="528"/>
    </row>
    <row r="130" spans="2:18" x14ac:dyDescent="0.25">
      <c r="B130" s="528"/>
      <c r="C130" s="528"/>
      <c r="D130" s="528"/>
      <c r="E130" s="528"/>
      <c r="F130" s="528"/>
      <c r="G130" s="528"/>
      <c r="H130" s="531"/>
      <c r="I130" s="528"/>
      <c r="J130" s="528"/>
      <c r="K130" s="528"/>
      <c r="L130" s="528"/>
      <c r="M130" s="528"/>
      <c r="N130" s="528"/>
      <c r="O130" s="528"/>
      <c r="P130" s="528"/>
      <c r="Q130" s="528"/>
      <c r="R130" s="528"/>
    </row>
    <row r="131" spans="2:18" x14ac:dyDescent="0.25">
      <c r="B131" s="528"/>
      <c r="C131" s="528"/>
      <c r="D131" s="528"/>
      <c r="E131" s="528"/>
      <c r="F131" s="528"/>
      <c r="G131" s="528"/>
      <c r="H131" s="531"/>
      <c r="I131" s="528"/>
      <c r="J131" s="528"/>
      <c r="K131" s="528"/>
      <c r="L131" s="528"/>
      <c r="M131" s="528"/>
      <c r="N131" s="528"/>
      <c r="O131" s="528"/>
      <c r="P131" s="528"/>
      <c r="Q131" s="528"/>
      <c r="R131" s="528"/>
    </row>
    <row r="132" spans="2:18" x14ac:dyDescent="0.25">
      <c r="B132" s="528"/>
      <c r="C132" s="528"/>
      <c r="D132" s="528"/>
      <c r="E132" s="528"/>
      <c r="F132" s="528"/>
      <c r="G132" s="528"/>
      <c r="H132" s="531"/>
      <c r="I132" s="528"/>
      <c r="J132" s="528"/>
      <c r="K132" s="528"/>
      <c r="L132" s="528"/>
      <c r="M132" s="528"/>
      <c r="N132" s="528"/>
      <c r="O132" s="528"/>
      <c r="P132" s="528"/>
      <c r="Q132" s="528"/>
      <c r="R132" s="528"/>
    </row>
    <row r="133" spans="2:18" x14ac:dyDescent="0.25">
      <c r="B133" s="528"/>
      <c r="C133" s="528"/>
      <c r="D133" s="528"/>
      <c r="E133" s="528"/>
      <c r="F133" s="528"/>
      <c r="G133" s="528"/>
      <c r="H133" s="531"/>
      <c r="I133" s="528"/>
      <c r="J133" s="528"/>
      <c r="K133" s="528"/>
      <c r="L133" s="528"/>
      <c r="M133" s="528"/>
      <c r="N133" s="528"/>
      <c r="O133" s="528"/>
      <c r="P133" s="528"/>
      <c r="Q133" s="528"/>
      <c r="R133" s="528"/>
    </row>
    <row r="134" spans="2:18" x14ac:dyDescent="0.25">
      <c r="B134" s="528"/>
      <c r="C134" s="528"/>
      <c r="D134" s="528"/>
      <c r="E134" s="528"/>
      <c r="F134" s="528"/>
      <c r="G134" s="528"/>
      <c r="H134" s="531"/>
      <c r="I134" s="528"/>
      <c r="J134" s="528"/>
      <c r="K134" s="528"/>
      <c r="L134" s="528"/>
      <c r="M134" s="528"/>
      <c r="N134" s="528"/>
      <c r="O134" s="528"/>
      <c r="P134" s="528"/>
      <c r="Q134" s="528"/>
      <c r="R134" s="528"/>
    </row>
    <row r="135" spans="2:18" x14ac:dyDescent="0.25">
      <c r="B135" s="528"/>
      <c r="C135" s="528"/>
      <c r="D135" s="528"/>
      <c r="E135" s="528"/>
      <c r="F135" s="528"/>
      <c r="G135" s="528"/>
      <c r="H135" s="531"/>
      <c r="I135" s="528"/>
      <c r="J135" s="528"/>
      <c r="K135" s="528"/>
      <c r="L135" s="528"/>
      <c r="M135" s="528"/>
      <c r="N135" s="528"/>
      <c r="O135" s="528"/>
      <c r="P135" s="528"/>
      <c r="Q135" s="528"/>
      <c r="R135" s="528"/>
    </row>
    <row r="136" spans="2:18" x14ac:dyDescent="0.25">
      <c r="B136" s="528"/>
      <c r="C136" s="528"/>
      <c r="D136" s="528"/>
      <c r="E136" s="528"/>
      <c r="F136" s="528"/>
      <c r="G136" s="528"/>
      <c r="H136" s="531"/>
      <c r="I136" s="528"/>
      <c r="J136" s="528"/>
      <c r="K136" s="528"/>
      <c r="L136" s="528"/>
      <c r="M136" s="528"/>
      <c r="N136" s="528"/>
      <c r="O136" s="528"/>
      <c r="P136" s="528"/>
      <c r="Q136" s="528"/>
      <c r="R136" s="528"/>
    </row>
    <row r="137" spans="2:18" x14ac:dyDescent="0.25">
      <c r="B137" s="528"/>
      <c r="C137" s="528"/>
      <c r="D137" s="528"/>
      <c r="E137" s="528"/>
      <c r="F137" s="528"/>
      <c r="G137" s="528"/>
      <c r="H137" s="531"/>
      <c r="I137" s="528"/>
      <c r="J137" s="528"/>
      <c r="K137" s="528"/>
      <c r="L137" s="528"/>
      <c r="M137" s="528"/>
      <c r="N137" s="528"/>
      <c r="O137" s="528"/>
      <c r="P137" s="528"/>
      <c r="Q137" s="528"/>
      <c r="R137" s="528"/>
    </row>
    <row r="138" spans="2:18" x14ac:dyDescent="0.25">
      <c r="B138" s="528"/>
      <c r="C138" s="528"/>
      <c r="D138" s="528"/>
      <c r="E138" s="528"/>
      <c r="F138" s="528"/>
      <c r="G138" s="528"/>
      <c r="H138" s="531"/>
      <c r="I138" s="528"/>
      <c r="J138" s="528"/>
      <c r="K138" s="528"/>
      <c r="L138" s="528"/>
      <c r="M138" s="528"/>
      <c r="N138" s="528"/>
      <c r="O138" s="528"/>
      <c r="P138" s="528"/>
      <c r="Q138" s="528"/>
      <c r="R138" s="528"/>
    </row>
    <row r="139" spans="2:18" x14ac:dyDescent="0.25">
      <c r="B139" s="528"/>
      <c r="C139" s="528"/>
      <c r="D139" s="528"/>
      <c r="E139" s="528"/>
      <c r="F139" s="528"/>
      <c r="G139" s="528"/>
      <c r="H139" s="531"/>
      <c r="I139" s="528"/>
      <c r="J139" s="528"/>
      <c r="K139" s="528"/>
      <c r="L139" s="528"/>
      <c r="M139" s="528"/>
      <c r="N139" s="528"/>
      <c r="O139" s="528"/>
      <c r="P139" s="528"/>
      <c r="Q139" s="528"/>
      <c r="R139" s="528"/>
    </row>
    <row r="140" spans="2:18" x14ac:dyDescent="0.25">
      <c r="B140" s="528"/>
      <c r="C140" s="528"/>
      <c r="D140" s="528"/>
      <c r="E140" s="528"/>
      <c r="F140" s="528"/>
      <c r="G140" s="528"/>
      <c r="H140" s="531"/>
      <c r="I140" s="528"/>
      <c r="J140" s="528"/>
      <c r="K140" s="528"/>
      <c r="L140" s="528"/>
      <c r="M140" s="528"/>
      <c r="N140" s="528"/>
      <c r="O140" s="528"/>
      <c r="P140" s="528"/>
      <c r="Q140" s="528"/>
      <c r="R140" s="528"/>
    </row>
    <row r="141" spans="2:18" x14ac:dyDescent="0.25">
      <c r="B141" s="528"/>
      <c r="C141" s="528"/>
      <c r="D141" s="528"/>
      <c r="E141" s="528"/>
      <c r="F141" s="528"/>
      <c r="G141" s="528"/>
      <c r="H141" s="531"/>
      <c r="I141" s="528"/>
      <c r="J141" s="528"/>
      <c r="K141" s="528"/>
      <c r="L141" s="528"/>
      <c r="M141" s="528"/>
      <c r="N141" s="528"/>
      <c r="O141" s="528"/>
      <c r="P141" s="528"/>
      <c r="Q141" s="528"/>
      <c r="R141" s="528"/>
    </row>
    <row r="142" spans="2:18" x14ac:dyDescent="0.25">
      <c r="B142" s="528"/>
      <c r="C142" s="528"/>
      <c r="D142" s="528"/>
      <c r="E142" s="528"/>
      <c r="F142" s="528"/>
      <c r="G142" s="528"/>
      <c r="H142" s="531"/>
      <c r="I142" s="528"/>
      <c r="J142" s="528"/>
      <c r="K142" s="528"/>
      <c r="L142" s="528"/>
      <c r="M142" s="528"/>
      <c r="N142" s="528"/>
      <c r="O142" s="528"/>
      <c r="P142" s="528"/>
      <c r="Q142" s="528"/>
      <c r="R142" s="528"/>
    </row>
    <row r="143" spans="2:18" x14ac:dyDescent="0.25">
      <c r="B143" s="528"/>
      <c r="C143" s="528"/>
      <c r="D143" s="528"/>
      <c r="E143" s="528"/>
      <c r="F143" s="528"/>
      <c r="G143" s="528"/>
      <c r="H143" s="531"/>
      <c r="I143" s="528"/>
      <c r="J143" s="528"/>
      <c r="K143" s="528"/>
      <c r="L143" s="528"/>
      <c r="M143" s="528"/>
      <c r="N143" s="528"/>
      <c r="O143" s="528"/>
      <c r="P143" s="528"/>
      <c r="Q143" s="528"/>
      <c r="R143" s="528"/>
    </row>
    <row r="144" spans="2:18" x14ac:dyDescent="0.25">
      <c r="B144" s="528"/>
      <c r="C144" s="528"/>
      <c r="D144" s="528"/>
      <c r="E144" s="528"/>
      <c r="F144" s="528"/>
      <c r="G144" s="528"/>
      <c r="H144" s="531"/>
      <c r="I144" s="528"/>
      <c r="J144" s="528"/>
      <c r="K144" s="528"/>
      <c r="L144" s="528"/>
      <c r="M144" s="528"/>
      <c r="N144" s="528"/>
      <c r="O144" s="528"/>
      <c r="P144" s="528"/>
      <c r="Q144" s="528"/>
      <c r="R144" s="528"/>
    </row>
    <row r="145" spans="2:18" x14ac:dyDescent="0.25">
      <c r="B145" s="528"/>
      <c r="C145" s="528"/>
      <c r="D145" s="528"/>
      <c r="E145" s="528"/>
      <c r="F145" s="528"/>
      <c r="G145" s="528"/>
      <c r="H145" s="531"/>
      <c r="I145" s="528"/>
      <c r="J145" s="528"/>
      <c r="K145" s="528"/>
      <c r="L145" s="528"/>
      <c r="M145" s="528"/>
      <c r="N145" s="528"/>
      <c r="O145" s="528"/>
      <c r="P145" s="528"/>
      <c r="Q145" s="528"/>
      <c r="R145" s="528"/>
    </row>
    <row r="146" spans="2:18" x14ac:dyDescent="0.25">
      <c r="B146" s="528"/>
      <c r="C146" s="528"/>
      <c r="D146" s="528"/>
      <c r="E146" s="528"/>
      <c r="F146" s="528"/>
      <c r="G146" s="528"/>
      <c r="H146" s="531"/>
      <c r="I146" s="528"/>
      <c r="J146" s="528"/>
      <c r="K146" s="528"/>
      <c r="L146" s="528"/>
      <c r="M146" s="528"/>
      <c r="N146" s="528"/>
      <c r="O146" s="528"/>
      <c r="P146" s="528"/>
      <c r="Q146" s="528"/>
      <c r="R146" s="528"/>
    </row>
    <row r="147" spans="2:18" x14ac:dyDescent="0.25">
      <c r="B147" s="528"/>
      <c r="C147" s="528"/>
      <c r="D147" s="528"/>
      <c r="E147" s="528"/>
      <c r="F147" s="528"/>
      <c r="G147" s="528"/>
      <c r="H147" s="531"/>
      <c r="I147" s="528"/>
      <c r="J147" s="528"/>
      <c r="K147" s="528"/>
      <c r="L147" s="528"/>
      <c r="M147" s="528"/>
      <c r="N147" s="528"/>
      <c r="O147" s="528"/>
      <c r="P147" s="528"/>
      <c r="Q147" s="528"/>
      <c r="R147" s="528"/>
    </row>
    <row r="148" spans="2:18" x14ac:dyDescent="0.25">
      <c r="B148" s="528"/>
      <c r="C148" s="528"/>
      <c r="D148" s="528"/>
      <c r="E148" s="528"/>
      <c r="F148" s="528"/>
      <c r="G148" s="528"/>
      <c r="H148" s="531"/>
      <c r="I148" s="528"/>
      <c r="J148" s="528"/>
      <c r="K148" s="528"/>
      <c r="L148" s="528"/>
      <c r="M148" s="528"/>
      <c r="N148" s="528"/>
      <c r="O148" s="528"/>
      <c r="P148" s="528"/>
      <c r="Q148" s="528"/>
      <c r="R148" s="528"/>
    </row>
    <row r="149" spans="2:18" x14ac:dyDescent="0.25">
      <c r="B149" s="528"/>
      <c r="C149" s="528"/>
      <c r="D149" s="528"/>
      <c r="E149" s="528"/>
      <c r="F149" s="528"/>
      <c r="G149" s="528"/>
      <c r="H149" s="531"/>
      <c r="I149" s="528"/>
      <c r="J149" s="528"/>
      <c r="K149" s="528"/>
      <c r="L149" s="528"/>
      <c r="M149" s="528"/>
      <c r="N149" s="528"/>
      <c r="O149" s="528"/>
      <c r="P149" s="528"/>
      <c r="Q149" s="528"/>
      <c r="R149" s="528"/>
    </row>
    <row r="150" spans="2:18" x14ac:dyDescent="0.25">
      <c r="B150" s="528"/>
      <c r="C150" s="528"/>
      <c r="D150" s="528"/>
      <c r="E150" s="528"/>
      <c r="F150" s="528"/>
      <c r="G150" s="528"/>
      <c r="H150" s="531"/>
      <c r="I150" s="528"/>
      <c r="J150" s="528"/>
      <c r="K150" s="528"/>
      <c r="L150" s="528"/>
      <c r="M150" s="528"/>
      <c r="N150" s="528"/>
      <c r="O150" s="528"/>
      <c r="P150" s="528"/>
      <c r="Q150" s="528"/>
      <c r="R150" s="528"/>
    </row>
  </sheetData>
  <conditionalFormatting sqref="E23:I33">
    <cfRule type="expression" dxfId="102" priority="7">
      <formula>$R$7=0</formula>
    </cfRule>
  </conditionalFormatting>
  <conditionalFormatting sqref="K23:O33">
    <cfRule type="expression" dxfId="101" priority="6">
      <formula>$S$7=0</formula>
    </cfRule>
  </conditionalFormatting>
  <conditionalFormatting sqref="E37:I47">
    <cfRule type="expression" dxfId="100" priority="5">
      <formula>$T$7=0</formula>
    </cfRule>
  </conditionalFormatting>
  <conditionalFormatting sqref="K37:O47">
    <cfRule type="expression" dxfId="99" priority="4">
      <formula>$U$7=0</formula>
    </cfRule>
  </conditionalFormatting>
  <conditionalFormatting sqref="B36:D48">
    <cfRule type="expression" dxfId="98" priority="3">
      <formula>$T$4=0</formula>
    </cfRule>
  </conditionalFormatting>
  <conditionalFormatting sqref="B22:D33">
    <cfRule type="expression" dxfId="97" priority="2">
      <formula>$R$4=0</formula>
    </cfRule>
  </conditionalFormatting>
  <printOptions horizontalCentered="1"/>
  <pageMargins left="0.7" right="0.7" top="0.75" bottom="0.75" header="0.3" footer="0.3"/>
  <pageSetup scale="70" orientation="landscape" r:id="rId1"/>
  <ignoredErrors>
    <ignoredError sqref="A22:P25 A33:P39 A26:D32 F26:J32 L26:P32 A47:P48 A40:D46 L40:P46 F40:J46 A2:P2 A5:B5 D5 F5:P5 A4:O4 A3:F3 H3:P3" unlockedFormula="1"/>
  </ignoredError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3">
    <tabColor theme="9" tint="-0.249977111117893"/>
    <pageSetUpPr fitToPage="1"/>
  </sheetPr>
  <dimension ref="A1:AS45"/>
  <sheetViews>
    <sheetView showGridLines="0" view="pageBreakPreview" zoomScale="80" zoomScaleNormal="132" zoomScaleSheetLayoutView="80" workbookViewId="0"/>
  </sheetViews>
  <sheetFormatPr defaultColWidth="9.42578125" defaultRowHeight="15" x14ac:dyDescent="0.25"/>
  <cols>
    <col min="1" max="1" width="1.5703125" style="1" customWidth="1"/>
    <col min="2" max="5" width="3" style="1" customWidth="1"/>
    <col min="6" max="6" width="13.5703125" style="1" customWidth="1"/>
    <col min="7" max="7" width="8.42578125" style="173" customWidth="1"/>
    <col min="8" max="8" width="3.42578125" style="1" customWidth="1"/>
    <col min="9" max="20" width="8.42578125" style="1" customWidth="1"/>
    <col min="21" max="21" width="2.42578125" style="1" customWidth="1"/>
    <col min="22" max="25" width="7.5703125" style="1" customWidth="1"/>
    <col min="26" max="26" width="3.42578125" style="1" customWidth="1"/>
    <col min="27" max="32" width="8.5703125" style="1" customWidth="1"/>
    <col min="33" max="16384" width="9.42578125" style="1"/>
  </cols>
  <sheetData>
    <row r="1" spans="1:45" ht="6" customHeight="1" thickBot="1" x14ac:dyDescent="0.3">
      <c r="B1" s="85"/>
      <c r="C1" s="86"/>
      <c r="D1" s="85"/>
      <c r="E1" s="85"/>
      <c r="F1" s="85"/>
      <c r="G1" s="505"/>
      <c r="H1" s="85"/>
      <c r="I1" s="85"/>
      <c r="J1" s="85"/>
      <c r="K1" s="85"/>
      <c r="L1" s="85"/>
      <c r="M1" s="85"/>
      <c r="N1" s="85"/>
      <c r="O1" s="85"/>
      <c r="P1" s="85"/>
      <c r="Q1" s="85"/>
      <c r="R1" s="85"/>
      <c r="S1" s="85"/>
      <c r="T1" s="85"/>
      <c r="U1" s="85"/>
      <c r="V1" s="85"/>
      <c r="W1" s="85"/>
      <c r="X1" s="85"/>
      <c r="Y1" s="85"/>
      <c r="Z1" s="85"/>
      <c r="AA1" s="85"/>
      <c r="AB1" s="85"/>
      <c r="AC1" s="85"/>
      <c r="AD1" s="85"/>
      <c r="AE1" s="85"/>
    </row>
    <row r="2" spans="1:45" ht="16.5" thickTop="1" x14ac:dyDescent="0.25">
      <c r="B2" s="110" t="str">
        <f>MainOutline!B2</f>
        <v>WB Santa Cruz</v>
      </c>
      <c r="C2" s="111"/>
      <c r="D2" s="111"/>
      <c r="E2" s="111"/>
      <c r="F2" s="111"/>
      <c r="G2" s="506"/>
      <c r="H2" s="111"/>
      <c r="I2" s="508" t="str">
        <f>'A1'!$C$90</f>
        <v>Acquisition of an existing facility</v>
      </c>
      <c r="J2" s="111"/>
      <c r="K2" s="111"/>
      <c r="L2" s="111"/>
      <c r="M2" s="111"/>
      <c r="N2" s="111"/>
      <c r="O2" s="111"/>
      <c r="P2" s="111"/>
      <c r="Q2" s="111"/>
      <c r="R2" s="111"/>
      <c r="S2" s="111"/>
      <c r="T2" s="1409"/>
      <c r="U2" s="111"/>
      <c r="V2" s="111"/>
      <c r="W2" s="111"/>
      <c r="X2" s="111"/>
      <c r="Y2" s="111"/>
      <c r="Z2" s="111"/>
      <c r="AA2" s="111"/>
      <c r="AB2" s="111"/>
      <c r="AC2" s="111"/>
      <c r="AD2" s="111"/>
      <c r="AE2" s="1409">
        <f>$A3</f>
        <v>31</v>
      </c>
      <c r="AK2" s="82" t="str">
        <f>D10</f>
        <v>In Center</v>
      </c>
      <c r="AL2" s="82" t="str">
        <f>D11</f>
        <v>Nocturnal</v>
      </c>
    </row>
    <row r="3" spans="1:45" ht="15.75" x14ac:dyDescent="0.25">
      <c r="A3" s="123">
        <f>MainOutline!B46</f>
        <v>31</v>
      </c>
      <c r="B3" s="102" t="str">
        <f>MainOutline!C46</f>
        <v>Appendix C1</v>
      </c>
      <c r="C3" s="89"/>
      <c r="D3" s="89"/>
      <c r="E3" s="89"/>
      <c r="F3" s="89"/>
      <c r="G3" s="509"/>
      <c r="H3" s="89"/>
      <c r="I3" s="89"/>
      <c r="J3" s="89"/>
      <c r="K3" s="89"/>
      <c r="L3" s="89"/>
      <c r="M3" s="89"/>
      <c r="N3" s="89"/>
      <c r="O3" s="89"/>
      <c r="P3" s="89"/>
      <c r="Q3" s="89"/>
      <c r="R3" s="89"/>
      <c r="S3" s="89"/>
      <c r="T3" s="89"/>
      <c r="U3" s="89"/>
      <c r="V3" s="89"/>
      <c r="W3" s="89"/>
      <c r="X3" s="89"/>
      <c r="Y3" s="89"/>
      <c r="Z3" s="89"/>
      <c r="AA3" s="89"/>
      <c r="AB3" s="89"/>
      <c r="AC3" s="89"/>
      <c r="AD3" s="89"/>
      <c r="AE3" s="89"/>
      <c r="AI3" s="1" t="s">
        <v>114</v>
      </c>
      <c r="AK3" s="1">
        <f>'A1'!AG9</f>
        <v>0</v>
      </c>
      <c r="AL3" s="1">
        <f>'A1'!AH9</f>
        <v>0</v>
      </c>
    </row>
    <row r="4" spans="1:45" ht="16.5" thickBot="1" x14ac:dyDescent="0.3">
      <c r="B4" s="104" t="s">
        <v>466</v>
      </c>
      <c r="C4" s="97"/>
      <c r="D4" s="97"/>
      <c r="E4" s="97"/>
      <c r="F4" s="97"/>
      <c r="G4" s="510"/>
      <c r="H4" s="97"/>
      <c r="I4" s="97"/>
      <c r="J4" s="97"/>
      <c r="K4" s="97"/>
      <c r="L4" s="97"/>
      <c r="M4" s="97"/>
      <c r="N4" s="97"/>
      <c r="O4" s="97"/>
      <c r="P4" s="97"/>
      <c r="Q4" s="97"/>
      <c r="R4" s="97"/>
      <c r="S4" s="97"/>
      <c r="T4" s="388"/>
      <c r="U4" s="97"/>
      <c r="V4" s="97"/>
      <c r="W4" s="97"/>
      <c r="X4" s="97"/>
      <c r="Y4" s="97"/>
      <c r="Z4" s="97"/>
      <c r="AA4" s="97"/>
      <c r="AB4" s="97"/>
      <c r="AC4" s="97"/>
      <c r="AD4" s="97"/>
      <c r="AE4" s="138" t="s">
        <v>19</v>
      </c>
      <c r="AI4" s="1" t="s">
        <v>110</v>
      </c>
      <c r="AK4" s="1">
        <f>'A1'!AG43</f>
        <v>0</v>
      </c>
      <c r="AL4" s="1">
        <f>'A1'!AH43</f>
        <v>0</v>
      </c>
    </row>
    <row r="5" spans="1:45" ht="15.75" thickTop="1" x14ac:dyDescent="0.25">
      <c r="AI5" s="1" t="s">
        <v>98</v>
      </c>
    </row>
    <row r="6" spans="1:45" ht="17.25" x14ac:dyDescent="0.4">
      <c r="I6" s="681" t="s">
        <v>471</v>
      </c>
      <c r="J6" s="715"/>
      <c r="K6" s="715"/>
      <c r="L6" s="715"/>
      <c r="M6" s="715"/>
      <c r="N6" s="715"/>
      <c r="O6" s="715"/>
      <c r="P6" s="715"/>
      <c r="Q6" s="715"/>
      <c r="R6" s="715"/>
      <c r="S6" s="715"/>
      <c r="T6" s="716"/>
      <c r="V6" s="681" t="s">
        <v>472</v>
      </c>
      <c r="W6" s="715"/>
      <c r="X6" s="715"/>
      <c r="Y6" s="716"/>
      <c r="AA6" s="681" t="s">
        <v>133</v>
      </c>
      <c r="AB6" s="715"/>
      <c r="AC6" s="715"/>
      <c r="AD6" s="715"/>
      <c r="AE6" s="715"/>
    </row>
    <row r="7" spans="1:45" s="173" customFormat="1" ht="15.75" thickBot="1" x14ac:dyDescent="0.3">
      <c r="I7" s="717">
        <v>1</v>
      </c>
      <c r="J7" s="717">
        <f>I7+1</f>
        <v>2</v>
      </c>
      <c r="K7" s="717">
        <f t="shared" ref="K7:T7" si="0">J7+1</f>
        <v>3</v>
      </c>
      <c r="L7" s="717">
        <f t="shared" si="0"/>
        <v>4</v>
      </c>
      <c r="M7" s="717">
        <f t="shared" si="0"/>
        <v>5</v>
      </c>
      <c r="N7" s="717">
        <f t="shared" si="0"/>
        <v>6</v>
      </c>
      <c r="O7" s="717">
        <f t="shared" si="0"/>
        <v>7</v>
      </c>
      <c r="P7" s="717">
        <f t="shared" si="0"/>
        <v>8</v>
      </c>
      <c r="Q7" s="717">
        <f t="shared" si="0"/>
        <v>9</v>
      </c>
      <c r="R7" s="717">
        <f t="shared" si="0"/>
        <v>10</v>
      </c>
      <c r="S7" s="717">
        <f t="shared" si="0"/>
        <v>11</v>
      </c>
      <c r="T7" s="718">
        <f t="shared" si="0"/>
        <v>12</v>
      </c>
      <c r="U7" s="1"/>
      <c r="V7" s="719" t="s">
        <v>24</v>
      </c>
      <c r="W7" s="719" t="s">
        <v>25</v>
      </c>
      <c r="X7" s="719" t="s">
        <v>26</v>
      </c>
      <c r="Y7" s="720" t="s">
        <v>27</v>
      </c>
      <c r="Z7" s="1"/>
      <c r="AA7" s="684">
        <v>1</v>
      </c>
      <c r="AB7" s="684">
        <v>2</v>
      </c>
      <c r="AC7" s="684">
        <v>3</v>
      </c>
      <c r="AD7" s="684">
        <v>4</v>
      </c>
      <c r="AE7" s="685">
        <v>5</v>
      </c>
      <c r="AG7" s="82"/>
    </row>
    <row r="8" spans="1:45" x14ac:dyDescent="0.25">
      <c r="T8" s="188"/>
      <c r="Y8" s="188"/>
      <c r="AG8" s="82"/>
      <c r="AH8" s="1" t="s">
        <v>130</v>
      </c>
      <c r="AO8" s="1" t="s">
        <v>131</v>
      </c>
    </row>
    <row r="9" spans="1:45" ht="15.75" x14ac:dyDescent="0.25">
      <c r="B9" s="513" t="s">
        <v>141</v>
      </c>
      <c r="T9" s="188"/>
      <c r="Y9" s="188"/>
      <c r="AG9" s="173"/>
      <c r="AH9" s="721">
        <v>1</v>
      </c>
      <c r="AI9" s="721">
        <v>2</v>
      </c>
      <c r="AJ9" s="721">
        <f>AC7</f>
        <v>3</v>
      </c>
      <c r="AK9" s="721">
        <f>AD7</f>
        <v>4</v>
      </c>
      <c r="AL9" s="721">
        <f>AE7</f>
        <v>5</v>
      </c>
      <c r="AM9" s="173"/>
      <c r="AN9" s="173"/>
      <c r="AO9" s="721">
        <v>2</v>
      </c>
      <c r="AP9" s="721">
        <v>3</v>
      </c>
      <c r="AQ9" s="721">
        <v>4</v>
      </c>
      <c r="AR9" s="721">
        <v>5</v>
      </c>
      <c r="AS9" s="173"/>
    </row>
    <row r="10" spans="1:45" x14ac:dyDescent="0.25">
      <c r="D10" s="82" t="str">
        <f>'A1'!E9</f>
        <v>In Center</v>
      </c>
      <c r="G10" s="377">
        <f>AK3</f>
        <v>0</v>
      </c>
      <c r="H10" s="173"/>
      <c r="I10" s="519">
        <f>IF(AcqType=1,G10*'A3'!I33/2,G10*'A3'!I33)</f>
        <v>0</v>
      </c>
      <c r="J10" s="519">
        <f>$G10*AVERAGE('A3'!I33:J33)</f>
        <v>0</v>
      </c>
      <c r="K10" s="519">
        <f>$G10*AVERAGE('A3'!J33:K33)</f>
        <v>0</v>
      </c>
      <c r="L10" s="519">
        <f>$G10*AVERAGE('A3'!K33:L33)</f>
        <v>0</v>
      </c>
      <c r="M10" s="519">
        <f>$G10*AVERAGE('A3'!L33:M33)</f>
        <v>0</v>
      </c>
      <c r="N10" s="519">
        <f>$G10*AVERAGE('A3'!M33:N33)</f>
        <v>0</v>
      </c>
      <c r="O10" s="519">
        <f>$G10*AVERAGE('A3'!N33:O33)</f>
        <v>0</v>
      </c>
      <c r="P10" s="519">
        <f>$G10*AVERAGE('A3'!O33:P33)</f>
        <v>0</v>
      </c>
      <c r="Q10" s="519">
        <f>$G10*AVERAGE('A3'!P33:Q33)</f>
        <v>0</v>
      </c>
      <c r="R10" s="519">
        <f>$G10*AVERAGE('A3'!Q33:R33)</f>
        <v>0</v>
      </c>
      <c r="S10" s="519">
        <f>$G10*AVERAGE('A3'!R33:S33)</f>
        <v>0</v>
      </c>
      <c r="T10" s="723">
        <f>$G10*AVERAGE('A3'!S33:T33)</f>
        <v>0</v>
      </c>
      <c r="U10" s="519"/>
      <c r="V10" s="519">
        <f>AVERAGE(AH10,AH14)</f>
        <v>0</v>
      </c>
      <c r="W10" s="519">
        <f t="shared" ref="W10:Y11" si="1">AVERAGE(AH14:AI14)</f>
        <v>0</v>
      </c>
      <c r="X10" s="519">
        <f t="shared" si="1"/>
        <v>0</v>
      </c>
      <c r="Y10" s="723">
        <f t="shared" si="1"/>
        <v>0</v>
      </c>
      <c r="Z10" s="519"/>
      <c r="AA10" s="519">
        <f>AVERAGE(I10:T10)</f>
        <v>0</v>
      </c>
      <c r="AB10" s="519">
        <f>AVERAGE(AH10:AI10)</f>
        <v>0</v>
      </c>
      <c r="AC10" s="519">
        <f t="shared" ref="AC10:AE11" si="2">AVERAGE(AI10:AJ10)</f>
        <v>0</v>
      </c>
      <c r="AD10" s="519">
        <f t="shared" si="2"/>
        <v>0</v>
      </c>
      <c r="AE10" s="519">
        <f t="shared" si="2"/>
        <v>0</v>
      </c>
      <c r="AG10" s="435"/>
      <c r="AH10" s="832">
        <f>'A3'!H33*'A3'!T33</f>
        <v>0</v>
      </c>
      <c r="AI10" s="832">
        <f t="shared" ref="AI10:AL11" si="3">AH10*(1+AO10)</f>
        <v>0</v>
      </c>
      <c r="AJ10" s="832">
        <f t="shared" si="3"/>
        <v>0</v>
      </c>
      <c r="AK10" s="832">
        <f t="shared" si="3"/>
        <v>0</v>
      </c>
      <c r="AL10" s="832">
        <f t="shared" si="3"/>
        <v>0</v>
      </c>
      <c r="AM10" s="173"/>
      <c r="AN10" s="173"/>
      <c r="AO10" s="77">
        <f>'A1'!E47</f>
        <v>0.05</v>
      </c>
      <c r="AP10" s="77">
        <f>'A1'!E48</f>
        <v>0.05</v>
      </c>
      <c r="AQ10" s="77">
        <f>'A1'!E49</f>
        <v>0.05</v>
      </c>
      <c r="AR10" s="77">
        <f>'A1'!E50</f>
        <v>0.05</v>
      </c>
      <c r="AS10" s="173"/>
    </row>
    <row r="11" spans="1:45" ht="17.25" x14ac:dyDescent="0.4">
      <c r="D11" s="82" t="str">
        <f>'A1'!F9</f>
        <v>Nocturnal</v>
      </c>
      <c r="G11" s="377">
        <f>AL3</f>
        <v>0</v>
      </c>
      <c r="H11" s="173"/>
      <c r="I11" s="724">
        <f>IF(AcqType=1,G11*'A3'!I34/2,G11*'A3'!I34)</f>
        <v>0</v>
      </c>
      <c r="J11" s="724">
        <f>$G11*AVERAGE('A3'!I34:J34)</f>
        <v>0</v>
      </c>
      <c r="K11" s="724">
        <f>$G11*AVERAGE('A3'!J34:K34)</f>
        <v>0</v>
      </c>
      <c r="L11" s="724">
        <f>$G11*AVERAGE('A3'!K34:L34)</f>
        <v>0</v>
      </c>
      <c r="M11" s="724">
        <f>$G11*AVERAGE('A3'!L34:M34)</f>
        <v>0</v>
      </c>
      <c r="N11" s="724">
        <f>$G11*AVERAGE('A3'!M34:N34)</f>
        <v>0</v>
      </c>
      <c r="O11" s="724">
        <f>$G11*AVERAGE('A3'!N34:O34)</f>
        <v>0</v>
      </c>
      <c r="P11" s="724">
        <f>$G11*AVERAGE('A3'!O34:P34)</f>
        <v>0</v>
      </c>
      <c r="Q11" s="724">
        <f>$G11*AVERAGE('A3'!P34:Q34)</f>
        <v>0</v>
      </c>
      <c r="R11" s="724">
        <f>$G11*AVERAGE('A3'!Q34:R34)</f>
        <v>0</v>
      </c>
      <c r="S11" s="724">
        <f>$G11*AVERAGE('A3'!R34:S34)</f>
        <v>0</v>
      </c>
      <c r="T11" s="725">
        <f>$G11*AVERAGE('A3'!S34:T34)</f>
        <v>0</v>
      </c>
      <c r="U11" s="724"/>
      <c r="V11" s="724">
        <f>AVERAGE(AH11,AH15)</f>
        <v>0</v>
      </c>
      <c r="W11" s="724">
        <f t="shared" si="1"/>
        <v>0</v>
      </c>
      <c r="X11" s="724">
        <f t="shared" si="1"/>
        <v>0</v>
      </c>
      <c r="Y11" s="725">
        <f t="shared" si="1"/>
        <v>0</v>
      </c>
      <c r="Z11" s="724"/>
      <c r="AA11" s="724">
        <f>AVERAGE(I11:T11)</f>
        <v>0</v>
      </c>
      <c r="AB11" s="724">
        <f>AVERAGE(AH11:AI11)</f>
        <v>0</v>
      </c>
      <c r="AC11" s="724">
        <f t="shared" si="2"/>
        <v>0</v>
      </c>
      <c r="AD11" s="724">
        <f t="shared" si="2"/>
        <v>0</v>
      </c>
      <c r="AE11" s="724">
        <f t="shared" si="2"/>
        <v>0</v>
      </c>
      <c r="AG11" s="435"/>
      <c r="AH11" s="832">
        <f>'A3'!H34*'A3'!T34</f>
        <v>0</v>
      </c>
      <c r="AI11" s="832">
        <f t="shared" si="3"/>
        <v>0</v>
      </c>
      <c r="AJ11" s="832">
        <f t="shared" si="3"/>
        <v>0</v>
      </c>
      <c r="AK11" s="832">
        <f t="shared" si="3"/>
        <v>0</v>
      </c>
      <c r="AL11" s="832">
        <f t="shared" si="3"/>
        <v>0</v>
      </c>
      <c r="AM11" s="173"/>
      <c r="AN11" s="173"/>
      <c r="AO11" s="77">
        <f>'A1'!F47</f>
        <v>0.05</v>
      </c>
      <c r="AP11" s="77">
        <f>'A1'!F48</f>
        <v>0.05</v>
      </c>
      <c r="AQ11" s="77">
        <f>'A1'!F49</f>
        <v>0.05</v>
      </c>
      <c r="AR11" s="77">
        <f>'A1'!F50</f>
        <v>0.05</v>
      </c>
      <c r="AS11" s="173"/>
    </row>
    <row r="12" spans="1:45" s="516" customFormat="1" x14ac:dyDescent="0.25">
      <c r="D12" s="516" t="s">
        <v>13</v>
      </c>
      <c r="G12" s="517"/>
      <c r="H12" s="517"/>
      <c r="I12" s="518">
        <f>SUMPRODUCT(I10:I11,$G$10:$G$11)</f>
        <v>0</v>
      </c>
      <c r="J12" s="518">
        <f t="shared" ref="J12:AE12" si="4">SUMPRODUCT(J10:J11,$G$10:$G$11)</f>
        <v>0</v>
      </c>
      <c r="K12" s="518">
        <f t="shared" si="4"/>
        <v>0</v>
      </c>
      <c r="L12" s="518">
        <f t="shared" si="4"/>
        <v>0</v>
      </c>
      <c r="M12" s="518">
        <f t="shared" si="4"/>
        <v>0</v>
      </c>
      <c r="N12" s="518">
        <f t="shared" si="4"/>
        <v>0</v>
      </c>
      <c r="O12" s="518">
        <f t="shared" si="4"/>
        <v>0</v>
      </c>
      <c r="P12" s="518">
        <f t="shared" si="4"/>
        <v>0</v>
      </c>
      <c r="Q12" s="518">
        <f t="shared" si="4"/>
        <v>0</v>
      </c>
      <c r="R12" s="518">
        <f t="shared" si="4"/>
        <v>0</v>
      </c>
      <c r="S12" s="518">
        <f t="shared" si="4"/>
        <v>0</v>
      </c>
      <c r="T12" s="726">
        <f t="shared" si="4"/>
        <v>0</v>
      </c>
      <c r="U12" s="518"/>
      <c r="V12" s="518">
        <f t="shared" si="4"/>
        <v>0</v>
      </c>
      <c r="W12" s="518">
        <f t="shared" si="4"/>
        <v>0</v>
      </c>
      <c r="X12" s="518">
        <f t="shared" si="4"/>
        <v>0</v>
      </c>
      <c r="Y12" s="726">
        <f t="shared" si="4"/>
        <v>0</v>
      </c>
      <c r="Z12" s="727"/>
      <c r="AA12" s="727">
        <f t="shared" si="4"/>
        <v>0</v>
      </c>
      <c r="AB12" s="727">
        <f t="shared" si="4"/>
        <v>0</v>
      </c>
      <c r="AC12" s="727">
        <f t="shared" si="4"/>
        <v>0</v>
      </c>
      <c r="AD12" s="727">
        <f t="shared" si="4"/>
        <v>0</v>
      </c>
      <c r="AE12" s="518">
        <f t="shared" si="4"/>
        <v>0</v>
      </c>
      <c r="AH12" s="1357" t="s">
        <v>1060</v>
      </c>
      <c r="AI12" s="1358"/>
      <c r="AJ12" s="1358"/>
      <c r="AK12" s="1358"/>
      <c r="AL12" s="1359"/>
      <c r="AO12" s="517"/>
      <c r="AP12" s="517"/>
      <c r="AQ12" s="517"/>
      <c r="AR12" s="517"/>
      <c r="AS12" s="517"/>
    </row>
    <row r="13" spans="1:45" x14ac:dyDescent="0.25">
      <c r="H13" s="173"/>
      <c r="I13" s="36"/>
      <c r="J13" s="36"/>
      <c r="K13" s="36"/>
      <c r="L13" s="36"/>
      <c r="M13" s="36"/>
      <c r="N13" s="36"/>
      <c r="O13" s="36"/>
      <c r="P13" s="36"/>
      <c r="Q13" s="36"/>
      <c r="R13" s="36"/>
      <c r="S13" s="36"/>
      <c r="T13" s="51"/>
      <c r="U13" s="36"/>
      <c r="V13" s="36"/>
      <c r="W13" s="36"/>
      <c r="X13" s="36"/>
      <c r="Y13" s="51"/>
      <c r="Z13" s="36"/>
      <c r="AA13" s="36"/>
      <c r="AB13" s="36"/>
      <c r="AC13" s="36"/>
      <c r="AD13" s="36"/>
      <c r="AE13" s="36"/>
      <c r="AH13" s="1360" t="str">
        <f>V7</f>
        <v>Y2Q1</v>
      </c>
      <c r="AI13" s="173" t="str">
        <f>W7</f>
        <v>Y2Q2</v>
      </c>
      <c r="AJ13" s="173" t="str">
        <f>X7</f>
        <v>Y2Q3</v>
      </c>
      <c r="AK13" s="173" t="str">
        <f>Y7</f>
        <v>Y2Q4</v>
      </c>
      <c r="AL13" s="1361" t="s">
        <v>1061</v>
      </c>
      <c r="AO13" s="173"/>
      <c r="AP13" s="173"/>
      <c r="AQ13" s="173"/>
      <c r="AR13" s="173"/>
      <c r="AS13" s="173"/>
    </row>
    <row r="14" spans="1:45" x14ac:dyDescent="0.25">
      <c r="H14" s="173"/>
      <c r="I14" s="36"/>
      <c r="J14" s="36"/>
      <c r="K14" s="36"/>
      <c r="L14" s="36"/>
      <c r="M14" s="36"/>
      <c r="N14" s="36"/>
      <c r="O14" s="36"/>
      <c r="P14" s="36"/>
      <c r="Q14" s="36"/>
      <c r="R14" s="36"/>
      <c r="S14" s="36"/>
      <c r="T14" s="51"/>
      <c r="U14" s="36"/>
      <c r="V14" s="36"/>
      <c r="W14" s="36"/>
      <c r="X14" s="36"/>
      <c r="Y14" s="51"/>
      <c r="Z14" s="36"/>
      <c r="AA14" s="36"/>
      <c r="AB14" s="36"/>
      <c r="AC14" s="36"/>
      <c r="AD14" s="36"/>
      <c r="AE14" s="36"/>
      <c r="AH14" s="1471">
        <f>$AH10+($AI$10-$AH$10)/4</f>
        <v>0</v>
      </c>
      <c r="AI14" s="78">
        <f>AH14+($AI$10-$AH$10)/4</f>
        <v>0</v>
      </c>
      <c r="AJ14" s="78">
        <f>AI14+($AI$10-$AH$10)/4</f>
        <v>0</v>
      </c>
      <c r="AK14" s="78">
        <f>AJ14+($AI$10-$AH$10)/4</f>
        <v>0</v>
      </c>
      <c r="AL14" s="1362">
        <f>AI10-AK14</f>
        <v>0</v>
      </c>
      <c r="AO14" s="173"/>
      <c r="AP14" s="173"/>
      <c r="AQ14" s="173"/>
      <c r="AR14" s="173"/>
      <c r="AS14" s="173"/>
    </row>
    <row r="15" spans="1:45" ht="15.75" x14ac:dyDescent="0.25">
      <c r="B15" s="513" t="s">
        <v>126</v>
      </c>
      <c r="H15" s="173"/>
      <c r="I15" s="36"/>
      <c r="J15" s="36"/>
      <c r="K15" s="36"/>
      <c r="L15" s="36"/>
      <c r="M15" s="36"/>
      <c r="N15" s="36"/>
      <c r="O15" s="36"/>
      <c r="P15" s="36"/>
      <c r="Q15" s="36"/>
      <c r="R15" s="36"/>
      <c r="S15" s="36"/>
      <c r="T15" s="51"/>
      <c r="U15" s="36"/>
      <c r="V15" s="36"/>
      <c r="W15" s="36"/>
      <c r="X15" s="36"/>
      <c r="Y15" s="51"/>
      <c r="Z15" s="36"/>
      <c r="AA15" s="36"/>
      <c r="AB15" s="36"/>
      <c r="AC15" s="36"/>
      <c r="AD15" s="36"/>
      <c r="AE15" s="36"/>
      <c r="AH15" s="178">
        <f>$AH11+($AI$11-$AH$11)/4</f>
        <v>0</v>
      </c>
      <c r="AI15" s="46">
        <f>AH15+($AI$11-$AH$11)/4</f>
        <v>0</v>
      </c>
      <c r="AJ15" s="46">
        <f>AI15+($AI$11-$AH$11)/4</f>
        <v>0</v>
      </c>
      <c r="AK15" s="46">
        <f>AJ15+($AI$11-$AH$11)/4</f>
        <v>0</v>
      </c>
      <c r="AL15" s="380"/>
      <c r="AO15" s="173"/>
      <c r="AP15" s="173"/>
      <c r="AQ15" s="173"/>
      <c r="AR15" s="173"/>
      <c r="AS15" s="173"/>
    </row>
    <row r="16" spans="1:45" x14ac:dyDescent="0.25">
      <c r="I16" s="36"/>
      <c r="J16" s="36"/>
      <c r="K16" s="36"/>
      <c r="L16" s="36"/>
      <c r="M16" s="36"/>
      <c r="N16" s="36"/>
      <c r="O16" s="36"/>
      <c r="P16" s="36"/>
      <c r="Q16" s="36"/>
      <c r="R16" s="36"/>
      <c r="S16" s="36"/>
      <c r="T16" s="51"/>
      <c r="U16" s="36"/>
      <c r="V16" s="36"/>
      <c r="W16" s="36"/>
      <c r="X16" s="36"/>
      <c r="Y16" s="51"/>
      <c r="Z16" s="36"/>
      <c r="AA16" s="36"/>
      <c r="AB16" s="36"/>
      <c r="AC16" s="36"/>
      <c r="AD16" s="36"/>
      <c r="AE16" s="36"/>
      <c r="AH16" s="1" t="s">
        <v>99</v>
      </c>
      <c r="AI16" s="1" t="s">
        <v>100</v>
      </c>
      <c r="AJ16" s="1" t="s">
        <v>101</v>
      </c>
      <c r="AK16" s="1" t="s">
        <v>102</v>
      </c>
      <c r="AO16" s="173"/>
      <c r="AP16" s="173"/>
      <c r="AQ16" s="173"/>
      <c r="AR16" s="173"/>
      <c r="AS16" s="173"/>
    </row>
    <row r="17" spans="2:45" x14ac:dyDescent="0.25">
      <c r="C17" s="82" t="str">
        <f>D10 &amp; " Treatments"</f>
        <v>In Center Treatments</v>
      </c>
      <c r="I17" s="13">
        <f t="shared" ref="I17:T17" si="5">I$10*$AI17</f>
        <v>0</v>
      </c>
      <c r="J17" s="13">
        <f t="shared" si="5"/>
        <v>0</v>
      </c>
      <c r="K17" s="13">
        <f t="shared" si="5"/>
        <v>0</v>
      </c>
      <c r="L17" s="13">
        <f t="shared" si="5"/>
        <v>0</v>
      </c>
      <c r="M17" s="13">
        <f t="shared" si="5"/>
        <v>0</v>
      </c>
      <c r="N17" s="13">
        <f t="shared" si="5"/>
        <v>0</v>
      </c>
      <c r="O17" s="13">
        <f t="shared" si="5"/>
        <v>0</v>
      </c>
      <c r="P17" s="13">
        <f t="shared" si="5"/>
        <v>0</v>
      </c>
      <c r="Q17" s="13">
        <f t="shared" si="5"/>
        <v>0</v>
      </c>
      <c r="R17" s="13">
        <f t="shared" si="5"/>
        <v>0</v>
      </c>
      <c r="S17" s="13">
        <f t="shared" si="5"/>
        <v>0</v>
      </c>
      <c r="T17" s="14">
        <f t="shared" si="5"/>
        <v>0</v>
      </c>
      <c r="U17" s="13"/>
      <c r="V17" s="13">
        <f>V$10*$AJ17</f>
        <v>0</v>
      </c>
      <c r="W17" s="13">
        <f>W$10*$AJ17</f>
        <v>0</v>
      </c>
      <c r="X17" s="13">
        <f>X$10*$AJ17</f>
        <v>0</v>
      </c>
      <c r="Y17" s="14">
        <f>Y$10*$AJ17</f>
        <v>0</v>
      </c>
      <c r="Z17" s="13"/>
      <c r="AA17" s="13">
        <f>SUM(I17:T17)</f>
        <v>0</v>
      </c>
      <c r="AB17" s="13">
        <f>SUM(V17:Y17)</f>
        <v>0</v>
      </c>
      <c r="AC17" s="13">
        <f>AC$10*$AK17</f>
        <v>0</v>
      </c>
      <c r="AD17" s="13">
        <f>AD$10*$AK17</f>
        <v>0</v>
      </c>
      <c r="AE17" s="13">
        <f>AE$10*$AK17</f>
        <v>0</v>
      </c>
      <c r="AI17" s="728">
        <f>AK4</f>
        <v>0</v>
      </c>
      <c r="AJ17" s="729">
        <f>AI17*3</f>
        <v>0</v>
      </c>
      <c r="AK17" s="729">
        <f>AI17*12</f>
        <v>0</v>
      </c>
      <c r="AL17" s="173"/>
      <c r="AO17" s="173"/>
      <c r="AP17" s="173"/>
      <c r="AQ17" s="173"/>
      <c r="AR17" s="173"/>
      <c r="AS17" s="173"/>
    </row>
    <row r="18" spans="2:45" x14ac:dyDescent="0.25">
      <c r="D18" s="82" t="str">
        <f>'A1'!$D$25</f>
        <v>Commercial</v>
      </c>
      <c r="I18" s="13"/>
      <c r="J18" s="13"/>
      <c r="K18" s="13"/>
      <c r="L18" s="13"/>
      <c r="M18" s="13"/>
      <c r="N18" s="13"/>
      <c r="O18" s="13"/>
      <c r="P18" s="13"/>
      <c r="Q18" s="13"/>
      <c r="R18" s="13"/>
      <c r="S18" s="13"/>
      <c r="T18" s="14"/>
      <c r="U18" s="13"/>
      <c r="V18" s="13"/>
      <c r="W18" s="13"/>
      <c r="X18" s="13"/>
      <c r="Y18" s="14"/>
      <c r="Z18" s="13"/>
      <c r="AA18" s="13"/>
      <c r="AB18" s="13"/>
      <c r="AC18" s="13"/>
      <c r="AD18" s="13"/>
      <c r="AE18" s="13"/>
      <c r="AI18" s="56"/>
      <c r="AJ18" s="729"/>
      <c r="AK18" s="729"/>
      <c r="AL18" s="173"/>
      <c r="AO18" s="173"/>
      <c r="AP18" s="173"/>
      <c r="AQ18" s="173"/>
      <c r="AR18" s="173"/>
      <c r="AS18" s="173"/>
    </row>
    <row r="19" spans="2:45" x14ac:dyDescent="0.25">
      <c r="E19" s="1" t="str">
        <f>'A1'!D26</f>
        <v>Non-contracted</v>
      </c>
      <c r="G19" s="77">
        <f>AH19</f>
        <v>0</v>
      </c>
      <c r="H19" s="76"/>
      <c r="I19" s="13">
        <f t="shared" ref="I19:T19" si="6">I17*$G19</f>
        <v>0</v>
      </c>
      <c r="J19" s="13">
        <f t="shared" si="6"/>
        <v>0</v>
      </c>
      <c r="K19" s="13">
        <f t="shared" si="6"/>
        <v>0</v>
      </c>
      <c r="L19" s="13">
        <f t="shared" si="6"/>
        <v>0</v>
      </c>
      <c r="M19" s="13">
        <f t="shared" si="6"/>
        <v>0</v>
      </c>
      <c r="N19" s="13">
        <f t="shared" si="6"/>
        <v>0</v>
      </c>
      <c r="O19" s="13">
        <f t="shared" si="6"/>
        <v>0</v>
      </c>
      <c r="P19" s="13">
        <f t="shared" si="6"/>
        <v>0</v>
      </c>
      <c r="Q19" s="13">
        <f t="shared" si="6"/>
        <v>0</v>
      </c>
      <c r="R19" s="13">
        <f t="shared" si="6"/>
        <v>0</v>
      </c>
      <c r="S19" s="13">
        <f t="shared" si="6"/>
        <v>0</v>
      </c>
      <c r="T19" s="14">
        <f t="shared" si="6"/>
        <v>0</v>
      </c>
      <c r="U19" s="13"/>
      <c r="V19" s="13">
        <f>V17*$AI19</f>
        <v>0</v>
      </c>
      <c r="W19" s="13">
        <f>W17*$AI19</f>
        <v>0</v>
      </c>
      <c r="X19" s="13">
        <f>X17*$AI19</f>
        <v>0</v>
      </c>
      <c r="Y19" s="14">
        <f>Y17*$AI19</f>
        <v>0</v>
      </c>
      <c r="Z19" s="13"/>
      <c r="AA19" s="13">
        <f>SUM(I19:T19)</f>
        <v>0</v>
      </c>
      <c r="AB19" s="13">
        <f>SUM(V19:Y19)</f>
        <v>0</v>
      </c>
      <c r="AC19" s="13">
        <f>AC$17*AJ19</f>
        <v>0</v>
      </c>
      <c r="AD19" s="13">
        <f>AD$17*AK19</f>
        <v>0</v>
      </c>
      <c r="AE19" s="13">
        <f>AE$17*AL19</f>
        <v>0</v>
      </c>
      <c r="AH19" s="634">
        <f>'B2'!E26</f>
        <v>0</v>
      </c>
      <c r="AI19" s="634">
        <f>'B2'!F26</f>
        <v>0</v>
      </c>
      <c r="AJ19" s="634">
        <f>'B2'!G26</f>
        <v>0</v>
      </c>
      <c r="AK19" s="634">
        <f>'B2'!H26</f>
        <v>0</v>
      </c>
      <c r="AL19" s="634">
        <f>'B2'!I26</f>
        <v>0</v>
      </c>
      <c r="AM19" s="173"/>
      <c r="AO19" s="173"/>
      <c r="AP19" s="173"/>
      <c r="AQ19" s="173"/>
      <c r="AR19" s="173"/>
      <c r="AS19" s="173"/>
    </row>
    <row r="20" spans="2:45" x14ac:dyDescent="0.25">
      <c r="E20" s="1" t="str">
        <f>'A1'!D27</f>
        <v>Contracted</v>
      </c>
      <c r="G20" s="77">
        <f t="shared" ref="G20:G25" si="7">AH20</f>
        <v>0</v>
      </c>
      <c r="H20" s="76"/>
      <c r="I20" s="13">
        <f t="shared" ref="I20:T20" si="8">I17*$G20</f>
        <v>0</v>
      </c>
      <c r="J20" s="13">
        <f t="shared" si="8"/>
        <v>0</v>
      </c>
      <c r="K20" s="13">
        <f t="shared" si="8"/>
        <v>0</v>
      </c>
      <c r="L20" s="13">
        <f t="shared" si="8"/>
        <v>0</v>
      </c>
      <c r="M20" s="13">
        <f t="shared" si="8"/>
        <v>0</v>
      </c>
      <c r="N20" s="13">
        <f t="shared" si="8"/>
        <v>0</v>
      </c>
      <c r="O20" s="13">
        <f t="shared" si="8"/>
        <v>0</v>
      </c>
      <c r="P20" s="13">
        <f t="shared" si="8"/>
        <v>0</v>
      </c>
      <c r="Q20" s="13">
        <f t="shared" si="8"/>
        <v>0</v>
      </c>
      <c r="R20" s="13">
        <f t="shared" si="8"/>
        <v>0</v>
      </c>
      <c r="S20" s="13">
        <f t="shared" si="8"/>
        <v>0</v>
      </c>
      <c r="T20" s="14">
        <f t="shared" si="8"/>
        <v>0</v>
      </c>
      <c r="U20" s="13"/>
      <c r="V20" s="13">
        <f>V17*$AI20</f>
        <v>0</v>
      </c>
      <c r="W20" s="13">
        <f>W17*$AI20</f>
        <v>0</v>
      </c>
      <c r="X20" s="13">
        <f>X17*$AI20</f>
        <v>0</v>
      </c>
      <c r="Y20" s="14">
        <f>Y17*$AI20</f>
        <v>0</v>
      </c>
      <c r="Z20" s="13"/>
      <c r="AA20" s="13">
        <f t="shared" ref="AA20:AA25" si="9">SUM(I20:T20)</f>
        <v>0</v>
      </c>
      <c r="AB20" s="13">
        <f t="shared" ref="AB20:AB25" si="10">SUM(V20:Y20)</f>
        <v>0</v>
      </c>
      <c r="AC20" s="13">
        <f t="shared" ref="AC20:AC25" si="11">AC$17*AJ20</f>
        <v>0</v>
      </c>
      <c r="AD20" s="13">
        <f t="shared" ref="AD20:AD25" si="12">AD$17*AK20</f>
        <v>0</v>
      </c>
      <c r="AE20" s="13">
        <f t="shared" ref="AE20:AE25" si="13">AE$17*AL20</f>
        <v>0</v>
      </c>
      <c r="AH20" s="634">
        <f>'B2'!E27</f>
        <v>0</v>
      </c>
      <c r="AI20" s="634">
        <f>'B2'!F27</f>
        <v>0</v>
      </c>
      <c r="AJ20" s="634">
        <f>'B2'!G27</f>
        <v>0</v>
      </c>
      <c r="AK20" s="634">
        <f>'B2'!H27</f>
        <v>0</v>
      </c>
      <c r="AL20" s="634">
        <f>'B2'!I27</f>
        <v>0</v>
      </c>
      <c r="AM20" s="173"/>
      <c r="AO20" s="173"/>
      <c r="AP20" s="173"/>
      <c r="AQ20" s="173"/>
      <c r="AR20" s="173"/>
      <c r="AS20" s="173"/>
    </row>
    <row r="21" spans="2:45" x14ac:dyDescent="0.25">
      <c r="E21" s="1" t="str">
        <f>'A1'!D28</f>
        <v>KP</v>
      </c>
      <c r="G21" s="77">
        <f t="shared" si="7"/>
        <v>0</v>
      </c>
      <c r="H21" s="76"/>
      <c r="I21" s="13">
        <f t="shared" ref="I21:T21" si="14">I17*$G21</f>
        <v>0</v>
      </c>
      <c r="J21" s="13">
        <f t="shared" si="14"/>
        <v>0</v>
      </c>
      <c r="K21" s="13">
        <f t="shared" si="14"/>
        <v>0</v>
      </c>
      <c r="L21" s="13">
        <f t="shared" si="14"/>
        <v>0</v>
      </c>
      <c r="M21" s="13">
        <f t="shared" si="14"/>
        <v>0</v>
      </c>
      <c r="N21" s="13">
        <f t="shared" si="14"/>
        <v>0</v>
      </c>
      <c r="O21" s="13">
        <f t="shared" si="14"/>
        <v>0</v>
      </c>
      <c r="P21" s="13">
        <f t="shared" si="14"/>
        <v>0</v>
      </c>
      <c r="Q21" s="13">
        <f t="shared" si="14"/>
        <v>0</v>
      </c>
      <c r="R21" s="13">
        <f t="shared" si="14"/>
        <v>0</v>
      </c>
      <c r="S21" s="13">
        <f t="shared" si="14"/>
        <v>0</v>
      </c>
      <c r="T21" s="14">
        <f t="shared" si="14"/>
        <v>0</v>
      </c>
      <c r="U21" s="13"/>
      <c r="V21" s="13">
        <f>V17*$AI21</f>
        <v>0</v>
      </c>
      <c r="W21" s="13">
        <f>W17*$AI21</f>
        <v>0</v>
      </c>
      <c r="X21" s="13">
        <f>X17*$AI21</f>
        <v>0</v>
      </c>
      <c r="Y21" s="14">
        <f>Y17*$AI21</f>
        <v>0</v>
      </c>
      <c r="Z21" s="13"/>
      <c r="AA21" s="13">
        <f t="shared" si="9"/>
        <v>0</v>
      </c>
      <c r="AB21" s="13">
        <f t="shared" si="10"/>
        <v>0</v>
      </c>
      <c r="AC21" s="13">
        <f t="shared" si="11"/>
        <v>0</v>
      </c>
      <c r="AD21" s="13">
        <f t="shared" si="12"/>
        <v>0</v>
      </c>
      <c r="AE21" s="13">
        <f t="shared" si="13"/>
        <v>0</v>
      </c>
      <c r="AH21" s="634">
        <f>'B2'!E28</f>
        <v>0</v>
      </c>
      <c r="AI21" s="634">
        <f>'B2'!F28</f>
        <v>0</v>
      </c>
      <c r="AJ21" s="634">
        <f>'B2'!G28</f>
        <v>0</v>
      </c>
      <c r="AK21" s="634">
        <f>'B2'!H28</f>
        <v>0</v>
      </c>
      <c r="AL21" s="634">
        <f>'B2'!I28</f>
        <v>0</v>
      </c>
      <c r="AM21" s="173"/>
      <c r="AO21" s="173"/>
      <c r="AP21" s="173"/>
      <c r="AQ21" s="173"/>
      <c r="AR21" s="173"/>
      <c r="AS21" s="173"/>
    </row>
    <row r="22" spans="2:45" x14ac:dyDescent="0.25">
      <c r="D22" s="82" t="str">
        <f>'A1'!D29</f>
        <v>Medicare</v>
      </c>
      <c r="G22" s="77">
        <f t="shared" si="7"/>
        <v>0</v>
      </c>
      <c r="H22" s="76"/>
      <c r="I22" s="13">
        <f t="shared" ref="I22:T22" si="15">I17*$G22</f>
        <v>0</v>
      </c>
      <c r="J22" s="13">
        <f t="shared" si="15"/>
        <v>0</v>
      </c>
      <c r="K22" s="13">
        <f t="shared" si="15"/>
        <v>0</v>
      </c>
      <c r="L22" s="13">
        <f t="shared" si="15"/>
        <v>0</v>
      </c>
      <c r="M22" s="13">
        <f t="shared" si="15"/>
        <v>0</v>
      </c>
      <c r="N22" s="13">
        <f t="shared" si="15"/>
        <v>0</v>
      </c>
      <c r="O22" s="13">
        <f t="shared" si="15"/>
        <v>0</v>
      </c>
      <c r="P22" s="13">
        <f t="shared" si="15"/>
        <v>0</v>
      </c>
      <c r="Q22" s="13">
        <f t="shared" si="15"/>
        <v>0</v>
      </c>
      <c r="R22" s="13">
        <f t="shared" si="15"/>
        <v>0</v>
      </c>
      <c r="S22" s="13">
        <f t="shared" si="15"/>
        <v>0</v>
      </c>
      <c r="T22" s="14">
        <f t="shared" si="15"/>
        <v>0</v>
      </c>
      <c r="U22" s="13"/>
      <c r="V22" s="13">
        <f>V17*$AI22</f>
        <v>0</v>
      </c>
      <c r="W22" s="13">
        <f>W17*$AI22</f>
        <v>0</v>
      </c>
      <c r="X22" s="13">
        <f>X17*$AI22</f>
        <v>0</v>
      </c>
      <c r="Y22" s="14">
        <f>Y17*$AI22</f>
        <v>0</v>
      </c>
      <c r="Z22" s="13"/>
      <c r="AA22" s="13">
        <f t="shared" si="9"/>
        <v>0</v>
      </c>
      <c r="AB22" s="13">
        <f t="shared" si="10"/>
        <v>0</v>
      </c>
      <c r="AC22" s="13">
        <f t="shared" si="11"/>
        <v>0</v>
      </c>
      <c r="AD22" s="13">
        <f t="shared" si="12"/>
        <v>0</v>
      </c>
      <c r="AE22" s="13">
        <f t="shared" si="13"/>
        <v>0</v>
      </c>
      <c r="AH22" s="634">
        <f>'B2'!E29</f>
        <v>0</v>
      </c>
      <c r="AI22" s="634">
        <f>'B2'!F29</f>
        <v>0</v>
      </c>
      <c r="AJ22" s="634">
        <f>'B2'!G29</f>
        <v>0</v>
      </c>
      <c r="AK22" s="634">
        <f>'B2'!H29</f>
        <v>0</v>
      </c>
      <c r="AL22" s="634">
        <f>'B2'!I29</f>
        <v>0</v>
      </c>
      <c r="AM22" s="173"/>
      <c r="AO22" s="173"/>
      <c r="AP22" s="173"/>
      <c r="AQ22" s="173"/>
      <c r="AR22" s="173"/>
      <c r="AS22" s="173"/>
    </row>
    <row r="23" spans="2:45" x14ac:dyDescent="0.25">
      <c r="D23" s="82" t="str">
        <f>'A1'!D30</f>
        <v>Medicaid</v>
      </c>
      <c r="G23" s="77">
        <f t="shared" si="7"/>
        <v>0</v>
      </c>
      <c r="H23" s="76"/>
      <c r="I23" s="13">
        <f t="shared" ref="I23:T23" si="16">I17*$G23</f>
        <v>0</v>
      </c>
      <c r="J23" s="13">
        <f t="shared" si="16"/>
        <v>0</v>
      </c>
      <c r="K23" s="13">
        <f t="shared" si="16"/>
        <v>0</v>
      </c>
      <c r="L23" s="13">
        <f t="shared" si="16"/>
        <v>0</v>
      </c>
      <c r="M23" s="13">
        <f t="shared" si="16"/>
        <v>0</v>
      </c>
      <c r="N23" s="13">
        <f t="shared" si="16"/>
        <v>0</v>
      </c>
      <c r="O23" s="13">
        <f t="shared" si="16"/>
        <v>0</v>
      </c>
      <c r="P23" s="13">
        <f t="shared" si="16"/>
        <v>0</v>
      </c>
      <c r="Q23" s="13">
        <f t="shared" si="16"/>
        <v>0</v>
      </c>
      <c r="R23" s="13">
        <f t="shared" si="16"/>
        <v>0</v>
      </c>
      <c r="S23" s="13">
        <f t="shared" si="16"/>
        <v>0</v>
      </c>
      <c r="T23" s="14">
        <f t="shared" si="16"/>
        <v>0</v>
      </c>
      <c r="U23" s="13"/>
      <c r="V23" s="13">
        <f>V17*$AI23</f>
        <v>0</v>
      </c>
      <c r="W23" s="13">
        <f>W17*$AI23</f>
        <v>0</v>
      </c>
      <c r="X23" s="13">
        <f>X17*$AI23</f>
        <v>0</v>
      </c>
      <c r="Y23" s="14">
        <f>Y17*$AI23</f>
        <v>0</v>
      </c>
      <c r="Z23" s="13"/>
      <c r="AA23" s="13">
        <f t="shared" si="9"/>
        <v>0</v>
      </c>
      <c r="AB23" s="13">
        <f t="shared" si="10"/>
        <v>0</v>
      </c>
      <c r="AC23" s="13">
        <f t="shared" si="11"/>
        <v>0</v>
      </c>
      <c r="AD23" s="13">
        <f t="shared" si="12"/>
        <v>0</v>
      </c>
      <c r="AE23" s="13">
        <f t="shared" si="13"/>
        <v>0</v>
      </c>
      <c r="AH23" s="634">
        <f>'B2'!E30</f>
        <v>0</v>
      </c>
      <c r="AI23" s="634">
        <f>'B2'!F30</f>
        <v>0</v>
      </c>
      <c r="AJ23" s="634">
        <f>'B2'!G30</f>
        <v>0</v>
      </c>
      <c r="AK23" s="634">
        <f>'B2'!H30</f>
        <v>0</v>
      </c>
      <c r="AL23" s="634">
        <f>'B2'!I30</f>
        <v>0</v>
      </c>
      <c r="AM23" s="173"/>
      <c r="AO23" s="173"/>
      <c r="AP23" s="173"/>
      <c r="AQ23" s="173"/>
      <c r="AR23" s="173"/>
      <c r="AS23" s="173"/>
    </row>
    <row r="24" spans="2:45" x14ac:dyDescent="0.25">
      <c r="D24" s="82" t="str">
        <f>'A1'!D31</f>
        <v>Other</v>
      </c>
      <c r="G24" s="77">
        <f t="shared" si="7"/>
        <v>0</v>
      </c>
      <c r="H24" s="76"/>
      <c r="I24" s="13">
        <f t="shared" ref="I24:T24" si="17">I17*$G24</f>
        <v>0</v>
      </c>
      <c r="J24" s="13">
        <f t="shared" si="17"/>
        <v>0</v>
      </c>
      <c r="K24" s="13">
        <f t="shared" si="17"/>
        <v>0</v>
      </c>
      <c r="L24" s="13">
        <f t="shared" si="17"/>
        <v>0</v>
      </c>
      <c r="M24" s="13">
        <f t="shared" si="17"/>
        <v>0</v>
      </c>
      <c r="N24" s="13">
        <f t="shared" si="17"/>
        <v>0</v>
      </c>
      <c r="O24" s="13">
        <f t="shared" si="17"/>
        <v>0</v>
      </c>
      <c r="P24" s="13">
        <f t="shared" si="17"/>
        <v>0</v>
      </c>
      <c r="Q24" s="13">
        <f t="shared" si="17"/>
        <v>0</v>
      </c>
      <c r="R24" s="13">
        <f t="shared" si="17"/>
        <v>0</v>
      </c>
      <c r="S24" s="13">
        <f t="shared" si="17"/>
        <v>0</v>
      </c>
      <c r="T24" s="14">
        <f t="shared" si="17"/>
        <v>0</v>
      </c>
      <c r="U24" s="13"/>
      <c r="V24" s="13">
        <f>V17*$AI24</f>
        <v>0</v>
      </c>
      <c r="W24" s="13">
        <f>W17*$AI24</f>
        <v>0</v>
      </c>
      <c r="X24" s="13">
        <f>X17*$AI24</f>
        <v>0</v>
      </c>
      <c r="Y24" s="14">
        <f>Y17*$AI24</f>
        <v>0</v>
      </c>
      <c r="Z24" s="13"/>
      <c r="AA24" s="13">
        <f t="shared" si="9"/>
        <v>0</v>
      </c>
      <c r="AB24" s="13">
        <f t="shared" si="10"/>
        <v>0</v>
      </c>
      <c r="AC24" s="13">
        <f t="shared" si="11"/>
        <v>0</v>
      </c>
      <c r="AD24" s="13">
        <f t="shared" si="12"/>
        <v>0</v>
      </c>
      <c r="AE24" s="13">
        <f t="shared" si="13"/>
        <v>0</v>
      </c>
      <c r="AH24" s="634">
        <f>'B2'!E31</f>
        <v>0</v>
      </c>
      <c r="AI24" s="634">
        <f>'B2'!F31</f>
        <v>0</v>
      </c>
      <c r="AJ24" s="634">
        <f>'B2'!G31</f>
        <v>0</v>
      </c>
      <c r="AK24" s="634">
        <f>'B2'!H31</f>
        <v>0</v>
      </c>
      <c r="AL24" s="634">
        <f>'B2'!I31</f>
        <v>0</v>
      </c>
      <c r="AM24" s="173"/>
      <c r="AO24" s="173"/>
      <c r="AP24" s="173"/>
      <c r="AQ24" s="173"/>
      <c r="AR24" s="173"/>
      <c r="AS24" s="173"/>
    </row>
    <row r="25" spans="2:45" ht="17.25" x14ac:dyDescent="0.4">
      <c r="D25" s="82" t="str">
        <f>'A1'!D32</f>
        <v>AKI</v>
      </c>
      <c r="G25" s="730">
        <f t="shared" si="7"/>
        <v>0</v>
      </c>
      <c r="H25" s="76"/>
      <c r="I25" s="731">
        <f t="shared" ref="I25:T25" si="18">I17*$G25</f>
        <v>0</v>
      </c>
      <c r="J25" s="731">
        <f t="shared" si="18"/>
        <v>0</v>
      </c>
      <c r="K25" s="731">
        <f t="shared" si="18"/>
        <v>0</v>
      </c>
      <c r="L25" s="731">
        <f t="shared" si="18"/>
        <v>0</v>
      </c>
      <c r="M25" s="731">
        <f t="shared" si="18"/>
        <v>0</v>
      </c>
      <c r="N25" s="731">
        <f t="shared" si="18"/>
        <v>0</v>
      </c>
      <c r="O25" s="731">
        <f t="shared" si="18"/>
        <v>0</v>
      </c>
      <c r="P25" s="731">
        <f t="shared" si="18"/>
        <v>0</v>
      </c>
      <c r="Q25" s="731">
        <f t="shared" si="18"/>
        <v>0</v>
      </c>
      <c r="R25" s="731">
        <f t="shared" si="18"/>
        <v>0</v>
      </c>
      <c r="S25" s="731">
        <f t="shared" si="18"/>
        <v>0</v>
      </c>
      <c r="T25" s="732">
        <f t="shared" si="18"/>
        <v>0</v>
      </c>
      <c r="U25" s="13"/>
      <c r="V25" s="731">
        <f>V17*$AI25</f>
        <v>0</v>
      </c>
      <c r="W25" s="731">
        <f>W17*$AI25</f>
        <v>0</v>
      </c>
      <c r="X25" s="731">
        <f>X17*$AI25</f>
        <v>0</v>
      </c>
      <c r="Y25" s="732">
        <f>Y17*$AI25</f>
        <v>0</v>
      </c>
      <c r="Z25" s="731"/>
      <c r="AA25" s="558">
        <f t="shared" si="9"/>
        <v>0</v>
      </c>
      <c r="AB25" s="558">
        <f t="shared" si="10"/>
        <v>0</v>
      </c>
      <c r="AC25" s="558">
        <f t="shared" si="11"/>
        <v>0</v>
      </c>
      <c r="AD25" s="558">
        <f t="shared" si="12"/>
        <v>0</v>
      </c>
      <c r="AE25" s="558">
        <f t="shared" si="13"/>
        <v>0</v>
      </c>
      <c r="AH25" s="634">
        <f>'B2'!E32</f>
        <v>0</v>
      </c>
      <c r="AI25" s="634">
        <f>'B2'!F32</f>
        <v>0</v>
      </c>
      <c r="AJ25" s="634">
        <f>'B2'!G32</f>
        <v>0</v>
      </c>
      <c r="AK25" s="634">
        <f>'B2'!H32</f>
        <v>0</v>
      </c>
      <c r="AL25" s="634">
        <f>'B2'!I32</f>
        <v>0</v>
      </c>
      <c r="AM25" s="173"/>
      <c r="AO25" s="173"/>
      <c r="AP25" s="173"/>
      <c r="AQ25" s="173"/>
      <c r="AR25" s="173"/>
      <c r="AS25" s="173"/>
    </row>
    <row r="26" spans="2:45" x14ac:dyDescent="0.25">
      <c r="D26" s="82"/>
      <c r="G26" s="77">
        <f>SUM(G19:G25)</f>
        <v>0</v>
      </c>
      <c r="I26" s="13">
        <f t="shared" ref="I26:T26" si="19">SUM(I19:I25)</f>
        <v>0</v>
      </c>
      <c r="J26" s="13">
        <f t="shared" si="19"/>
        <v>0</v>
      </c>
      <c r="K26" s="13">
        <f t="shared" si="19"/>
        <v>0</v>
      </c>
      <c r="L26" s="13">
        <f t="shared" si="19"/>
        <v>0</v>
      </c>
      <c r="M26" s="13">
        <f t="shared" si="19"/>
        <v>0</v>
      </c>
      <c r="N26" s="13">
        <f t="shared" si="19"/>
        <v>0</v>
      </c>
      <c r="O26" s="13">
        <f t="shared" si="19"/>
        <v>0</v>
      </c>
      <c r="P26" s="13">
        <f t="shared" si="19"/>
        <v>0</v>
      </c>
      <c r="Q26" s="13">
        <f t="shared" si="19"/>
        <v>0</v>
      </c>
      <c r="R26" s="13">
        <f t="shared" si="19"/>
        <v>0</v>
      </c>
      <c r="S26" s="13">
        <f t="shared" si="19"/>
        <v>0</v>
      </c>
      <c r="T26" s="14">
        <f t="shared" si="19"/>
        <v>0</v>
      </c>
      <c r="U26" s="13"/>
      <c r="V26" s="13">
        <f>SUM(V19:V25)</f>
        <v>0</v>
      </c>
      <c r="W26" s="13">
        <f>SUM(W19:W25)</f>
        <v>0</v>
      </c>
      <c r="X26" s="13">
        <f>SUM(X19:X25)</f>
        <v>0</v>
      </c>
      <c r="Y26" s="14">
        <f>SUM(Y19:Y25)</f>
        <v>0</v>
      </c>
      <c r="Z26" s="13"/>
      <c r="AA26" s="13">
        <f>SUM(AA19:AA25)</f>
        <v>0</v>
      </c>
      <c r="AB26" s="13">
        <f>SUM(AB19:AB25)</f>
        <v>0</v>
      </c>
      <c r="AC26" s="13">
        <f>SUM(AC19:AC25)</f>
        <v>0</v>
      </c>
      <c r="AD26" s="13">
        <f>SUM(AD19:AD25)</f>
        <v>0</v>
      </c>
      <c r="AE26" s="13">
        <f>SUM(AE19:AE25)</f>
        <v>0</v>
      </c>
      <c r="AH26" s="173"/>
      <c r="AI26" s="729"/>
      <c r="AJ26" s="729"/>
      <c r="AK26" s="729"/>
      <c r="AL26" s="173"/>
      <c r="AM26" s="173"/>
      <c r="AO26" s="173"/>
      <c r="AP26" s="173"/>
      <c r="AQ26" s="173"/>
      <c r="AR26" s="173"/>
      <c r="AS26" s="173"/>
    </row>
    <row r="27" spans="2:45" x14ac:dyDescent="0.25"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14"/>
      <c r="U27" s="13"/>
      <c r="V27" s="13"/>
      <c r="W27" s="13"/>
      <c r="X27" s="13"/>
      <c r="Y27" s="14"/>
      <c r="Z27" s="13"/>
      <c r="AA27" s="13"/>
      <c r="AB27" s="13"/>
      <c r="AC27" s="13"/>
      <c r="AD27" s="13"/>
      <c r="AE27" s="13"/>
      <c r="AF27" s="1" t="s">
        <v>1185</v>
      </c>
      <c r="AH27" s="56">
        <f>AH10+AH11</f>
        <v>0</v>
      </c>
      <c r="AI27" s="56">
        <f>AI10+AI11</f>
        <v>0</v>
      </c>
      <c r="AJ27" s="56">
        <f>AJ10+AJ11</f>
        <v>0</v>
      </c>
      <c r="AK27" s="56">
        <f>AK10+AK11</f>
        <v>0</v>
      </c>
      <c r="AL27" s="56">
        <f>AL10+AL11</f>
        <v>0</v>
      </c>
      <c r="AM27" s="173"/>
      <c r="AO27" s="173"/>
      <c r="AP27" s="173"/>
      <c r="AQ27" s="173"/>
      <c r="AR27" s="173"/>
      <c r="AS27" s="173"/>
    </row>
    <row r="28" spans="2:45" x14ac:dyDescent="0.25">
      <c r="I28" s="36"/>
      <c r="J28" s="36"/>
      <c r="K28" s="36"/>
      <c r="L28" s="36"/>
      <c r="M28" s="36"/>
      <c r="N28" s="36"/>
      <c r="O28" s="36"/>
      <c r="P28" s="36"/>
      <c r="Q28" s="36"/>
      <c r="R28" s="36"/>
      <c r="S28" s="36"/>
      <c r="T28" s="51"/>
      <c r="U28" s="36"/>
      <c r="V28" s="36"/>
      <c r="W28" s="36"/>
      <c r="X28" s="36"/>
      <c r="Y28" s="51"/>
      <c r="Z28" s="36"/>
      <c r="AA28" s="13"/>
      <c r="AB28" s="13"/>
      <c r="AC28" s="36"/>
      <c r="AD28" s="36"/>
      <c r="AE28" s="36"/>
      <c r="AH28" s="173"/>
      <c r="AI28" s="173"/>
      <c r="AJ28" s="173"/>
      <c r="AK28" s="173"/>
      <c r="AL28" s="173"/>
      <c r="AM28" s="173"/>
      <c r="AO28" s="173"/>
      <c r="AP28" s="173"/>
      <c r="AQ28" s="173"/>
      <c r="AR28" s="173"/>
      <c r="AS28" s="173"/>
    </row>
    <row r="29" spans="2:45" ht="18" x14ac:dyDescent="0.4">
      <c r="B29" s="513" t="s">
        <v>104</v>
      </c>
      <c r="G29" s="1"/>
      <c r="T29" s="188"/>
      <c r="Y29" s="188"/>
      <c r="AA29" s="558"/>
      <c r="AB29" s="558"/>
      <c r="AH29" s="173"/>
      <c r="AI29" s="173"/>
      <c r="AJ29" s="173"/>
      <c r="AK29" s="173"/>
      <c r="AL29" s="173"/>
      <c r="AM29" s="173"/>
      <c r="AO29" s="173"/>
      <c r="AP29" s="173"/>
      <c r="AQ29" s="173"/>
      <c r="AR29" s="173"/>
      <c r="AS29" s="173"/>
    </row>
    <row r="30" spans="2:45" x14ac:dyDescent="0.25">
      <c r="D30" s="81" t="str">
        <f>D18</f>
        <v>Commercial</v>
      </c>
      <c r="E30" s="81"/>
      <c r="I30" s="36"/>
      <c r="J30" s="36"/>
      <c r="K30" s="36"/>
      <c r="L30" s="36"/>
      <c r="M30" s="36"/>
      <c r="N30" s="36"/>
      <c r="O30" s="36"/>
      <c r="P30" s="36"/>
      <c r="Q30" s="36"/>
      <c r="R30" s="36"/>
      <c r="S30" s="36"/>
      <c r="T30" s="51"/>
      <c r="U30" s="36"/>
      <c r="V30" s="36"/>
      <c r="W30" s="36"/>
      <c r="X30" s="36"/>
      <c r="Y30" s="51"/>
      <c r="Z30" s="36"/>
      <c r="AA30" s="36"/>
      <c r="AB30" s="36"/>
      <c r="AC30" s="36"/>
      <c r="AD30" s="36"/>
      <c r="AE30" s="36"/>
      <c r="AH30" s="173"/>
      <c r="AI30" s="721">
        <f>AI9</f>
        <v>2</v>
      </c>
      <c r="AJ30" s="721">
        <f>AJ9</f>
        <v>3</v>
      </c>
      <c r="AK30" s="721">
        <f>AK9</f>
        <v>4</v>
      </c>
      <c r="AL30" s="721">
        <f>AL9</f>
        <v>5</v>
      </c>
      <c r="AM30" s="721"/>
      <c r="AO30" s="173"/>
      <c r="AP30" s="173"/>
      <c r="AQ30" s="173"/>
      <c r="AR30" s="173"/>
      <c r="AS30" s="173"/>
    </row>
    <row r="31" spans="2:45" x14ac:dyDescent="0.25">
      <c r="D31" s="81"/>
      <c r="E31" s="81" t="str">
        <f>E19</f>
        <v>Non-contracted</v>
      </c>
      <c r="G31" s="371">
        <f>'A1'!AG18</f>
        <v>0</v>
      </c>
      <c r="H31" s="76"/>
      <c r="I31" s="13">
        <f t="shared" ref="I31:T31" si="20">I19*$G31/1000</f>
        <v>0</v>
      </c>
      <c r="J31" s="13">
        <f t="shared" si="20"/>
        <v>0</v>
      </c>
      <c r="K31" s="13">
        <f t="shared" si="20"/>
        <v>0</v>
      </c>
      <c r="L31" s="13">
        <f t="shared" si="20"/>
        <v>0</v>
      </c>
      <c r="M31" s="13">
        <f t="shared" si="20"/>
        <v>0</v>
      </c>
      <c r="N31" s="13">
        <f t="shared" si="20"/>
        <v>0</v>
      </c>
      <c r="O31" s="13">
        <f t="shared" si="20"/>
        <v>0</v>
      </c>
      <c r="P31" s="13">
        <f t="shared" si="20"/>
        <v>0</v>
      </c>
      <c r="Q31" s="13">
        <f t="shared" si="20"/>
        <v>0</v>
      </c>
      <c r="R31" s="13">
        <f t="shared" si="20"/>
        <v>0</v>
      </c>
      <c r="S31" s="13">
        <f t="shared" si="20"/>
        <v>0</v>
      </c>
      <c r="T31" s="14">
        <f t="shared" si="20"/>
        <v>0</v>
      </c>
      <c r="U31" s="13"/>
      <c r="V31" s="13">
        <f t="shared" ref="V31:Y37" si="21">V19*$AI31/1000</f>
        <v>0</v>
      </c>
      <c r="W31" s="13">
        <f t="shared" si="21"/>
        <v>0</v>
      </c>
      <c r="X31" s="13">
        <f t="shared" si="21"/>
        <v>0</v>
      </c>
      <c r="Y31" s="14">
        <f t="shared" si="21"/>
        <v>0</v>
      </c>
      <c r="Z31" s="13"/>
      <c r="AA31" s="13">
        <f t="shared" ref="AA31:AA37" si="22">SUM(I31:T31)</f>
        <v>0</v>
      </c>
      <c r="AB31" s="13">
        <f t="shared" ref="AB31:AB37" si="23">SUM(V31:Y31)</f>
        <v>0</v>
      </c>
      <c r="AC31" s="13">
        <f t="shared" ref="AC31:AE37" si="24">AC19*AJ31/1000</f>
        <v>0</v>
      </c>
      <c r="AD31" s="13">
        <f t="shared" si="24"/>
        <v>0</v>
      </c>
      <c r="AE31" s="13">
        <f t="shared" si="24"/>
        <v>0</v>
      </c>
      <c r="AG31" s="76">
        <f>'A1'!I26</f>
        <v>0.01</v>
      </c>
      <c r="AH31" s="173"/>
      <c r="AI31" s="729">
        <f t="shared" ref="AI31:AI37" si="25">G31*(1+AG31)</f>
        <v>0</v>
      </c>
      <c r="AJ31" s="729">
        <f t="shared" ref="AJ31:AL37" si="26">AI31*(1+$AG31)</f>
        <v>0</v>
      </c>
      <c r="AK31" s="729">
        <f t="shared" si="26"/>
        <v>0</v>
      </c>
      <c r="AL31" s="729">
        <f t="shared" si="26"/>
        <v>0</v>
      </c>
      <c r="AM31" s="173"/>
      <c r="AO31" s="173"/>
      <c r="AP31" s="173"/>
      <c r="AQ31" s="173"/>
      <c r="AR31" s="173"/>
      <c r="AS31" s="173"/>
    </row>
    <row r="32" spans="2:45" x14ac:dyDescent="0.25">
      <c r="D32" s="81"/>
      <c r="E32" s="81" t="str">
        <f>E20</f>
        <v>Contracted</v>
      </c>
      <c r="G32" s="371">
        <f>'A1'!AG19</f>
        <v>0</v>
      </c>
      <c r="H32" s="76"/>
      <c r="I32" s="13">
        <f t="shared" ref="I32:T32" si="27">I20*$G32/1000</f>
        <v>0</v>
      </c>
      <c r="J32" s="13">
        <f t="shared" si="27"/>
        <v>0</v>
      </c>
      <c r="K32" s="13">
        <f t="shared" si="27"/>
        <v>0</v>
      </c>
      <c r="L32" s="13">
        <f t="shared" si="27"/>
        <v>0</v>
      </c>
      <c r="M32" s="13">
        <f t="shared" si="27"/>
        <v>0</v>
      </c>
      <c r="N32" s="13">
        <f t="shared" si="27"/>
        <v>0</v>
      </c>
      <c r="O32" s="13">
        <f t="shared" si="27"/>
        <v>0</v>
      </c>
      <c r="P32" s="13">
        <f t="shared" si="27"/>
        <v>0</v>
      </c>
      <c r="Q32" s="13">
        <f t="shared" si="27"/>
        <v>0</v>
      </c>
      <c r="R32" s="13">
        <f t="shared" si="27"/>
        <v>0</v>
      </c>
      <c r="S32" s="13">
        <f t="shared" si="27"/>
        <v>0</v>
      </c>
      <c r="T32" s="14">
        <f t="shared" si="27"/>
        <v>0</v>
      </c>
      <c r="U32" s="13"/>
      <c r="V32" s="13">
        <f t="shared" si="21"/>
        <v>0</v>
      </c>
      <c r="W32" s="13">
        <f t="shared" si="21"/>
        <v>0</v>
      </c>
      <c r="X32" s="13">
        <f t="shared" si="21"/>
        <v>0</v>
      </c>
      <c r="Y32" s="14">
        <f t="shared" si="21"/>
        <v>0</v>
      </c>
      <c r="Z32" s="13"/>
      <c r="AA32" s="13">
        <f t="shared" si="22"/>
        <v>0</v>
      </c>
      <c r="AB32" s="13">
        <f t="shared" si="23"/>
        <v>0</v>
      </c>
      <c r="AC32" s="13">
        <f t="shared" si="24"/>
        <v>0</v>
      </c>
      <c r="AD32" s="13">
        <f t="shared" si="24"/>
        <v>0</v>
      </c>
      <c r="AE32" s="13">
        <f t="shared" si="24"/>
        <v>0</v>
      </c>
      <c r="AG32" s="76">
        <f>'A1'!I27</f>
        <v>0.01</v>
      </c>
      <c r="AH32" s="173"/>
      <c r="AI32" s="729">
        <f t="shared" si="25"/>
        <v>0</v>
      </c>
      <c r="AJ32" s="729">
        <f t="shared" si="26"/>
        <v>0</v>
      </c>
      <c r="AK32" s="729">
        <f t="shared" si="26"/>
        <v>0</v>
      </c>
      <c r="AL32" s="729">
        <f t="shared" si="26"/>
        <v>0</v>
      </c>
      <c r="AM32" s="173"/>
      <c r="AO32" s="173"/>
      <c r="AP32" s="173"/>
      <c r="AQ32" s="173"/>
      <c r="AR32" s="173"/>
      <c r="AS32" s="173"/>
    </row>
    <row r="33" spans="3:45" ht="15.75" thickBot="1" x14ac:dyDescent="0.3">
      <c r="D33" s="81"/>
      <c r="E33" s="81" t="str">
        <f>E21</f>
        <v>KP</v>
      </c>
      <c r="G33" s="371">
        <f>'A1'!AG20</f>
        <v>0</v>
      </c>
      <c r="H33" s="76"/>
      <c r="I33" s="13">
        <f t="shared" ref="I33:T33" si="28">I21*$G33/1000</f>
        <v>0</v>
      </c>
      <c r="J33" s="13">
        <f t="shared" si="28"/>
        <v>0</v>
      </c>
      <c r="K33" s="13">
        <f t="shared" si="28"/>
        <v>0</v>
      </c>
      <c r="L33" s="13">
        <f t="shared" si="28"/>
        <v>0</v>
      </c>
      <c r="M33" s="13">
        <f t="shared" si="28"/>
        <v>0</v>
      </c>
      <c r="N33" s="13">
        <f t="shared" si="28"/>
        <v>0</v>
      </c>
      <c r="O33" s="13">
        <f t="shared" si="28"/>
        <v>0</v>
      </c>
      <c r="P33" s="13">
        <f t="shared" si="28"/>
        <v>0</v>
      </c>
      <c r="Q33" s="13">
        <f t="shared" si="28"/>
        <v>0</v>
      </c>
      <c r="R33" s="13">
        <f t="shared" si="28"/>
        <v>0</v>
      </c>
      <c r="S33" s="13">
        <f t="shared" si="28"/>
        <v>0</v>
      </c>
      <c r="T33" s="14">
        <f t="shared" si="28"/>
        <v>0</v>
      </c>
      <c r="U33" s="13"/>
      <c r="V33" s="13">
        <f t="shared" si="21"/>
        <v>0</v>
      </c>
      <c r="W33" s="13">
        <f t="shared" si="21"/>
        <v>0</v>
      </c>
      <c r="X33" s="13">
        <f t="shared" si="21"/>
        <v>0</v>
      </c>
      <c r="Y33" s="14">
        <f t="shared" si="21"/>
        <v>0</v>
      </c>
      <c r="Z33" s="13"/>
      <c r="AA33" s="13">
        <f t="shared" si="22"/>
        <v>0</v>
      </c>
      <c r="AB33" s="13">
        <f t="shared" si="23"/>
        <v>0</v>
      </c>
      <c r="AC33" s="13">
        <f t="shared" si="24"/>
        <v>0</v>
      </c>
      <c r="AD33" s="13">
        <f t="shared" si="24"/>
        <v>0</v>
      </c>
      <c r="AE33" s="13">
        <f t="shared" si="24"/>
        <v>0</v>
      </c>
      <c r="AG33" s="76">
        <f>'A1'!I28</f>
        <v>0.01</v>
      </c>
      <c r="AH33" s="173"/>
      <c r="AI33" s="729">
        <f t="shared" si="25"/>
        <v>0</v>
      </c>
      <c r="AJ33" s="729">
        <f t="shared" si="26"/>
        <v>0</v>
      </c>
      <c r="AK33" s="729">
        <f t="shared" si="26"/>
        <v>0</v>
      </c>
      <c r="AL33" s="729">
        <f t="shared" si="26"/>
        <v>0</v>
      </c>
      <c r="AM33" s="173"/>
      <c r="AO33" s="173"/>
      <c r="AP33" s="173"/>
      <c r="AQ33" s="173"/>
      <c r="AR33" s="173"/>
      <c r="AS33" s="173"/>
    </row>
    <row r="34" spans="3:45" ht="15.75" thickBot="1" x14ac:dyDescent="0.3">
      <c r="D34" s="81" t="str">
        <f>D22</f>
        <v>Medicare</v>
      </c>
      <c r="E34" s="81"/>
      <c r="G34" s="1344">
        <f>'A1'!AG21*(1-MCareSeq)</f>
        <v>406.99438382795773</v>
      </c>
      <c r="H34" s="76"/>
      <c r="I34" s="13">
        <f t="shared" ref="I34:T34" si="29">I22*$G34/1000</f>
        <v>0</v>
      </c>
      <c r="J34" s="13">
        <f t="shared" si="29"/>
        <v>0</v>
      </c>
      <c r="K34" s="13">
        <f t="shared" si="29"/>
        <v>0</v>
      </c>
      <c r="L34" s="13">
        <f t="shared" si="29"/>
        <v>0</v>
      </c>
      <c r="M34" s="13">
        <f t="shared" si="29"/>
        <v>0</v>
      </c>
      <c r="N34" s="13">
        <f t="shared" si="29"/>
        <v>0</v>
      </c>
      <c r="O34" s="13">
        <f t="shared" si="29"/>
        <v>0</v>
      </c>
      <c r="P34" s="13">
        <f t="shared" si="29"/>
        <v>0</v>
      </c>
      <c r="Q34" s="13">
        <f t="shared" si="29"/>
        <v>0</v>
      </c>
      <c r="R34" s="13">
        <f t="shared" si="29"/>
        <v>0</v>
      </c>
      <c r="S34" s="13">
        <f t="shared" si="29"/>
        <v>0</v>
      </c>
      <c r="T34" s="14">
        <f t="shared" si="29"/>
        <v>0</v>
      </c>
      <c r="U34" s="13"/>
      <c r="V34" s="13">
        <f t="shared" si="21"/>
        <v>0</v>
      </c>
      <c r="W34" s="13">
        <f t="shared" si="21"/>
        <v>0</v>
      </c>
      <c r="X34" s="13">
        <f t="shared" si="21"/>
        <v>0</v>
      </c>
      <c r="Y34" s="14">
        <f t="shared" si="21"/>
        <v>0</v>
      </c>
      <c r="Z34" s="13"/>
      <c r="AA34" s="13">
        <f t="shared" si="22"/>
        <v>0</v>
      </c>
      <c r="AB34" s="13">
        <f t="shared" si="23"/>
        <v>0</v>
      </c>
      <c r="AC34" s="13">
        <f t="shared" si="24"/>
        <v>0</v>
      </c>
      <c r="AD34" s="13">
        <f t="shared" si="24"/>
        <v>0</v>
      </c>
      <c r="AE34" s="13">
        <f t="shared" si="24"/>
        <v>0</v>
      </c>
      <c r="AG34" s="76">
        <f>'A1'!I29</f>
        <v>0.01</v>
      </c>
      <c r="AH34" s="1313"/>
      <c r="AI34" s="729">
        <f t="shared" si="25"/>
        <v>411.06432766623732</v>
      </c>
      <c r="AJ34" s="729">
        <f t="shared" si="26"/>
        <v>415.17497094289968</v>
      </c>
      <c r="AK34" s="729">
        <f t="shared" si="26"/>
        <v>419.32672065232867</v>
      </c>
      <c r="AL34" s="729">
        <f t="shared" si="26"/>
        <v>423.51998785885195</v>
      </c>
      <c r="AM34" s="173"/>
      <c r="AO34" s="173"/>
      <c r="AP34" s="173"/>
      <c r="AQ34" s="173"/>
      <c r="AR34" s="173"/>
      <c r="AS34" s="173"/>
    </row>
    <row r="35" spans="3:45" x14ac:dyDescent="0.25">
      <c r="D35" s="81" t="str">
        <f>D23</f>
        <v>Medicaid</v>
      </c>
      <c r="E35" s="81"/>
      <c r="G35" s="371">
        <f>'A1'!AG22</f>
        <v>0</v>
      </c>
      <c r="H35" s="76"/>
      <c r="I35" s="13">
        <f t="shared" ref="I35:T35" si="30">I23*$G35/1000</f>
        <v>0</v>
      </c>
      <c r="J35" s="13">
        <f t="shared" si="30"/>
        <v>0</v>
      </c>
      <c r="K35" s="13">
        <f t="shared" si="30"/>
        <v>0</v>
      </c>
      <c r="L35" s="13">
        <f t="shared" si="30"/>
        <v>0</v>
      </c>
      <c r="M35" s="13">
        <f t="shared" si="30"/>
        <v>0</v>
      </c>
      <c r="N35" s="13">
        <f t="shared" si="30"/>
        <v>0</v>
      </c>
      <c r="O35" s="13">
        <f t="shared" si="30"/>
        <v>0</v>
      </c>
      <c r="P35" s="13">
        <f t="shared" si="30"/>
        <v>0</v>
      </c>
      <c r="Q35" s="13">
        <f t="shared" si="30"/>
        <v>0</v>
      </c>
      <c r="R35" s="13">
        <f t="shared" si="30"/>
        <v>0</v>
      </c>
      <c r="S35" s="13">
        <f t="shared" si="30"/>
        <v>0</v>
      </c>
      <c r="T35" s="14">
        <f t="shared" si="30"/>
        <v>0</v>
      </c>
      <c r="U35" s="13"/>
      <c r="V35" s="13">
        <f t="shared" si="21"/>
        <v>0</v>
      </c>
      <c r="W35" s="13">
        <f t="shared" si="21"/>
        <v>0</v>
      </c>
      <c r="X35" s="13">
        <f t="shared" si="21"/>
        <v>0</v>
      </c>
      <c r="Y35" s="14">
        <f t="shared" si="21"/>
        <v>0</v>
      </c>
      <c r="Z35" s="13"/>
      <c r="AA35" s="13">
        <f t="shared" si="22"/>
        <v>0</v>
      </c>
      <c r="AB35" s="13">
        <f t="shared" si="23"/>
        <v>0</v>
      </c>
      <c r="AC35" s="13">
        <f t="shared" si="24"/>
        <v>0</v>
      </c>
      <c r="AD35" s="13">
        <f t="shared" si="24"/>
        <v>0</v>
      </c>
      <c r="AE35" s="13">
        <f t="shared" si="24"/>
        <v>0</v>
      </c>
      <c r="AG35" s="76">
        <f>'A1'!I30</f>
        <v>0.01</v>
      </c>
      <c r="AH35" s="173"/>
      <c r="AI35" s="729">
        <f t="shared" si="25"/>
        <v>0</v>
      </c>
      <c r="AJ35" s="729">
        <f t="shared" si="26"/>
        <v>0</v>
      </c>
      <c r="AK35" s="729">
        <f t="shared" si="26"/>
        <v>0</v>
      </c>
      <c r="AL35" s="729">
        <f t="shared" si="26"/>
        <v>0</v>
      </c>
      <c r="AM35" s="173"/>
      <c r="AO35" s="173"/>
      <c r="AP35" s="173"/>
      <c r="AQ35" s="173"/>
      <c r="AR35" s="173"/>
      <c r="AS35" s="173"/>
    </row>
    <row r="36" spans="3:45" x14ac:dyDescent="0.25">
      <c r="D36" s="81" t="str">
        <f>D24</f>
        <v>Other</v>
      </c>
      <c r="E36" s="81"/>
      <c r="G36" s="371">
        <f>'A1'!AG23</f>
        <v>0</v>
      </c>
      <c r="H36" s="76"/>
      <c r="I36" s="13">
        <f t="shared" ref="I36:T36" si="31">I24*$G36/1000</f>
        <v>0</v>
      </c>
      <c r="J36" s="13">
        <f t="shared" si="31"/>
        <v>0</v>
      </c>
      <c r="K36" s="13">
        <f t="shared" si="31"/>
        <v>0</v>
      </c>
      <c r="L36" s="13">
        <f t="shared" si="31"/>
        <v>0</v>
      </c>
      <c r="M36" s="13">
        <f t="shared" si="31"/>
        <v>0</v>
      </c>
      <c r="N36" s="13">
        <f t="shared" si="31"/>
        <v>0</v>
      </c>
      <c r="O36" s="13">
        <f t="shared" si="31"/>
        <v>0</v>
      </c>
      <c r="P36" s="13">
        <f t="shared" si="31"/>
        <v>0</v>
      </c>
      <c r="Q36" s="13">
        <f t="shared" si="31"/>
        <v>0</v>
      </c>
      <c r="R36" s="13">
        <f t="shared" si="31"/>
        <v>0</v>
      </c>
      <c r="S36" s="13">
        <f t="shared" si="31"/>
        <v>0</v>
      </c>
      <c r="T36" s="14">
        <f t="shared" si="31"/>
        <v>0</v>
      </c>
      <c r="U36" s="13"/>
      <c r="V36" s="13">
        <f t="shared" si="21"/>
        <v>0</v>
      </c>
      <c r="W36" s="13">
        <f t="shared" si="21"/>
        <v>0</v>
      </c>
      <c r="X36" s="13">
        <f t="shared" si="21"/>
        <v>0</v>
      </c>
      <c r="Y36" s="14">
        <f t="shared" si="21"/>
        <v>0</v>
      </c>
      <c r="Z36" s="13"/>
      <c r="AA36" s="13">
        <f t="shared" si="22"/>
        <v>0</v>
      </c>
      <c r="AB36" s="13">
        <f t="shared" si="23"/>
        <v>0</v>
      </c>
      <c r="AC36" s="13">
        <f t="shared" si="24"/>
        <v>0</v>
      </c>
      <c r="AD36" s="13">
        <f t="shared" si="24"/>
        <v>0</v>
      </c>
      <c r="AE36" s="13">
        <f t="shared" si="24"/>
        <v>0</v>
      </c>
      <c r="AG36" s="76">
        <f>'A1'!I31</f>
        <v>0.01</v>
      </c>
      <c r="AH36" s="173"/>
      <c r="AI36" s="729">
        <f t="shared" si="25"/>
        <v>0</v>
      </c>
      <c r="AJ36" s="729">
        <f t="shared" si="26"/>
        <v>0</v>
      </c>
      <c r="AK36" s="729">
        <f t="shared" si="26"/>
        <v>0</v>
      </c>
      <c r="AL36" s="729">
        <f t="shared" si="26"/>
        <v>0</v>
      </c>
      <c r="AM36" s="173"/>
      <c r="AO36" s="173"/>
      <c r="AP36" s="173"/>
      <c r="AQ36" s="173"/>
      <c r="AR36" s="173"/>
      <c r="AS36" s="173"/>
    </row>
    <row r="37" spans="3:45" x14ac:dyDescent="0.25">
      <c r="D37" s="81" t="str">
        <f>D25</f>
        <v>AKI</v>
      </c>
      <c r="E37" s="81"/>
      <c r="G37" s="371">
        <f>'A1'!AG24</f>
        <v>0</v>
      </c>
      <c r="H37" s="76"/>
      <c r="I37" s="13">
        <f t="shared" ref="I37:T37" si="32">I25*$G37/1000</f>
        <v>0</v>
      </c>
      <c r="J37" s="13">
        <f t="shared" si="32"/>
        <v>0</v>
      </c>
      <c r="K37" s="13">
        <f t="shared" si="32"/>
        <v>0</v>
      </c>
      <c r="L37" s="13">
        <f t="shared" si="32"/>
        <v>0</v>
      </c>
      <c r="M37" s="13">
        <f t="shared" si="32"/>
        <v>0</v>
      </c>
      <c r="N37" s="13">
        <f t="shared" si="32"/>
        <v>0</v>
      </c>
      <c r="O37" s="13">
        <f t="shared" si="32"/>
        <v>0</v>
      </c>
      <c r="P37" s="13">
        <f t="shared" si="32"/>
        <v>0</v>
      </c>
      <c r="Q37" s="13">
        <f t="shared" si="32"/>
        <v>0</v>
      </c>
      <c r="R37" s="13">
        <f t="shared" si="32"/>
        <v>0</v>
      </c>
      <c r="S37" s="13">
        <f t="shared" si="32"/>
        <v>0</v>
      </c>
      <c r="T37" s="14">
        <f t="shared" si="32"/>
        <v>0</v>
      </c>
      <c r="U37" s="13"/>
      <c r="V37" s="13">
        <f t="shared" si="21"/>
        <v>0</v>
      </c>
      <c r="W37" s="13">
        <f t="shared" si="21"/>
        <v>0</v>
      </c>
      <c r="X37" s="13">
        <f t="shared" si="21"/>
        <v>0</v>
      </c>
      <c r="Y37" s="14">
        <f t="shared" si="21"/>
        <v>0</v>
      </c>
      <c r="Z37" s="13"/>
      <c r="AA37" s="13">
        <f t="shared" si="22"/>
        <v>0</v>
      </c>
      <c r="AB37" s="13">
        <f t="shared" si="23"/>
        <v>0</v>
      </c>
      <c r="AC37" s="13">
        <f t="shared" si="24"/>
        <v>0</v>
      </c>
      <c r="AD37" s="13">
        <f t="shared" si="24"/>
        <v>0</v>
      </c>
      <c r="AE37" s="13">
        <f t="shared" si="24"/>
        <v>0</v>
      </c>
      <c r="AG37" s="76">
        <f>'A1'!I32</f>
        <v>0.01</v>
      </c>
      <c r="AH37" s="173"/>
      <c r="AI37" s="729">
        <f t="shared" si="25"/>
        <v>0</v>
      </c>
      <c r="AJ37" s="729">
        <f t="shared" si="26"/>
        <v>0</v>
      </c>
      <c r="AK37" s="729">
        <f t="shared" si="26"/>
        <v>0</v>
      </c>
      <c r="AL37" s="729">
        <f t="shared" si="26"/>
        <v>0</v>
      </c>
      <c r="AM37" s="173"/>
      <c r="AO37" s="173"/>
      <c r="AP37" s="173"/>
      <c r="AQ37" s="173"/>
      <c r="AR37" s="173"/>
      <c r="AS37" s="173"/>
    </row>
    <row r="38" spans="3:45" ht="15.75" thickBot="1" x14ac:dyDescent="0.3">
      <c r="C38" s="687" t="s">
        <v>105</v>
      </c>
      <c r="D38" s="733"/>
      <c r="E38" s="733"/>
      <c r="F38" s="687"/>
      <c r="G38" s="734"/>
      <c r="H38" s="687"/>
      <c r="I38" s="689">
        <f t="shared" ref="I38:T38" si="33">SUM(I31:I37)</f>
        <v>0</v>
      </c>
      <c r="J38" s="689">
        <f t="shared" si="33"/>
        <v>0</v>
      </c>
      <c r="K38" s="689">
        <f t="shared" si="33"/>
        <v>0</v>
      </c>
      <c r="L38" s="689">
        <f t="shared" si="33"/>
        <v>0</v>
      </c>
      <c r="M38" s="689">
        <f t="shared" si="33"/>
        <v>0</v>
      </c>
      <c r="N38" s="689">
        <f t="shared" si="33"/>
        <v>0</v>
      </c>
      <c r="O38" s="689">
        <f t="shared" si="33"/>
        <v>0</v>
      </c>
      <c r="P38" s="689">
        <f t="shared" si="33"/>
        <v>0</v>
      </c>
      <c r="Q38" s="689">
        <f t="shared" si="33"/>
        <v>0</v>
      </c>
      <c r="R38" s="689">
        <f t="shared" si="33"/>
        <v>0</v>
      </c>
      <c r="S38" s="689">
        <f t="shared" si="33"/>
        <v>0</v>
      </c>
      <c r="T38" s="735">
        <f t="shared" si="33"/>
        <v>0</v>
      </c>
      <c r="U38" s="689"/>
      <c r="V38" s="689">
        <f>SUM(V31:V37)</f>
        <v>0</v>
      </c>
      <c r="W38" s="689">
        <f>SUM(W31:W37)</f>
        <v>0</v>
      </c>
      <c r="X38" s="689">
        <f>SUM(X31:X37)</f>
        <v>0</v>
      </c>
      <c r="Y38" s="735">
        <f>SUM(Y31:Y37)</f>
        <v>0</v>
      </c>
      <c r="Z38" s="689"/>
      <c r="AA38" s="689">
        <f>SUM(AA31:AA37)</f>
        <v>0</v>
      </c>
      <c r="AB38" s="689">
        <f>SUM(AB31:AB37)</f>
        <v>0</v>
      </c>
      <c r="AC38" s="689">
        <f>SUM(AC31:AC37)</f>
        <v>0</v>
      </c>
      <c r="AD38" s="689">
        <f>SUM(AD31:AD37)</f>
        <v>0</v>
      </c>
      <c r="AE38" s="689">
        <f>SUM(AE31:AE37)</f>
        <v>0</v>
      </c>
      <c r="AO38" s="978">
        <f>SUM(I38:K38)</f>
        <v>0</v>
      </c>
      <c r="AP38" s="978">
        <f>SUM(L38:N38)</f>
        <v>0</v>
      </c>
      <c r="AQ38" s="978">
        <f>SUM(O38:Q38)</f>
        <v>0</v>
      </c>
      <c r="AR38" s="978">
        <f>SUM(R38:T38)</f>
        <v>0</v>
      </c>
    </row>
    <row r="39" spans="3:45" ht="15.75" thickTop="1" x14ac:dyDescent="0.25">
      <c r="U39" s="13"/>
      <c r="AO39" s="173"/>
      <c r="AP39" s="173"/>
      <c r="AQ39" s="173"/>
      <c r="AR39" s="173"/>
      <c r="AS39" s="173"/>
    </row>
    <row r="41" spans="3:45" x14ac:dyDescent="0.25">
      <c r="C41" s="1" t="s">
        <v>578</v>
      </c>
      <c r="I41" s="13">
        <f>'C2'!I17</f>
        <v>0</v>
      </c>
      <c r="J41" s="13">
        <f>'C2'!J17</f>
        <v>0</v>
      </c>
      <c r="K41" s="13">
        <f>'C2'!K17</f>
        <v>0</v>
      </c>
      <c r="L41" s="13">
        <f>'C2'!L17</f>
        <v>0</v>
      </c>
      <c r="M41" s="13">
        <f>'C2'!M17</f>
        <v>0</v>
      </c>
      <c r="N41" s="13">
        <f>'C2'!N17</f>
        <v>0</v>
      </c>
      <c r="O41" s="13">
        <f>'C2'!O17</f>
        <v>0</v>
      </c>
      <c r="P41" s="13">
        <f>'C2'!P17</f>
        <v>0</v>
      </c>
      <c r="Q41" s="13">
        <f>'C2'!Q17</f>
        <v>0</v>
      </c>
      <c r="R41" s="13">
        <f>'C2'!R17</f>
        <v>0</v>
      </c>
      <c r="S41" s="13">
        <f>'C2'!S17</f>
        <v>0</v>
      </c>
      <c r="T41" s="13">
        <f>'C2'!T17</f>
        <v>0</v>
      </c>
      <c r="U41" s="13"/>
      <c r="V41" s="13">
        <f>'C2'!V17</f>
        <v>0</v>
      </c>
      <c r="W41" s="13">
        <f>'C2'!W17</f>
        <v>0</v>
      </c>
      <c r="X41" s="13">
        <f>'C2'!X17</f>
        <v>0</v>
      </c>
      <c r="Y41" s="13">
        <f>'C2'!Y17</f>
        <v>0</v>
      </c>
      <c r="Z41" s="13"/>
      <c r="AA41" s="13">
        <f>'C2'!AA17</f>
        <v>0</v>
      </c>
      <c r="AB41" s="13">
        <f>'C2'!AB17</f>
        <v>0</v>
      </c>
      <c r="AC41" s="13">
        <f>'C2'!AC17</f>
        <v>0</v>
      </c>
      <c r="AD41" s="13">
        <f>'C2'!AD17</f>
        <v>0</v>
      </c>
      <c r="AE41" s="13">
        <f>'C2'!AE17</f>
        <v>0</v>
      </c>
    </row>
    <row r="42" spans="3:45" x14ac:dyDescent="0.25">
      <c r="C42" s="1" t="s">
        <v>115</v>
      </c>
      <c r="I42" s="13">
        <f>I17+I41</f>
        <v>0</v>
      </c>
      <c r="J42" s="13">
        <f t="shared" ref="J42:AE42" si="34">J17+J41</f>
        <v>0</v>
      </c>
      <c r="K42" s="13">
        <f t="shared" si="34"/>
        <v>0</v>
      </c>
      <c r="L42" s="13">
        <f t="shared" si="34"/>
        <v>0</v>
      </c>
      <c r="M42" s="13">
        <f t="shared" si="34"/>
        <v>0</v>
      </c>
      <c r="N42" s="13">
        <f t="shared" si="34"/>
        <v>0</v>
      </c>
      <c r="O42" s="13">
        <f t="shared" si="34"/>
        <v>0</v>
      </c>
      <c r="P42" s="13">
        <f t="shared" si="34"/>
        <v>0</v>
      </c>
      <c r="Q42" s="13">
        <f t="shared" si="34"/>
        <v>0</v>
      </c>
      <c r="R42" s="13">
        <f t="shared" si="34"/>
        <v>0</v>
      </c>
      <c r="S42" s="13">
        <f t="shared" si="34"/>
        <v>0</v>
      </c>
      <c r="T42" s="13">
        <f t="shared" si="34"/>
        <v>0</v>
      </c>
      <c r="U42" s="13"/>
      <c r="V42" s="13">
        <f t="shared" si="34"/>
        <v>0</v>
      </c>
      <c r="W42" s="13">
        <f t="shared" si="34"/>
        <v>0</v>
      </c>
      <c r="X42" s="13">
        <f t="shared" si="34"/>
        <v>0</v>
      </c>
      <c r="Y42" s="13">
        <f t="shared" si="34"/>
        <v>0</v>
      </c>
      <c r="Z42" s="13"/>
      <c r="AA42" s="13">
        <f t="shared" si="34"/>
        <v>0</v>
      </c>
      <c r="AB42" s="13">
        <f t="shared" si="34"/>
        <v>0</v>
      </c>
      <c r="AC42" s="13">
        <f t="shared" si="34"/>
        <v>0</v>
      </c>
      <c r="AD42" s="13">
        <f t="shared" si="34"/>
        <v>0</v>
      </c>
      <c r="AE42" s="13">
        <f t="shared" si="34"/>
        <v>0</v>
      </c>
    </row>
    <row r="43" spans="3:45" x14ac:dyDescent="0.25">
      <c r="C43" s="1" t="s">
        <v>579</v>
      </c>
      <c r="I43" s="13" t="e">
        <f>I42/I12</f>
        <v>#DIV/0!</v>
      </c>
      <c r="J43" s="13" t="e">
        <f t="shared" ref="J43:AE43" si="35">J42/J12</f>
        <v>#DIV/0!</v>
      </c>
      <c r="K43" s="13" t="e">
        <f t="shared" si="35"/>
        <v>#DIV/0!</v>
      </c>
      <c r="L43" s="13" t="e">
        <f t="shared" si="35"/>
        <v>#DIV/0!</v>
      </c>
      <c r="M43" s="13" t="e">
        <f t="shared" si="35"/>
        <v>#DIV/0!</v>
      </c>
      <c r="N43" s="13" t="e">
        <f t="shared" si="35"/>
        <v>#DIV/0!</v>
      </c>
      <c r="O43" s="13" t="e">
        <f t="shared" si="35"/>
        <v>#DIV/0!</v>
      </c>
      <c r="P43" s="13" t="e">
        <f t="shared" si="35"/>
        <v>#DIV/0!</v>
      </c>
      <c r="Q43" s="13" t="e">
        <f t="shared" si="35"/>
        <v>#DIV/0!</v>
      </c>
      <c r="R43" s="13" t="e">
        <f t="shared" si="35"/>
        <v>#DIV/0!</v>
      </c>
      <c r="S43" s="13" t="e">
        <f t="shared" si="35"/>
        <v>#DIV/0!</v>
      </c>
      <c r="T43" s="13" t="e">
        <f t="shared" si="35"/>
        <v>#DIV/0!</v>
      </c>
      <c r="U43" s="13"/>
      <c r="V43" s="13" t="e">
        <f t="shared" si="35"/>
        <v>#DIV/0!</v>
      </c>
      <c r="W43" s="13" t="e">
        <f t="shared" si="35"/>
        <v>#DIV/0!</v>
      </c>
      <c r="X43" s="13" t="e">
        <f t="shared" si="35"/>
        <v>#DIV/0!</v>
      </c>
      <c r="Y43" s="13" t="e">
        <f t="shared" si="35"/>
        <v>#DIV/0!</v>
      </c>
      <c r="Z43" s="13"/>
      <c r="AA43" s="13" t="e">
        <f t="shared" si="35"/>
        <v>#DIV/0!</v>
      </c>
      <c r="AB43" s="13" t="e">
        <f t="shared" si="35"/>
        <v>#DIV/0!</v>
      </c>
      <c r="AC43" s="13" t="e">
        <f t="shared" si="35"/>
        <v>#DIV/0!</v>
      </c>
      <c r="AD43" s="13" t="e">
        <f t="shared" si="35"/>
        <v>#DIV/0!</v>
      </c>
      <c r="AE43" s="13" t="e">
        <f t="shared" si="35"/>
        <v>#DIV/0!</v>
      </c>
    </row>
    <row r="44" spans="3:45" x14ac:dyDescent="0.25">
      <c r="C44" s="1" t="s">
        <v>581</v>
      </c>
      <c r="I44" s="36">
        <f t="shared" ref="I44:AE44" si="36">IF(ISNUMBER(I43),I43,0)</f>
        <v>0</v>
      </c>
      <c r="J44" s="36">
        <f t="shared" si="36"/>
        <v>0</v>
      </c>
      <c r="K44" s="36">
        <f t="shared" si="36"/>
        <v>0</v>
      </c>
      <c r="L44" s="36">
        <f t="shared" si="36"/>
        <v>0</v>
      </c>
      <c r="M44" s="36">
        <f t="shared" si="36"/>
        <v>0</v>
      </c>
      <c r="N44" s="36">
        <f t="shared" si="36"/>
        <v>0</v>
      </c>
      <c r="O44" s="36">
        <f t="shared" si="36"/>
        <v>0</v>
      </c>
      <c r="P44" s="36">
        <f t="shared" si="36"/>
        <v>0</v>
      </c>
      <c r="Q44" s="36">
        <f t="shared" si="36"/>
        <v>0</v>
      </c>
      <c r="R44" s="36">
        <f t="shared" si="36"/>
        <v>0</v>
      </c>
      <c r="S44" s="36">
        <f t="shared" si="36"/>
        <v>0</v>
      </c>
      <c r="T44" s="36">
        <f t="shared" si="36"/>
        <v>0</v>
      </c>
      <c r="U44" s="36">
        <f t="shared" si="36"/>
        <v>0</v>
      </c>
      <c r="V44" s="36">
        <f t="shared" si="36"/>
        <v>0</v>
      </c>
      <c r="W44" s="36">
        <f t="shared" si="36"/>
        <v>0</v>
      </c>
      <c r="X44" s="36">
        <f t="shared" si="36"/>
        <v>0</v>
      </c>
      <c r="Y44" s="36">
        <f t="shared" si="36"/>
        <v>0</v>
      </c>
      <c r="Z44" s="36">
        <f t="shared" si="36"/>
        <v>0</v>
      </c>
      <c r="AA44" s="36">
        <f t="shared" si="36"/>
        <v>0</v>
      </c>
      <c r="AB44" s="36">
        <f t="shared" si="36"/>
        <v>0</v>
      </c>
      <c r="AC44" s="36">
        <f t="shared" si="36"/>
        <v>0</v>
      </c>
      <c r="AD44" s="36">
        <f t="shared" si="36"/>
        <v>0</v>
      </c>
      <c r="AE44" s="36">
        <f t="shared" si="36"/>
        <v>0</v>
      </c>
    </row>
    <row r="45" spans="3:45" x14ac:dyDescent="0.25">
      <c r="Z45" s="13"/>
    </row>
  </sheetData>
  <printOptions horizontalCentered="1"/>
  <pageMargins left="0.5" right="0.5" top="0.75" bottom="0.75" header="0.3" footer="0.3"/>
  <pageSetup scale="59" orientation="landscape" r:id="rId1"/>
  <ignoredErrors>
    <ignoredError sqref="A1:AL3 I38:AE38 H41:AE44 AO10:AR11 AO38:AR38 A5:AL9 A4:AD4 AF4:AL4 A35:AF37 A34:F34 AH34:AL34 A12:AG12 A11:H11 AB11:AL11 A10:H10 U10 U11 H34:AF34 AH35:AL37 A33:AF33 AH33:AL33 AI10:AL10 A15:AG15 A13:AG13 AI12:AL12 A14:AG14 Z10:AG10 A17:AL26 A16:AG16 AI16:AL16 AL15 Z11 A28:AL32 A27:AE27" unlockedFormula="1"/>
    <ignoredError sqref="AE4" numberStoredAsText="1" unlockedFormula="1"/>
  </ignoredErrors>
  <legacy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>
    <tabColor theme="9" tint="-0.249977111117893"/>
    <pageSetUpPr fitToPage="1"/>
  </sheetPr>
  <dimension ref="A1:AW42"/>
  <sheetViews>
    <sheetView showGridLines="0" view="pageBreakPreview" zoomScale="90" zoomScaleNormal="132" zoomScaleSheetLayoutView="90" workbookViewId="0"/>
  </sheetViews>
  <sheetFormatPr defaultColWidth="9.42578125" defaultRowHeight="15" x14ac:dyDescent="0.25"/>
  <cols>
    <col min="1" max="1" width="1.5703125" style="1" customWidth="1"/>
    <col min="2" max="5" width="3" style="1" customWidth="1"/>
    <col min="6" max="6" width="13.5703125" style="1" customWidth="1"/>
    <col min="7" max="7" width="8.42578125" style="173" customWidth="1"/>
    <col min="8" max="8" width="3.42578125" style="1" customWidth="1"/>
    <col min="9" max="20" width="8.42578125" style="1" customWidth="1"/>
    <col min="21" max="21" width="2.42578125" style="1" customWidth="1"/>
    <col min="22" max="25" width="7.5703125" style="1" customWidth="1"/>
    <col min="26" max="26" width="3.42578125" style="1" customWidth="1"/>
    <col min="27" max="32" width="8.5703125" style="1" customWidth="1"/>
    <col min="33" max="16384" width="9.42578125" style="1"/>
  </cols>
  <sheetData>
    <row r="1" spans="1:44" ht="6" customHeight="1" thickBot="1" x14ac:dyDescent="0.3">
      <c r="B1" s="85"/>
      <c r="C1" s="86"/>
      <c r="D1" s="85"/>
      <c r="E1" s="85"/>
      <c r="F1" s="85"/>
      <c r="G1" s="505"/>
      <c r="H1" s="85"/>
      <c r="I1" s="85"/>
      <c r="J1" s="85"/>
      <c r="K1" s="85"/>
      <c r="L1" s="85"/>
      <c r="M1" s="85"/>
      <c r="N1" s="85"/>
      <c r="O1" s="85"/>
      <c r="P1" s="85"/>
      <c r="Q1" s="85"/>
      <c r="R1" s="85"/>
      <c r="S1" s="85"/>
      <c r="T1" s="85"/>
      <c r="U1" s="85"/>
      <c r="V1" s="85"/>
      <c r="W1" s="85"/>
      <c r="X1" s="85"/>
      <c r="Y1" s="85"/>
      <c r="Z1" s="85"/>
      <c r="AA1" s="85"/>
      <c r="AB1" s="85"/>
      <c r="AC1" s="85"/>
      <c r="AD1" s="85"/>
      <c r="AE1" s="85"/>
    </row>
    <row r="2" spans="1:44" ht="16.5" thickTop="1" x14ac:dyDescent="0.25">
      <c r="B2" s="110" t="str">
        <f>MainOutline!B2</f>
        <v>WB Santa Cruz</v>
      </c>
      <c r="C2" s="111"/>
      <c r="D2" s="111"/>
      <c r="E2" s="111"/>
      <c r="F2" s="111"/>
      <c r="G2" s="506"/>
      <c r="H2" s="111"/>
      <c r="I2" s="508" t="str">
        <f>'A1'!$C$90</f>
        <v>Acquisition of an existing facility</v>
      </c>
      <c r="J2" s="111"/>
      <c r="K2" s="111"/>
      <c r="L2" s="111"/>
      <c r="M2" s="111"/>
      <c r="N2" s="111"/>
      <c r="O2" s="111"/>
      <c r="P2" s="111"/>
      <c r="Q2" s="111"/>
      <c r="R2" s="111"/>
      <c r="S2" s="111"/>
      <c r="T2" s="1409"/>
      <c r="U2" s="111"/>
      <c r="V2" s="111"/>
      <c r="W2" s="111"/>
      <c r="X2" s="111"/>
      <c r="Y2" s="111"/>
      <c r="Z2" s="111"/>
      <c r="AA2" s="111"/>
      <c r="AB2" s="111"/>
      <c r="AC2" s="111"/>
      <c r="AD2" s="111"/>
      <c r="AE2" s="1409">
        <f>$A3</f>
        <v>32</v>
      </c>
      <c r="AK2" s="82" t="str">
        <f>D10</f>
        <v>In Center</v>
      </c>
      <c r="AL2" s="82" t="str">
        <f>D11</f>
        <v>Nocturnal</v>
      </c>
    </row>
    <row r="3" spans="1:44" ht="15.75" x14ac:dyDescent="0.25">
      <c r="A3" s="123">
        <f>MainOutline!B47</f>
        <v>32</v>
      </c>
      <c r="B3" s="102" t="str">
        <f>MainOutline!C47</f>
        <v>Appendix C2</v>
      </c>
      <c r="C3" s="89"/>
      <c r="D3" s="89"/>
      <c r="E3" s="89"/>
      <c r="F3" s="89"/>
      <c r="G3" s="509"/>
      <c r="H3" s="89"/>
      <c r="I3" s="89"/>
      <c r="J3" s="89"/>
      <c r="K3" s="89"/>
      <c r="L3" s="89"/>
      <c r="M3" s="89"/>
      <c r="N3" s="89"/>
      <c r="O3" s="89"/>
      <c r="P3" s="89"/>
      <c r="Q3" s="89"/>
      <c r="R3" s="89"/>
      <c r="S3" s="89"/>
      <c r="T3" s="89"/>
      <c r="U3" s="89"/>
      <c r="V3" s="89"/>
      <c r="W3" s="89"/>
      <c r="X3" s="89"/>
      <c r="Y3" s="89"/>
      <c r="Z3" s="89"/>
      <c r="AA3" s="89"/>
      <c r="AB3" s="89"/>
      <c r="AC3" s="89"/>
      <c r="AD3" s="89"/>
      <c r="AE3" s="89"/>
      <c r="AI3" s="1" t="s">
        <v>114</v>
      </c>
      <c r="AK3" s="1">
        <f>'A1'!AG9</f>
        <v>0</v>
      </c>
      <c r="AL3" s="1">
        <f>'A1'!AH9</f>
        <v>0</v>
      </c>
    </row>
    <row r="4" spans="1:44" ht="16.5" thickBot="1" x14ac:dyDescent="0.3">
      <c r="B4" s="104" t="s">
        <v>465</v>
      </c>
      <c r="C4" s="97"/>
      <c r="D4" s="97"/>
      <c r="E4" s="97"/>
      <c r="F4" s="97"/>
      <c r="G4" s="510"/>
      <c r="H4" s="97"/>
      <c r="I4" s="97"/>
      <c r="J4" s="97"/>
      <c r="K4" s="97"/>
      <c r="L4" s="97"/>
      <c r="M4" s="97"/>
      <c r="N4" s="97"/>
      <c r="O4" s="97"/>
      <c r="P4" s="97"/>
      <c r="Q4" s="97"/>
      <c r="R4" s="97"/>
      <c r="S4" s="97"/>
      <c r="T4" s="388"/>
      <c r="U4" s="97"/>
      <c r="V4" s="97"/>
      <c r="W4" s="97"/>
      <c r="X4" s="97"/>
      <c r="Y4" s="97"/>
      <c r="Z4" s="97"/>
      <c r="AA4" s="97"/>
      <c r="AB4" s="97"/>
      <c r="AC4" s="97"/>
      <c r="AD4" s="97"/>
      <c r="AE4" s="138" t="s">
        <v>19</v>
      </c>
      <c r="AI4" s="1" t="s">
        <v>110</v>
      </c>
      <c r="AK4" s="1">
        <f>'A1'!AG43</f>
        <v>0</v>
      </c>
      <c r="AL4" s="1">
        <f>'A1'!AH43</f>
        <v>0</v>
      </c>
    </row>
    <row r="5" spans="1:44" ht="15.75" thickTop="1" x14ac:dyDescent="0.25">
      <c r="AI5" s="1" t="s">
        <v>98</v>
      </c>
    </row>
    <row r="6" spans="1:44" ht="17.25" x14ac:dyDescent="0.4">
      <c r="F6" s="1415" t="s">
        <v>1026</v>
      </c>
      <c r="I6" s="681" t="s">
        <v>471</v>
      </c>
      <c r="J6" s="715"/>
      <c r="K6" s="715"/>
      <c r="L6" s="715"/>
      <c r="M6" s="715"/>
      <c r="N6" s="715"/>
      <c r="O6" s="715"/>
      <c r="P6" s="715"/>
      <c r="Q6" s="715"/>
      <c r="R6" s="715"/>
      <c r="S6" s="715"/>
      <c r="T6" s="716"/>
      <c r="V6" s="681" t="s">
        <v>472</v>
      </c>
      <c r="W6" s="715"/>
      <c r="X6" s="715"/>
      <c r="Y6" s="716"/>
      <c r="AA6" s="681" t="s">
        <v>133</v>
      </c>
      <c r="AB6" s="715"/>
      <c r="AC6" s="715"/>
      <c r="AD6" s="715"/>
      <c r="AE6" s="715"/>
    </row>
    <row r="7" spans="1:44" s="173" customFormat="1" ht="15.75" thickBot="1" x14ac:dyDescent="0.3">
      <c r="I7" s="717">
        <v>1</v>
      </c>
      <c r="J7" s="717">
        <f>I7+1</f>
        <v>2</v>
      </c>
      <c r="K7" s="717">
        <f t="shared" ref="K7:T7" si="0">J7+1</f>
        <v>3</v>
      </c>
      <c r="L7" s="717">
        <f t="shared" si="0"/>
        <v>4</v>
      </c>
      <c r="M7" s="717">
        <f t="shared" si="0"/>
        <v>5</v>
      </c>
      <c r="N7" s="717">
        <f t="shared" si="0"/>
        <v>6</v>
      </c>
      <c r="O7" s="717">
        <f t="shared" si="0"/>
        <v>7</v>
      </c>
      <c r="P7" s="717">
        <f t="shared" si="0"/>
        <v>8</v>
      </c>
      <c r="Q7" s="717">
        <f t="shared" si="0"/>
        <v>9</v>
      </c>
      <c r="R7" s="717">
        <f t="shared" si="0"/>
        <v>10</v>
      </c>
      <c r="S7" s="717">
        <f t="shared" si="0"/>
        <v>11</v>
      </c>
      <c r="T7" s="718">
        <f t="shared" si="0"/>
        <v>12</v>
      </c>
      <c r="U7" s="1"/>
      <c r="V7" s="719" t="s">
        <v>24</v>
      </c>
      <c r="W7" s="719" t="s">
        <v>25</v>
      </c>
      <c r="X7" s="719" t="s">
        <v>26</v>
      </c>
      <c r="Y7" s="720" t="s">
        <v>27</v>
      </c>
      <c r="Z7" s="1"/>
      <c r="AA7" s="684">
        <v>1</v>
      </c>
      <c r="AB7" s="684">
        <v>2</v>
      </c>
      <c r="AC7" s="684">
        <v>3</v>
      </c>
      <c r="AD7" s="684">
        <v>4</v>
      </c>
      <c r="AE7" s="685">
        <v>5</v>
      </c>
      <c r="AG7" s="82"/>
    </row>
    <row r="8" spans="1:44" x14ac:dyDescent="0.25">
      <c r="T8" s="188"/>
      <c r="Y8" s="188"/>
      <c r="AG8" s="82"/>
      <c r="AH8" s="1" t="s">
        <v>130</v>
      </c>
      <c r="AO8" s="1" t="s">
        <v>131</v>
      </c>
    </row>
    <row r="9" spans="1:44" ht="15.75" x14ac:dyDescent="0.25">
      <c r="B9" s="513" t="s">
        <v>141</v>
      </c>
      <c r="T9" s="188"/>
      <c r="Y9" s="188"/>
      <c r="AG9" s="173"/>
      <c r="AH9" s="721">
        <v>1</v>
      </c>
      <c r="AI9" s="721">
        <v>2</v>
      </c>
      <c r="AJ9" s="721">
        <f>AC7</f>
        <v>3</v>
      </c>
      <c r="AK9" s="721">
        <f>AD7</f>
        <v>4</v>
      </c>
      <c r="AL9" s="721">
        <f>AE7</f>
        <v>5</v>
      </c>
      <c r="AM9" s="173"/>
      <c r="AN9" s="173"/>
      <c r="AO9" s="721">
        <v>2</v>
      </c>
      <c r="AP9" s="721">
        <v>3</v>
      </c>
      <c r="AQ9" s="721">
        <v>4</v>
      </c>
      <c r="AR9" s="721">
        <v>5</v>
      </c>
    </row>
    <row r="10" spans="1:44" x14ac:dyDescent="0.25">
      <c r="D10" s="82" t="str">
        <f>'A1'!E9</f>
        <v>In Center</v>
      </c>
      <c r="G10" s="377">
        <f>AK3</f>
        <v>0</v>
      </c>
      <c r="H10" s="173"/>
      <c r="I10" s="519">
        <f>IF(AcqType=1,G10*'A3'!I33/2,G10*'A3'!I33)</f>
        <v>0</v>
      </c>
      <c r="J10" s="519">
        <f>$G10*AVERAGE('A3'!I33:J33)</f>
        <v>0</v>
      </c>
      <c r="K10" s="519">
        <f>$G10*AVERAGE('A3'!J33:K33)</f>
        <v>0</v>
      </c>
      <c r="L10" s="519">
        <f>$G10*AVERAGE('A3'!K33:L33)</f>
        <v>0</v>
      </c>
      <c r="M10" s="519">
        <f>$G10*AVERAGE('A3'!L33:M33)</f>
        <v>0</v>
      </c>
      <c r="N10" s="519">
        <f>$G10*AVERAGE('A3'!M33:N33)</f>
        <v>0</v>
      </c>
      <c r="O10" s="519">
        <f>$G10*AVERAGE('A3'!N33:O33)</f>
        <v>0</v>
      </c>
      <c r="P10" s="519">
        <f>$G10*AVERAGE('A3'!O33:P33)</f>
        <v>0</v>
      </c>
      <c r="Q10" s="519">
        <f>$G10*AVERAGE('A3'!P33:Q33)</f>
        <v>0</v>
      </c>
      <c r="R10" s="519">
        <f>$G10*AVERAGE('A3'!Q33:R33)</f>
        <v>0</v>
      </c>
      <c r="S10" s="519">
        <f>$G10*AVERAGE('A3'!R33:S33)</f>
        <v>0</v>
      </c>
      <c r="T10" s="723">
        <f>$G10*AVERAGE('A3'!S33:T33)</f>
        <v>0</v>
      </c>
      <c r="U10" s="519"/>
      <c r="V10" s="519">
        <f>AVERAGE(AH10,AH14)</f>
        <v>0</v>
      </c>
      <c r="W10" s="519">
        <f t="shared" ref="W10:Y11" si="1">AVERAGE(AH14:AI14)</f>
        <v>0</v>
      </c>
      <c r="X10" s="519">
        <f t="shared" si="1"/>
        <v>0</v>
      </c>
      <c r="Y10" s="723">
        <f t="shared" si="1"/>
        <v>0</v>
      </c>
      <c r="Z10" s="519"/>
      <c r="AA10" s="519">
        <f>AVERAGE(I10:T10)</f>
        <v>0</v>
      </c>
      <c r="AB10" s="519">
        <f t="shared" ref="AB10:AE11" si="2">AVERAGE(AH10:AI10)</f>
        <v>0</v>
      </c>
      <c r="AC10" s="519">
        <f t="shared" si="2"/>
        <v>0</v>
      </c>
      <c r="AD10" s="519">
        <f t="shared" si="2"/>
        <v>0</v>
      </c>
      <c r="AE10" s="519">
        <f t="shared" si="2"/>
        <v>0</v>
      </c>
      <c r="AG10" s="435"/>
      <c r="AH10" s="832">
        <f>'A3'!H33*'A3'!T33</f>
        <v>0</v>
      </c>
      <c r="AI10" s="832">
        <f t="shared" ref="AI10:AL11" si="3">AH10*(1+AO10)</f>
        <v>0</v>
      </c>
      <c r="AJ10" s="832">
        <f t="shared" si="3"/>
        <v>0</v>
      </c>
      <c r="AK10" s="832">
        <f t="shared" si="3"/>
        <v>0</v>
      </c>
      <c r="AL10" s="832">
        <f t="shared" si="3"/>
        <v>0</v>
      </c>
      <c r="AM10" s="173"/>
      <c r="AN10" s="173"/>
      <c r="AO10" s="77">
        <f>'A1'!E47</f>
        <v>0.05</v>
      </c>
      <c r="AP10" s="77">
        <f>'A1'!E48</f>
        <v>0.05</v>
      </c>
      <c r="AQ10" s="77">
        <f>'A1'!E49</f>
        <v>0.05</v>
      </c>
      <c r="AR10" s="77">
        <f>'A1'!E50</f>
        <v>0.05</v>
      </c>
    </row>
    <row r="11" spans="1:44" ht="17.25" x14ac:dyDescent="0.4">
      <c r="D11" s="82" t="str">
        <f>'A1'!F9</f>
        <v>Nocturnal</v>
      </c>
      <c r="G11" s="377">
        <f>AL3</f>
        <v>0</v>
      </c>
      <c r="H11" s="173"/>
      <c r="I11" s="724">
        <f>IF(AcqType=1,G11*'A3'!I34/2,G11*'A3'!I34)</f>
        <v>0</v>
      </c>
      <c r="J11" s="724">
        <f>$G11*AVERAGE('A3'!I34:J34)</f>
        <v>0</v>
      </c>
      <c r="K11" s="724">
        <f>$G11*AVERAGE('A3'!J34:K34)</f>
        <v>0</v>
      </c>
      <c r="L11" s="724">
        <f>$G11*AVERAGE('A3'!K34:L34)</f>
        <v>0</v>
      </c>
      <c r="M11" s="724">
        <f>$G11*AVERAGE('A3'!L34:M34)</f>
        <v>0</v>
      </c>
      <c r="N11" s="724">
        <f>$G11*AVERAGE('A3'!M34:N34)</f>
        <v>0</v>
      </c>
      <c r="O11" s="724">
        <f>$G11*AVERAGE('A3'!N34:O34)</f>
        <v>0</v>
      </c>
      <c r="P11" s="724">
        <f>$G11*AVERAGE('A3'!O34:P34)</f>
        <v>0</v>
      </c>
      <c r="Q11" s="724">
        <f>$G11*AVERAGE('A3'!P34:Q34)</f>
        <v>0</v>
      </c>
      <c r="R11" s="724">
        <f>$G11*AVERAGE('A3'!Q34:R34)</f>
        <v>0</v>
      </c>
      <c r="S11" s="724">
        <f>$G11*AVERAGE('A3'!R34:S34)</f>
        <v>0</v>
      </c>
      <c r="T11" s="725">
        <f>$G11*AVERAGE('A3'!S34:T34)</f>
        <v>0</v>
      </c>
      <c r="U11" s="724"/>
      <c r="V11" s="724">
        <f>AVERAGE(AH11,AH15)</f>
        <v>0</v>
      </c>
      <c r="W11" s="724">
        <f t="shared" si="1"/>
        <v>0</v>
      </c>
      <c r="X11" s="724">
        <f t="shared" si="1"/>
        <v>0</v>
      </c>
      <c r="Y11" s="725">
        <f t="shared" si="1"/>
        <v>0</v>
      </c>
      <c r="Z11" s="724"/>
      <c r="AA11" s="724">
        <f>AVERAGE(I11:T11)</f>
        <v>0</v>
      </c>
      <c r="AB11" s="724">
        <f t="shared" si="2"/>
        <v>0</v>
      </c>
      <c r="AC11" s="724">
        <f t="shared" si="2"/>
        <v>0</v>
      </c>
      <c r="AD11" s="724">
        <f t="shared" si="2"/>
        <v>0</v>
      </c>
      <c r="AE11" s="724">
        <f t="shared" si="2"/>
        <v>0</v>
      </c>
      <c r="AG11" s="435"/>
      <c r="AH11" s="832">
        <f>'A3'!H34*'A3'!T34</f>
        <v>0</v>
      </c>
      <c r="AI11" s="832">
        <f t="shared" si="3"/>
        <v>0</v>
      </c>
      <c r="AJ11" s="832">
        <f t="shared" si="3"/>
        <v>0</v>
      </c>
      <c r="AK11" s="832">
        <f t="shared" si="3"/>
        <v>0</v>
      </c>
      <c r="AL11" s="832">
        <f t="shared" si="3"/>
        <v>0</v>
      </c>
      <c r="AM11" s="173"/>
      <c r="AN11" s="173"/>
      <c r="AO11" s="77">
        <f>'A1'!F47</f>
        <v>0.05</v>
      </c>
      <c r="AP11" s="77">
        <f>'A1'!F48</f>
        <v>0.05</v>
      </c>
      <c r="AQ11" s="77">
        <f>'A1'!F49</f>
        <v>0.05</v>
      </c>
      <c r="AR11" s="77">
        <f>'A1'!F50</f>
        <v>0.05</v>
      </c>
    </row>
    <row r="12" spans="1:44" s="516" customFormat="1" x14ac:dyDescent="0.25">
      <c r="D12" s="516" t="s">
        <v>13</v>
      </c>
      <c r="G12" s="517"/>
      <c r="H12" s="517"/>
      <c r="I12" s="518">
        <f>SUMPRODUCT(I10:I11,$G$10:$G$11)</f>
        <v>0</v>
      </c>
      <c r="J12" s="518">
        <f t="shared" ref="J12:AE12" si="4">SUMPRODUCT(J10:J11,$G$10:$G$11)</f>
        <v>0</v>
      </c>
      <c r="K12" s="518">
        <f t="shared" si="4"/>
        <v>0</v>
      </c>
      <c r="L12" s="518">
        <f t="shared" si="4"/>
        <v>0</v>
      </c>
      <c r="M12" s="518">
        <f t="shared" si="4"/>
        <v>0</v>
      </c>
      <c r="N12" s="518">
        <f t="shared" si="4"/>
        <v>0</v>
      </c>
      <c r="O12" s="518">
        <f t="shared" si="4"/>
        <v>0</v>
      </c>
      <c r="P12" s="518">
        <f t="shared" si="4"/>
        <v>0</v>
      </c>
      <c r="Q12" s="518">
        <f t="shared" si="4"/>
        <v>0</v>
      </c>
      <c r="R12" s="518">
        <f t="shared" si="4"/>
        <v>0</v>
      </c>
      <c r="S12" s="518">
        <f t="shared" si="4"/>
        <v>0</v>
      </c>
      <c r="T12" s="726">
        <f t="shared" si="4"/>
        <v>0</v>
      </c>
      <c r="U12" s="518"/>
      <c r="V12" s="518">
        <f t="shared" si="4"/>
        <v>0</v>
      </c>
      <c r="W12" s="518">
        <f t="shared" si="4"/>
        <v>0</v>
      </c>
      <c r="X12" s="518">
        <f t="shared" si="4"/>
        <v>0</v>
      </c>
      <c r="Y12" s="726">
        <f t="shared" si="4"/>
        <v>0</v>
      </c>
      <c r="Z12" s="727"/>
      <c r="AA12" s="727">
        <f t="shared" si="4"/>
        <v>0</v>
      </c>
      <c r="AB12" s="727">
        <f t="shared" si="4"/>
        <v>0</v>
      </c>
      <c r="AC12" s="727">
        <f t="shared" si="4"/>
        <v>0</v>
      </c>
      <c r="AD12" s="727">
        <f t="shared" si="4"/>
        <v>0</v>
      </c>
      <c r="AE12" s="518">
        <f t="shared" si="4"/>
        <v>0</v>
      </c>
      <c r="AH12" s="1357" t="s">
        <v>1060</v>
      </c>
      <c r="AI12" s="1358"/>
      <c r="AJ12" s="1358"/>
      <c r="AK12" s="1358"/>
      <c r="AL12" s="1359"/>
      <c r="AO12" s="517"/>
      <c r="AP12" s="517"/>
      <c r="AQ12" s="517"/>
      <c r="AR12" s="517"/>
    </row>
    <row r="13" spans="1:44" x14ac:dyDescent="0.25">
      <c r="H13" s="173"/>
      <c r="I13" s="36"/>
      <c r="J13" s="36"/>
      <c r="K13" s="36"/>
      <c r="L13" s="36"/>
      <c r="M13" s="36"/>
      <c r="N13" s="36"/>
      <c r="O13" s="36"/>
      <c r="P13" s="36"/>
      <c r="Q13" s="36"/>
      <c r="R13" s="36"/>
      <c r="S13" s="36"/>
      <c r="T13" s="51"/>
      <c r="U13" s="36"/>
      <c r="V13" s="36"/>
      <c r="W13" s="36"/>
      <c r="X13" s="36"/>
      <c r="Y13" s="51"/>
      <c r="Z13" s="36"/>
      <c r="AA13" s="36"/>
      <c r="AB13" s="36"/>
      <c r="AC13" s="36"/>
      <c r="AD13" s="36"/>
      <c r="AE13" s="36"/>
      <c r="AH13" s="1360" t="str">
        <f>V7</f>
        <v>Y2Q1</v>
      </c>
      <c r="AI13" s="173" t="str">
        <f>W7</f>
        <v>Y2Q2</v>
      </c>
      <c r="AJ13" s="173" t="str">
        <f>X7</f>
        <v>Y2Q3</v>
      </c>
      <c r="AK13" s="173" t="str">
        <f>Y7</f>
        <v>Y2Q4</v>
      </c>
      <c r="AL13" s="1361" t="s">
        <v>1061</v>
      </c>
      <c r="AO13" s="173"/>
      <c r="AP13" s="173"/>
      <c r="AQ13" s="173"/>
      <c r="AR13" s="173"/>
    </row>
    <row r="14" spans="1:44" x14ac:dyDescent="0.25">
      <c r="H14" s="173"/>
      <c r="I14" s="36"/>
      <c r="J14" s="36"/>
      <c r="K14" s="36"/>
      <c r="L14" s="36"/>
      <c r="M14" s="36"/>
      <c r="N14" s="36"/>
      <c r="O14" s="36"/>
      <c r="P14" s="36"/>
      <c r="Q14" s="36"/>
      <c r="R14" s="36"/>
      <c r="S14" s="36"/>
      <c r="T14" s="51"/>
      <c r="U14" s="36"/>
      <c r="V14" s="36"/>
      <c r="W14" s="36"/>
      <c r="X14" s="36"/>
      <c r="Y14" s="51"/>
      <c r="Z14" s="36"/>
      <c r="AA14" s="36"/>
      <c r="AB14" s="36"/>
      <c r="AC14" s="36"/>
      <c r="AD14" s="36"/>
      <c r="AE14" s="36"/>
      <c r="AH14" s="1471">
        <f>$AH10+($AI$10-$AH$10)/4</f>
        <v>0</v>
      </c>
      <c r="AI14" s="78">
        <f>AH14+($AI$10-$AH$10)/4</f>
        <v>0</v>
      </c>
      <c r="AJ14" s="78">
        <f>AI14+($AI$10-$AH$10)/4</f>
        <v>0</v>
      </c>
      <c r="AK14" s="78">
        <f>AJ14+($AI$10-$AH$10)/4</f>
        <v>0</v>
      </c>
      <c r="AL14" s="1363">
        <f>AI10-AK14</f>
        <v>0</v>
      </c>
      <c r="AO14" s="173"/>
      <c r="AP14" s="173"/>
      <c r="AQ14" s="173"/>
      <c r="AR14" s="173"/>
    </row>
    <row r="15" spans="1:44" ht="15.75" x14ac:dyDescent="0.25">
      <c r="B15" s="513" t="s">
        <v>126</v>
      </c>
      <c r="H15" s="173"/>
      <c r="I15" s="36"/>
      <c r="J15" s="36"/>
      <c r="K15" s="36"/>
      <c r="L15" s="36"/>
      <c r="M15" s="36"/>
      <c r="N15" s="36"/>
      <c r="O15" s="36"/>
      <c r="P15" s="36"/>
      <c r="Q15" s="36"/>
      <c r="R15" s="36"/>
      <c r="S15" s="36"/>
      <c r="T15" s="51"/>
      <c r="U15" s="36"/>
      <c r="V15" s="36"/>
      <c r="W15" s="36"/>
      <c r="X15" s="36"/>
      <c r="Y15" s="51"/>
      <c r="Z15" s="36"/>
      <c r="AA15" s="36"/>
      <c r="AB15" s="36"/>
      <c r="AC15" s="36"/>
      <c r="AD15" s="36"/>
      <c r="AE15" s="36"/>
      <c r="AH15" s="178">
        <f>$AH11+($AI$11-$AH$11)/4</f>
        <v>0</v>
      </c>
      <c r="AI15" s="46">
        <f>AH15+($AI$11-$AH$11)/4</f>
        <v>0</v>
      </c>
      <c r="AJ15" s="46">
        <f>AI15+($AI$11-$AH$11)/4</f>
        <v>0</v>
      </c>
      <c r="AK15" s="46">
        <f>AJ15+($AI$11-$AH$11)/4</f>
        <v>0</v>
      </c>
      <c r="AL15" s="380"/>
      <c r="AO15" s="173"/>
      <c r="AP15" s="173"/>
      <c r="AQ15" s="173"/>
      <c r="AR15" s="173"/>
    </row>
    <row r="16" spans="1:44" x14ac:dyDescent="0.25">
      <c r="I16" s="36"/>
      <c r="J16" s="36"/>
      <c r="K16" s="36"/>
      <c r="L16" s="36"/>
      <c r="M16" s="36"/>
      <c r="N16" s="36"/>
      <c r="O16" s="36"/>
      <c r="P16" s="36"/>
      <c r="Q16" s="36"/>
      <c r="R16" s="36"/>
      <c r="S16" s="36"/>
      <c r="T16" s="51"/>
      <c r="U16" s="36"/>
      <c r="V16" s="36"/>
      <c r="W16" s="36"/>
      <c r="X16" s="36"/>
      <c r="Y16" s="51"/>
      <c r="Z16" s="36"/>
      <c r="AA16" s="36"/>
      <c r="AB16" s="36"/>
      <c r="AC16" s="36"/>
      <c r="AD16" s="36"/>
      <c r="AE16" s="36"/>
      <c r="AH16" s="1" t="s">
        <v>99</v>
      </c>
      <c r="AI16" s="1" t="s">
        <v>100</v>
      </c>
      <c r="AJ16" s="1" t="s">
        <v>101</v>
      </c>
      <c r="AK16" s="1" t="s">
        <v>102</v>
      </c>
      <c r="AO16" s="173"/>
      <c r="AP16" s="173"/>
      <c r="AQ16" s="173"/>
      <c r="AR16" s="173"/>
    </row>
    <row r="17" spans="2:49" x14ac:dyDescent="0.25">
      <c r="C17" s="82" t="str">
        <f>D11&amp; " Treatments"</f>
        <v>Nocturnal Treatments</v>
      </c>
      <c r="I17" s="13">
        <f t="shared" ref="I17:T17" si="5">I$11*$AI17</f>
        <v>0</v>
      </c>
      <c r="J17" s="13">
        <f t="shared" si="5"/>
        <v>0</v>
      </c>
      <c r="K17" s="13">
        <f t="shared" si="5"/>
        <v>0</v>
      </c>
      <c r="L17" s="13">
        <f t="shared" si="5"/>
        <v>0</v>
      </c>
      <c r="M17" s="13">
        <f t="shared" si="5"/>
        <v>0</v>
      </c>
      <c r="N17" s="13">
        <f t="shared" si="5"/>
        <v>0</v>
      </c>
      <c r="O17" s="13">
        <f t="shared" si="5"/>
        <v>0</v>
      </c>
      <c r="P17" s="13">
        <f t="shared" si="5"/>
        <v>0</v>
      </c>
      <c r="Q17" s="13">
        <f t="shared" si="5"/>
        <v>0</v>
      </c>
      <c r="R17" s="13">
        <f t="shared" si="5"/>
        <v>0</v>
      </c>
      <c r="S17" s="13">
        <f t="shared" si="5"/>
        <v>0</v>
      </c>
      <c r="T17" s="14">
        <f t="shared" si="5"/>
        <v>0</v>
      </c>
      <c r="U17" s="13"/>
      <c r="V17" s="13">
        <f>V$11*$AJ17</f>
        <v>0</v>
      </c>
      <c r="W17" s="13">
        <f>W$11*$AJ17</f>
        <v>0</v>
      </c>
      <c r="X17" s="13">
        <f>X$11*$AJ17</f>
        <v>0</v>
      </c>
      <c r="Y17" s="14">
        <f>Y$11*$AJ17</f>
        <v>0</v>
      </c>
      <c r="Z17" s="13"/>
      <c r="AA17" s="13">
        <f>SUM(I17:T17)</f>
        <v>0</v>
      </c>
      <c r="AB17" s="13">
        <f>SUM(V17:Y17)</f>
        <v>0</v>
      </c>
      <c r="AC17" s="13">
        <f>AC$11*$AK17</f>
        <v>0</v>
      </c>
      <c r="AD17" s="13">
        <f>AD$11*$AK17</f>
        <v>0</v>
      </c>
      <c r="AE17" s="13">
        <f>AE$11*$AK17</f>
        <v>0</v>
      </c>
      <c r="AI17" s="728">
        <f>AL4</f>
        <v>0</v>
      </c>
      <c r="AJ17" s="729">
        <f>AI17*3</f>
        <v>0</v>
      </c>
      <c r="AK17" s="729">
        <f>AI17*12</f>
        <v>0</v>
      </c>
      <c r="AL17" s="173"/>
      <c r="AO17" s="173"/>
      <c r="AP17" s="173"/>
      <c r="AQ17" s="173"/>
      <c r="AR17" s="173"/>
    </row>
    <row r="18" spans="2:49" x14ac:dyDescent="0.25">
      <c r="D18" s="81" t="str">
        <f>'C1'!D18</f>
        <v>Commercial</v>
      </c>
      <c r="E18" s="81"/>
      <c r="I18" s="13"/>
      <c r="J18" s="13"/>
      <c r="K18" s="13"/>
      <c r="L18" s="13"/>
      <c r="M18" s="13"/>
      <c r="N18" s="13"/>
      <c r="O18" s="13"/>
      <c r="P18" s="13"/>
      <c r="Q18" s="13"/>
      <c r="R18" s="13"/>
      <c r="S18" s="13"/>
      <c r="T18" s="14"/>
      <c r="U18" s="13"/>
      <c r="V18" s="13"/>
      <c r="W18" s="13"/>
      <c r="X18" s="13"/>
      <c r="Y18" s="14"/>
      <c r="Z18" s="13"/>
      <c r="AA18" s="13"/>
      <c r="AB18" s="13"/>
      <c r="AC18" s="13"/>
      <c r="AD18" s="13"/>
      <c r="AE18" s="13"/>
      <c r="AJ18" s="173"/>
      <c r="AK18" s="173"/>
      <c r="AL18" s="173"/>
      <c r="AO18" s="173"/>
      <c r="AP18" s="173"/>
      <c r="AQ18" s="173"/>
      <c r="AR18" s="173"/>
    </row>
    <row r="19" spans="2:49" x14ac:dyDescent="0.25">
      <c r="D19" s="81"/>
      <c r="E19" s="81" t="str">
        <f>'C1'!E19</f>
        <v>Non-contracted</v>
      </c>
      <c r="G19" s="77">
        <f>AH19</f>
        <v>0</v>
      </c>
      <c r="H19" s="76"/>
      <c r="I19" s="13">
        <f t="shared" ref="I19:T19" si="6">I17*$G19</f>
        <v>0</v>
      </c>
      <c r="J19" s="13">
        <f t="shared" si="6"/>
        <v>0</v>
      </c>
      <c r="K19" s="13">
        <f t="shared" si="6"/>
        <v>0</v>
      </c>
      <c r="L19" s="13">
        <f t="shared" si="6"/>
        <v>0</v>
      </c>
      <c r="M19" s="13">
        <f t="shared" si="6"/>
        <v>0</v>
      </c>
      <c r="N19" s="13">
        <f t="shared" si="6"/>
        <v>0</v>
      </c>
      <c r="O19" s="13">
        <f t="shared" si="6"/>
        <v>0</v>
      </c>
      <c r="P19" s="13">
        <f t="shared" si="6"/>
        <v>0</v>
      </c>
      <c r="Q19" s="13">
        <f t="shared" si="6"/>
        <v>0</v>
      </c>
      <c r="R19" s="13">
        <f t="shared" si="6"/>
        <v>0</v>
      </c>
      <c r="S19" s="13">
        <f t="shared" si="6"/>
        <v>0</v>
      </c>
      <c r="T19" s="14">
        <f t="shared" si="6"/>
        <v>0</v>
      </c>
      <c r="U19" s="13"/>
      <c r="V19" s="13">
        <f>V17*$AI19</f>
        <v>0</v>
      </c>
      <c r="W19" s="13">
        <f>W17*$AI19</f>
        <v>0</v>
      </c>
      <c r="X19" s="13">
        <f>X17*$AI19</f>
        <v>0</v>
      </c>
      <c r="Y19" s="14">
        <f>Y17*$AI19</f>
        <v>0</v>
      </c>
      <c r="Z19" s="13"/>
      <c r="AA19" s="13">
        <f>SUM(I19:T19)</f>
        <v>0</v>
      </c>
      <c r="AB19" s="13">
        <f>SUM(V19:Y19)</f>
        <v>0</v>
      </c>
      <c r="AC19" s="13">
        <f>AC$17*AJ19</f>
        <v>0</v>
      </c>
      <c r="AD19" s="13">
        <f t="shared" ref="AD19:AE25" si="7">AD$17*AK19</f>
        <v>0</v>
      </c>
      <c r="AE19" s="13">
        <f t="shared" si="7"/>
        <v>0</v>
      </c>
      <c r="AH19" s="25">
        <f>'B2'!K26</f>
        <v>0</v>
      </c>
      <c r="AI19" s="25">
        <f>'B2'!L26</f>
        <v>0</v>
      </c>
      <c r="AJ19" s="25">
        <f>'B2'!M26</f>
        <v>0</v>
      </c>
      <c r="AK19" s="25">
        <f>'B2'!N26</f>
        <v>0</v>
      </c>
      <c r="AL19" s="25">
        <f>'B2'!O26</f>
        <v>0</v>
      </c>
      <c r="AO19" s="173"/>
      <c r="AP19" s="173"/>
      <c r="AQ19" s="173"/>
      <c r="AR19" s="173"/>
    </row>
    <row r="20" spans="2:49" x14ac:dyDescent="0.25">
      <c r="D20" s="81"/>
      <c r="E20" s="81" t="str">
        <f>'C1'!E20</f>
        <v>Contracted</v>
      </c>
      <c r="G20" s="77">
        <f t="shared" ref="G20:G25" si="8">AH20</f>
        <v>0</v>
      </c>
      <c r="H20" s="76"/>
      <c r="I20" s="13">
        <f t="shared" ref="I20:T20" si="9">I17*$G20</f>
        <v>0</v>
      </c>
      <c r="J20" s="13">
        <f t="shared" si="9"/>
        <v>0</v>
      </c>
      <c r="K20" s="13">
        <f t="shared" si="9"/>
        <v>0</v>
      </c>
      <c r="L20" s="13">
        <f t="shared" si="9"/>
        <v>0</v>
      </c>
      <c r="M20" s="13">
        <f t="shared" si="9"/>
        <v>0</v>
      </c>
      <c r="N20" s="13">
        <f t="shared" si="9"/>
        <v>0</v>
      </c>
      <c r="O20" s="13">
        <f t="shared" si="9"/>
        <v>0</v>
      </c>
      <c r="P20" s="13">
        <f t="shared" si="9"/>
        <v>0</v>
      </c>
      <c r="Q20" s="13">
        <f t="shared" si="9"/>
        <v>0</v>
      </c>
      <c r="R20" s="13">
        <f t="shared" si="9"/>
        <v>0</v>
      </c>
      <c r="S20" s="13">
        <f t="shared" si="9"/>
        <v>0</v>
      </c>
      <c r="T20" s="14">
        <f t="shared" si="9"/>
        <v>0</v>
      </c>
      <c r="U20" s="13"/>
      <c r="V20" s="13">
        <f>V17*$AI20</f>
        <v>0</v>
      </c>
      <c r="W20" s="13">
        <f>W17*$AI20</f>
        <v>0</v>
      </c>
      <c r="X20" s="13">
        <f>X17*$AI20</f>
        <v>0</v>
      </c>
      <c r="Y20" s="14">
        <f>Y17*$AI20</f>
        <v>0</v>
      </c>
      <c r="Z20" s="13"/>
      <c r="AA20" s="13">
        <f t="shared" ref="AA20:AA25" si="10">SUM(I20:T20)</f>
        <v>0</v>
      </c>
      <c r="AB20" s="13">
        <f t="shared" ref="AB20:AB25" si="11">SUM(V20:Y20)</f>
        <v>0</v>
      </c>
      <c r="AC20" s="13">
        <f t="shared" ref="AC20:AC25" si="12">AC$17*AJ20</f>
        <v>0</v>
      </c>
      <c r="AD20" s="13">
        <f t="shared" si="7"/>
        <v>0</v>
      </c>
      <c r="AE20" s="13">
        <f t="shared" si="7"/>
        <v>0</v>
      </c>
      <c r="AH20" s="25">
        <f>'B2'!K27</f>
        <v>0</v>
      </c>
      <c r="AI20" s="25">
        <f>'B2'!L27</f>
        <v>0</v>
      </c>
      <c r="AJ20" s="25">
        <f>'B2'!M27</f>
        <v>0</v>
      </c>
      <c r="AK20" s="25">
        <f>'B2'!N27</f>
        <v>0</v>
      </c>
      <c r="AL20" s="25">
        <f>'B2'!O27</f>
        <v>0</v>
      </c>
      <c r="AO20" s="173"/>
      <c r="AP20" s="173"/>
      <c r="AQ20" s="173"/>
      <c r="AR20" s="173"/>
    </row>
    <row r="21" spans="2:49" x14ac:dyDescent="0.25">
      <c r="D21" s="81"/>
      <c r="E21" s="81" t="str">
        <f>'C1'!E21</f>
        <v>KP</v>
      </c>
      <c r="G21" s="77">
        <f t="shared" si="8"/>
        <v>0</v>
      </c>
      <c r="H21" s="76"/>
      <c r="I21" s="13">
        <f t="shared" ref="I21:T21" si="13">I17*$G21</f>
        <v>0</v>
      </c>
      <c r="J21" s="13">
        <f t="shared" si="13"/>
        <v>0</v>
      </c>
      <c r="K21" s="13">
        <f t="shared" si="13"/>
        <v>0</v>
      </c>
      <c r="L21" s="13">
        <f t="shared" si="13"/>
        <v>0</v>
      </c>
      <c r="M21" s="13">
        <f t="shared" si="13"/>
        <v>0</v>
      </c>
      <c r="N21" s="13">
        <f t="shared" si="13"/>
        <v>0</v>
      </c>
      <c r="O21" s="13">
        <f t="shared" si="13"/>
        <v>0</v>
      </c>
      <c r="P21" s="13">
        <f t="shared" si="13"/>
        <v>0</v>
      </c>
      <c r="Q21" s="13">
        <f t="shared" si="13"/>
        <v>0</v>
      </c>
      <c r="R21" s="13">
        <f t="shared" si="13"/>
        <v>0</v>
      </c>
      <c r="S21" s="13">
        <f t="shared" si="13"/>
        <v>0</v>
      </c>
      <c r="T21" s="14">
        <f t="shared" si="13"/>
        <v>0</v>
      </c>
      <c r="U21" s="13"/>
      <c r="V21" s="13">
        <f>V17*$AI21</f>
        <v>0</v>
      </c>
      <c r="W21" s="13">
        <f>W17*$AI21</f>
        <v>0</v>
      </c>
      <c r="X21" s="13">
        <f>X17*$AI21</f>
        <v>0</v>
      </c>
      <c r="Y21" s="14">
        <f>Y17*$AI21</f>
        <v>0</v>
      </c>
      <c r="Z21" s="13"/>
      <c r="AA21" s="13">
        <f t="shared" si="10"/>
        <v>0</v>
      </c>
      <c r="AB21" s="13">
        <f t="shared" si="11"/>
        <v>0</v>
      </c>
      <c r="AC21" s="13">
        <f t="shared" si="12"/>
        <v>0</v>
      </c>
      <c r="AD21" s="13">
        <f t="shared" si="7"/>
        <v>0</v>
      </c>
      <c r="AE21" s="13">
        <f t="shared" si="7"/>
        <v>0</v>
      </c>
      <c r="AH21" s="25">
        <f>'B2'!K28</f>
        <v>0</v>
      </c>
      <c r="AI21" s="25">
        <f>'B2'!L28</f>
        <v>0</v>
      </c>
      <c r="AJ21" s="25">
        <f>'B2'!M28</f>
        <v>0</v>
      </c>
      <c r="AK21" s="25">
        <f>'B2'!N28</f>
        <v>0</v>
      </c>
      <c r="AL21" s="25">
        <f>'B2'!O28</f>
        <v>0</v>
      </c>
      <c r="AO21" s="173"/>
      <c r="AP21" s="173"/>
      <c r="AQ21" s="173"/>
      <c r="AR21" s="173"/>
    </row>
    <row r="22" spans="2:49" x14ac:dyDescent="0.25">
      <c r="D22" s="81" t="str">
        <f>'C1'!D22</f>
        <v>Medicare</v>
      </c>
      <c r="E22" s="81"/>
      <c r="G22" s="77">
        <f t="shared" si="8"/>
        <v>0</v>
      </c>
      <c r="H22" s="76"/>
      <c r="I22" s="13">
        <f t="shared" ref="I22:T22" si="14">I17*$G22</f>
        <v>0</v>
      </c>
      <c r="J22" s="13">
        <f t="shared" si="14"/>
        <v>0</v>
      </c>
      <c r="K22" s="13">
        <f t="shared" si="14"/>
        <v>0</v>
      </c>
      <c r="L22" s="13">
        <f t="shared" si="14"/>
        <v>0</v>
      </c>
      <c r="M22" s="13">
        <f t="shared" si="14"/>
        <v>0</v>
      </c>
      <c r="N22" s="13">
        <f t="shared" si="14"/>
        <v>0</v>
      </c>
      <c r="O22" s="13">
        <f t="shared" si="14"/>
        <v>0</v>
      </c>
      <c r="P22" s="13">
        <f t="shared" si="14"/>
        <v>0</v>
      </c>
      <c r="Q22" s="13">
        <f t="shared" si="14"/>
        <v>0</v>
      </c>
      <c r="R22" s="13">
        <f t="shared" si="14"/>
        <v>0</v>
      </c>
      <c r="S22" s="13">
        <f t="shared" si="14"/>
        <v>0</v>
      </c>
      <c r="T22" s="14">
        <f t="shared" si="14"/>
        <v>0</v>
      </c>
      <c r="U22" s="13"/>
      <c r="V22" s="13">
        <f>V17*$AI22</f>
        <v>0</v>
      </c>
      <c r="W22" s="13">
        <f>W17*$AI22</f>
        <v>0</v>
      </c>
      <c r="X22" s="13">
        <f>X17*$AI22</f>
        <v>0</v>
      </c>
      <c r="Y22" s="14">
        <f>Y17*$AI22</f>
        <v>0</v>
      </c>
      <c r="Z22" s="13"/>
      <c r="AA22" s="13">
        <f t="shared" si="10"/>
        <v>0</v>
      </c>
      <c r="AB22" s="13">
        <f t="shared" si="11"/>
        <v>0</v>
      </c>
      <c r="AC22" s="13">
        <f t="shared" si="12"/>
        <v>0</v>
      </c>
      <c r="AD22" s="13">
        <f t="shared" si="7"/>
        <v>0</v>
      </c>
      <c r="AE22" s="13">
        <f t="shared" si="7"/>
        <v>0</v>
      </c>
      <c r="AH22" s="25">
        <f>'B2'!K29</f>
        <v>0</v>
      </c>
      <c r="AI22" s="25">
        <f>'B2'!L29</f>
        <v>0</v>
      </c>
      <c r="AJ22" s="25">
        <f>'B2'!M29</f>
        <v>0</v>
      </c>
      <c r="AK22" s="25">
        <f>'B2'!N29</f>
        <v>0</v>
      </c>
      <c r="AL22" s="25">
        <f>'B2'!O29</f>
        <v>0</v>
      </c>
      <c r="AO22" s="173"/>
      <c r="AP22" s="173"/>
      <c r="AQ22" s="173"/>
      <c r="AR22" s="173"/>
    </row>
    <row r="23" spans="2:49" x14ac:dyDescent="0.25">
      <c r="D23" s="81" t="str">
        <f>'C1'!D23</f>
        <v>Medicaid</v>
      </c>
      <c r="E23" s="81"/>
      <c r="G23" s="77">
        <f t="shared" si="8"/>
        <v>0</v>
      </c>
      <c r="H23" s="76"/>
      <c r="I23" s="13">
        <f t="shared" ref="I23:T23" si="15">I17*$G23</f>
        <v>0</v>
      </c>
      <c r="J23" s="13">
        <f t="shared" si="15"/>
        <v>0</v>
      </c>
      <c r="K23" s="13">
        <f t="shared" si="15"/>
        <v>0</v>
      </c>
      <c r="L23" s="13">
        <f t="shared" si="15"/>
        <v>0</v>
      </c>
      <c r="M23" s="13">
        <f t="shared" si="15"/>
        <v>0</v>
      </c>
      <c r="N23" s="13">
        <f t="shared" si="15"/>
        <v>0</v>
      </c>
      <c r="O23" s="13">
        <f t="shared" si="15"/>
        <v>0</v>
      </c>
      <c r="P23" s="13">
        <f t="shared" si="15"/>
        <v>0</v>
      </c>
      <c r="Q23" s="13">
        <f t="shared" si="15"/>
        <v>0</v>
      </c>
      <c r="R23" s="13">
        <f t="shared" si="15"/>
        <v>0</v>
      </c>
      <c r="S23" s="13">
        <f t="shared" si="15"/>
        <v>0</v>
      </c>
      <c r="T23" s="14">
        <f t="shared" si="15"/>
        <v>0</v>
      </c>
      <c r="U23" s="13"/>
      <c r="V23" s="13">
        <f>V17*$AI23</f>
        <v>0</v>
      </c>
      <c r="W23" s="13">
        <f>W17*$AI23</f>
        <v>0</v>
      </c>
      <c r="X23" s="13">
        <f>X17*$AI23</f>
        <v>0</v>
      </c>
      <c r="Y23" s="14">
        <f>Y17*$AI23</f>
        <v>0</v>
      </c>
      <c r="Z23" s="13"/>
      <c r="AA23" s="13">
        <f t="shared" si="10"/>
        <v>0</v>
      </c>
      <c r="AB23" s="13">
        <f t="shared" si="11"/>
        <v>0</v>
      </c>
      <c r="AC23" s="13">
        <f t="shared" si="12"/>
        <v>0</v>
      </c>
      <c r="AD23" s="13">
        <f t="shared" si="7"/>
        <v>0</v>
      </c>
      <c r="AE23" s="13">
        <f t="shared" si="7"/>
        <v>0</v>
      </c>
      <c r="AH23" s="25">
        <f>'B2'!K30</f>
        <v>0</v>
      </c>
      <c r="AI23" s="25">
        <f>'B2'!L30</f>
        <v>0</v>
      </c>
      <c r="AJ23" s="25">
        <f>'B2'!M30</f>
        <v>0</v>
      </c>
      <c r="AK23" s="25">
        <f>'B2'!N30</f>
        <v>0</v>
      </c>
      <c r="AL23" s="25">
        <f>'B2'!O30</f>
        <v>0</v>
      </c>
      <c r="AO23" s="173"/>
      <c r="AP23" s="173"/>
      <c r="AQ23" s="173"/>
      <c r="AR23" s="173"/>
    </row>
    <row r="24" spans="2:49" x14ac:dyDescent="0.25">
      <c r="D24" s="81" t="str">
        <f>'C1'!D24</f>
        <v>Other</v>
      </c>
      <c r="E24" s="81"/>
      <c r="G24" s="77">
        <f t="shared" si="8"/>
        <v>0</v>
      </c>
      <c r="H24" s="76"/>
      <c r="I24" s="13">
        <f t="shared" ref="I24:T24" si="16">I17*$G24</f>
        <v>0</v>
      </c>
      <c r="J24" s="13">
        <f t="shared" si="16"/>
        <v>0</v>
      </c>
      <c r="K24" s="13">
        <f t="shared" si="16"/>
        <v>0</v>
      </c>
      <c r="L24" s="13">
        <f t="shared" si="16"/>
        <v>0</v>
      </c>
      <c r="M24" s="13">
        <f t="shared" si="16"/>
        <v>0</v>
      </c>
      <c r="N24" s="13">
        <f t="shared" si="16"/>
        <v>0</v>
      </c>
      <c r="O24" s="13">
        <f t="shared" si="16"/>
        <v>0</v>
      </c>
      <c r="P24" s="13">
        <f t="shared" si="16"/>
        <v>0</v>
      </c>
      <c r="Q24" s="13">
        <f t="shared" si="16"/>
        <v>0</v>
      </c>
      <c r="R24" s="13">
        <f t="shared" si="16"/>
        <v>0</v>
      </c>
      <c r="S24" s="13">
        <f t="shared" si="16"/>
        <v>0</v>
      </c>
      <c r="T24" s="14">
        <f t="shared" si="16"/>
        <v>0</v>
      </c>
      <c r="U24" s="13"/>
      <c r="V24" s="13">
        <f>V17*$AI24</f>
        <v>0</v>
      </c>
      <c r="W24" s="13">
        <f>W17*$AI24</f>
        <v>0</v>
      </c>
      <c r="X24" s="13">
        <f>X17*$AI24</f>
        <v>0</v>
      </c>
      <c r="Y24" s="14">
        <f>Y17*$AI24</f>
        <v>0</v>
      </c>
      <c r="Z24" s="13"/>
      <c r="AA24" s="13">
        <f t="shared" si="10"/>
        <v>0</v>
      </c>
      <c r="AB24" s="13">
        <f t="shared" si="11"/>
        <v>0</v>
      </c>
      <c r="AC24" s="13">
        <f t="shared" si="12"/>
        <v>0</v>
      </c>
      <c r="AD24" s="13">
        <f t="shared" si="7"/>
        <v>0</v>
      </c>
      <c r="AE24" s="13">
        <f t="shared" si="7"/>
        <v>0</v>
      </c>
      <c r="AH24" s="25">
        <f>'B2'!K31</f>
        <v>0</v>
      </c>
      <c r="AI24" s="25">
        <f>'B2'!L31</f>
        <v>0</v>
      </c>
      <c r="AJ24" s="25">
        <f>'B2'!M31</f>
        <v>0</v>
      </c>
      <c r="AK24" s="25">
        <f>'B2'!N31</f>
        <v>0</v>
      </c>
      <c r="AL24" s="25">
        <f>'B2'!O31</f>
        <v>0</v>
      </c>
      <c r="AO24" s="173"/>
      <c r="AP24" s="173"/>
      <c r="AQ24" s="173"/>
      <c r="AR24" s="173"/>
    </row>
    <row r="25" spans="2:49" ht="17.25" x14ac:dyDescent="0.4">
      <c r="D25" s="81" t="str">
        <f>'C1'!D25</f>
        <v>AKI</v>
      </c>
      <c r="E25" s="81"/>
      <c r="G25" s="77">
        <f t="shared" si="8"/>
        <v>0</v>
      </c>
      <c r="H25" s="76"/>
      <c r="I25" s="731">
        <f t="shared" ref="I25:T25" si="17">I17*$G25</f>
        <v>0</v>
      </c>
      <c r="J25" s="731">
        <f t="shared" si="17"/>
        <v>0</v>
      </c>
      <c r="K25" s="731">
        <f t="shared" si="17"/>
        <v>0</v>
      </c>
      <c r="L25" s="731">
        <f t="shared" si="17"/>
        <v>0</v>
      </c>
      <c r="M25" s="731">
        <f t="shared" si="17"/>
        <v>0</v>
      </c>
      <c r="N25" s="731">
        <f t="shared" si="17"/>
        <v>0</v>
      </c>
      <c r="O25" s="731">
        <f t="shared" si="17"/>
        <v>0</v>
      </c>
      <c r="P25" s="731">
        <f t="shared" si="17"/>
        <v>0</v>
      </c>
      <c r="Q25" s="731">
        <f t="shared" si="17"/>
        <v>0</v>
      </c>
      <c r="R25" s="731">
        <f t="shared" si="17"/>
        <v>0</v>
      </c>
      <c r="S25" s="731">
        <f t="shared" si="17"/>
        <v>0</v>
      </c>
      <c r="T25" s="732">
        <f t="shared" si="17"/>
        <v>0</v>
      </c>
      <c r="U25" s="13"/>
      <c r="V25" s="731">
        <f>V17*$AI25</f>
        <v>0</v>
      </c>
      <c r="W25" s="731">
        <f>W17*$AI25</f>
        <v>0</v>
      </c>
      <c r="X25" s="731">
        <f>X17*$AI25</f>
        <v>0</v>
      </c>
      <c r="Y25" s="732">
        <f>Y17*$AI25</f>
        <v>0</v>
      </c>
      <c r="Z25" s="731"/>
      <c r="AA25" s="558">
        <f t="shared" si="10"/>
        <v>0</v>
      </c>
      <c r="AB25" s="558">
        <f t="shared" si="11"/>
        <v>0</v>
      </c>
      <c r="AC25" s="558">
        <f t="shared" si="12"/>
        <v>0</v>
      </c>
      <c r="AD25" s="558">
        <f t="shared" si="7"/>
        <v>0</v>
      </c>
      <c r="AE25" s="558">
        <f t="shared" si="7"/>
        <v>0</v>
      </c>
      <c r="AH25" s="25">
        <f>'B2'!K32</f>
        <v>0</v>
      </c>
      <c r="AI25" s="25">
        <f>'B2'!L32</f>
        <v>0</v>
      </c>
      <c r="AJ25" s="25">
        <f>'B2'!M32</f>
        <v>0</v>
      </c>
      <c r="AK25" s="25">
        <f>'B2'!N32</f>
        <v>0</v>
      </c>
      <c r="AL25" s="25">
        <f>'B2'!O32</f>
        <v>0</v>
      </c>
      <c r="AO25" s="173" t="s">
        <v>20</v>
      </c>
      <c r="AP25" s="173" t="s">
        <v>21</v>
      </c>
      <c r="AQ25" s="173" t="s">
        <v>22</v>
      </c>
      <c r="AR25" s="173" t="s">
        <v>23</v>
      </c>
    </row>
    <row r="26" spans="2:49" x14ac:dyDescent="0.25">
      <c r="D26" s="81"/>
      <c r="E26" s="81"/>
      <c r="I26" s="13">
        <f t="shared" ref="I26:T26" si="18">SUM(I19:I25)</f>
        <v>0</v>
      </c>
      <c r="J26" s="13">
        <f t="shared" si="18"/>
        <v>0</v>
      </c>
      <c r="K26" s="13">
        <f t="shared" si="18"/>
        <v>0</v>
      </c>
      <c r="L26" s="13">
        <f t="shared" si="18"/>
        <v>0</v>
      </c>
      <c r="M26" s="13">
        <f t="shared" si="18"/>
        <v>0</v>
      </c>
      <c r="N26" s="13">
        <f t="shared" si="18"/>
        <v>0</v>
      </c>
      <c r="O26" s="13">
        <f t="shared" si="18"/>
        <v>0</v>
      </c>
      <c r="P26" s="13">
        <f t="shared" si="18"/>
        <v>0</v>
      </c>
      <c r="Q26" s="13">
        <f t="shared" si="18"/>
        <v>0</v>
      </c>
      <c r="R26" s="13">
        <f t="shared" si="18"/>
        <v>0</v>
      </c>
      <c r="S26" s="13">
        <f t="shared" si="18"/>
        <v>0</v>
      </c>
      <c r="T26" s="14">
        <f t="shared" si="18"/>
        <v>0</v>
      </c>
      <c r="U26" s="13"/>
      <c r="V26" s="13">
        <f>SUM(V19:V25)</f>
        <v>0</v>
      </c>
      <c r="W26" s="13">
        <f>SUM(W19:W25)</f>
        <v>0</v>
      </c>
      <c r="X26" s="13">
        <f>SUM(X19:X25)</f>
        <v>0</v>
      </c>
      <c r="Y26" s="14">
        <f>SUM(Y19:Y25)</f>
        <v>0</v>
      </c>
      <c r="Z26" s="13"/>
      <c r="AA26" s="13">
        <f>SUM(AA19:AA25)</f>
        <v>0</v>
      </c>
      <c r="AB26" s="13">
        <f>SUM(AB19:AB25)</f>
        <v>0</v>
      </c>
      <c r="AC26" s="13">
        <f>SUM(AC19:AC25)</f>
        <v>0</v>
      </c>
      <c r="AD26" s="13">
        <f>SUM(AD19:AD25)</f>
        <v>0</v>
      </c>
      <c r="AE26" s="13">
        <f>SUM(AE19:AE25)</f>
        <v>0</v>
      </c>
      <c r="AO26" s="978">
        <f>SUM(I26:K26)</f>
        <v>0</v>
      </c>
      <c r="AP26" s="978">
        <f>SUM(L26:N26)</f>
        <v>0</v>
      </c>
      <c r="AQ26" s="978">
        <f>SUM(O26:Q26)</f>
        <v>0</v>
      </c>
      <c r="AR26" s="978">
        <f>SUM(R26:T26)</f>
        <v>0</v>
      </c>
    </row>
    <row r="27" spans="2:49" x14ac:dyDescent="0.25">
      <c r="D27" s="81"/>
      <c r="E27" s="81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14"/>
      <c r="U27" s="13"/>
      <c r="V27" s="13"/>
      <c r="W27" s="13"/>
      <c r="X27" s="13"/>
      <c r="Y27" s="14"/>
      <c r="Z27" s="13"/>
      <c r="AA27" s="13"/>
      <c r="AB27" s="13"/>
      <c r="AC27" s="13"/>
      <c r="AD27" s="13"/>
      <c r="AE27" s="13"/>
      <c r="AF27" s="1" t="s">
        <v>1185</v>
      </c>
      <c r="AH27" s="56">
        <f>AH10+AH11</f>
        <v>0</v>
      </c>
      <c r="AI27" s="56">
        <f>AI10+AI11</f>
        <v>0</v>
      </c>
      <c r="AJ27" s="56">
        <f>AJ10+AJ11</f>
        <v>0</v>
      </c>
      <c r="AK27" s="56">
        <f>AK10+AK11</f>
        <v>0</v>
      </c>
      <c r="AL27" s="56">
        <f>AL10+AL11</f>
        <v>0</v>
      </c>
      <c r="AO27" s="173"/>
      <c r="AP27" s="173"/>
      <c r="AQ27" s="173"/>
      <c r="AR27" s="173"/>
      <c r="AT27" s="381"/>
      <c r="AU27" s="381"/>
      <c r="AV27" s="381"/>
      <c r="AW27" s="381"/>
    </row>
    <row r="28" spans="2:49" x14ac:dyDescent="0.25">
      <c r="I28" s="36"/>
      <c r="J28" s="36"/>
      <c r="K28" s="36"/>
      <c r="L28" s="36"/>
      <c r="M28" s="36"/>
      <c r="N28" s="36"/>
      <c r="O28" s="36"/>
      <c r="P28" s="36"/>
      <c r="Q28" s="36"/>
      <c r="R28" s="36"/>
      <c r="S28" s="36"/>
      <c r="T28" s="51"/>
      <c r="U28" s="36"/>
      <c r="V28" s="36"/>
      <c r="W28" s="36"/>
      <c r="X28" s="36"/>
      <c r="Y28" s="51"/>
      <c r="Z28" s="36"/>
      <c r="AA28" s="36"/>
      <c r="AB28" s="36"/>
      <c r="AC28" s="36"/>
      <c r="AD28" s="36"/>
      <c r="AE28" s="36"/>
      <c r="AO28" s="173"/>
      <c r="AP28" s="173"/>
      <c r="AQ28" s="173"/>
      <c r="AR28" s="173"/>
    </row>
    <row r="29" spans="2:49" ht="18" x14ac:dyDescent="0.4">
      <c r="B29" s="513" t="s">
        <v>104</v>
      </c>
      <c r="G29" s="1"/>
      <c r="T29" s="188"/>
      <c r="Y29" s="188"/>
      <c r="AA29" s="558"/>
      <c r="AB29" s="558"/>
      <c r="AO29" s="173"/>
      <c r="AP29" s="173"/>
      <c r="AQ29" s="173"/>
      <c r="AR29" s="173"/>
    </row>
    <row r="30" spans="2:49" x14ac:dyDescent="0.25">
      <c r="D30" s="81" t="str">
        <f>D18</f>
        <v>Commercial</v>
      </c>
      <c r="E30" s="81"/>
      <c r="I30" s="36"/>
      <c r="J30" s="36"/>
      <c r="K30" s="36"/>
      <c r="L30" s="36"/>
      <c r="M30" s="36"/>
      <c r="N30" s="36"/>
      <c r="O30" s="36"/>
      <c r="P30" s="36"/>
      <c r="Q30" s="36"/>
      <c r="R30" s="36"/>
      <c r="S30" s="36"/>
      <c r="T30" s="51"/>
      <c r="U30" s="36"/>
      <c r="V30" s="36"/>
      <c r="W30" s="36"/>
      <c r="X30" s="36"/>
      <c r="Y30" s="51"/>
      <c r="Z30" s="36"/>
      <c r="AA30" s="36"/>
      <c r="AB30" s="36"/>
      <c r="AC30" s="36"/>
      <c r="AD30" s="36"/>
      <c r="AE30" s="36"/>
      <c r="AI30" s="722">
        <f>AI9</f>
        <v>2</v>
      </c>
      <c r="AJ30" s="722">
        <f>AJ9</f>
        <v>3</v>
      </c>
      <c r="AK30" s="722">
        <f>AK9</f>
        <v>4</v>
      </c>
      <c r="AL30" s="722">
        <f>AL9</f>
        <v>5</v>
      </c>
      <c r="AM30" s="722"/>
    </row>
    <row r="31" spans="2:49" x14ac:dyDescent="0.25">
      <c r="D31" s="81"/>
      <c r="E31" s="81" t="str">
        <f>E19</f>
        <v>Non-contracted</v>
      </c>
      <c r="G31" s="371">
        <f>'A1'!AH18</f>
        <v>0</v>
      </c>
      <c r="H31" s="76"/>
      <c r="I31" s="13">
        <f t="shared" ref="I31:T31" si="19">I19*$G31/1000</f>
        <v>0</v>
      </c>
      <c r="J31" s="13">
        <f t="shared" si="19"/>
        <v>0</v>
      </c>
      <c r="K31" s="13">
        <f t="shared" si="19"/>
        <v>0</v>
      </c>
      <c r="L31" s="13">
        <f t="shared" si="19"/>
        <v>0</v>
      </c>
      <c r="M31" s="13">
        <f t="shared" si="19"/>
        <v>0</v>
      </c>
      <c r="N31" s="13">
        <f t="shared" si="19"/>
        <v>0</v>
      </c>
      <c r="O31" s="13">
        <f t="shared" si="19"/>
        <v>0</v>
      </c>
      <c r="P31" s="13">
        <f t="shared" si="19"/>
        <v>0</v>
      </c>
      <c r="Q31" s="13">
        <f t="shared" si="19"/>
        <v>0</v>
      </c>
      <c r="R31" s="13">
        <f t="shared" si="19"/>
        <v>0</v>
      </c>
      <c r="S31" s="13">
        <f t="shared" si="19"/>
        <v>0</v>
      </c>
      <c r="T31" s="14">
        <f t="shared" si="19"/>
        <v>0</v>
      </c>
      <c r="U31" s="13"/>
      <c r="V31" s="13">
        <f t="shared" ref="V31:Y37" si="20">V19*$AI31/1000</f>
        <v>0</v>
      </c>
      <c r="W31" s="13">
        <f t="shared" si="20"/>
        <v>0</v>
      </c>
      <c r="X31" s="13">
        <f t="shared" si="20"/>
        <v>0</v>
      </c>
      <c r="Y31" s="14">
        <f t="shared" si="20"/>
        <v>0</v>
      </c>
      <c r="Z31" s="13"/>
      <c r="AA31" s="13">
        <f t="shared" ref="AA31:AA37" si="21">SUM(I31:T31)</f>
        <v>0</v>
      </c>
      <c r="AB31" s="13">
        <f t="shared" ref="AB31:AB37" si="22">SUM(V31:Y31)</f>
        <v>0</v>
      </c>
      <c r="AC31" s="13">
        <f t="shared" ref="AC31:AE37" si="23">AC19*AJ31/1000</f>
        <v>0</v>
      </c>
      <c r="AD31" s="13">
        <f t="shared" si="23"/>
        <v>0</v>
      </c>
      <c r="AE31" s="13">
        <f t="shared" si="23"/>
        <v>0</v>
      </c>
      <c r="AG31" s="76">
        <f>'A1'!I26</f>
        <v>0.01</v>
      </c>
      <c r="AI31" s="729">
        <f t="shared" ref="AI31:AI37" si="24">G31*(1+AG31)</f>
        <v>0</v>
      </c>
      <c r="AJ31" s="729">
        <f t="shared" ref="AJ31:AL37" si="25">AI31*(1+$AG31)</f>
        <v>0</v>
      </c>
      <c r="AK31" s="729">
        <f t="shared" si="25"/>
        <v>0</v>
      </c>
      <c r="AL31" s="729">
        <f t="shared" si="25"/>
        <v>0</v>
      </c>
    </row>
    <row r="32" spans="2:49" x14ac:dyDescent="0.25">
      <c r="D32" s="81"/>
      <c r="E32" s="81" t="str">
        <f>E20</f>
        <v>Contracted</v>
      </c>
      <c r="G32" s="371">
        <f>'A1'!AH19</f>
        <v>0</v>
      </c>
      <c r="H32" s="76"/>
      <c r="I32" s="13">
        <f t="shared" ref="I32:T32" si="26">I20*$G32/1000</f>
        <v>0</v>
      </c>
      <c r="J32" s="13">
        <f t="shared" si="26"/>
        <v>0</v>
      </c>
      <c r="K32" s="13">
        <f t="shared" si="26"/>
        <v>0</v>
      </c>
      <c r="L32" s="13">
        <f t="shared" si="26"/>
        <v>0</v>
      </c>
      <c r="M32" s="13">
        <f t="shared" si="26"/>
        <v>0</v>
      </c>
      <c r="N32" s="13">
        <f t="shared" si="26"/>
        <v>0</v>
      </c>
      <c r="O32" s="13">
        <f t="shared" si="26"/>
        <v>0</v>
      </c>
      <c r="P32" s="13">
        <f t="shared" si="26"/>
        <v>0</v>
      </c>
      <c r="Q32" s="13">
        <f t="shared" si="26"/>
        <v>0</v>
      </c>
      <c r="R32" s="13">
        <f t="shared" si="26"/>
        <v>0</v>
      </c>
      <c r="S32" s="13">
        <f t="shared" si="26"/>
        <v>0</v>
      </c>
      <c r="T32" s="14">
        <f t="shared" si="26"/>
        <v>0</v>
      </c>
      <c r="U32" s="13"/>
      <c r="V32" s="13">
        <f t="shared" si="20"/>
        <v>0</v>
      </c>
      <c r="W32" s="13">
        <f t="shared" si="20"/>
        <v>0</v>
      </c>
      <c r="X32" s="13">
        <f t="shared" si="20"/>
        <v>0</v>
      </c>
      <c r="Y32" s="14">
        <f t="shared" si="20"/>
        <v>0</v>
      </c>
      <c r="Z32" s="13"/>
      <c r="AA32" s="13">
        <f t="shared" si="21"/>
        <v>0</v>
      </c>
      <c r="AB32" s="13">
        <f t="shared" si="22"/>
        <v>0</v>
      </c>
      <c r="AC32" s="13">
        <f t="shared" si="23"/>
        <v>0</v>
      </c>
      <c r="AD32" s="13">
        <f t="shared" si="23"/>
        <v>0</v>
      </c>
      <c r="AE32" s="13">
        <f t="shared" si="23"/>
        <v>0</v>
      </c>
      <c r="AG32" s="76">
        <f>'A1'!I27</f>
        <v>0.01</v>
      </c>
      <c r="AI32" s="729">
        <f t="shared" si="24"/>
        <v>0</v>
      </c>
      <c r="AJ32" s="729">
        <f t="shared" si="25"/>
        <v>0</v>
      </c>
      <c r="AK32" s="729">
        <f t="shared" si="25"/>
        <v>0</v>
      </c>
      <c r="AL32" s="729">
        <f t="shared" si="25"/>
        <v>0</v>
      </c>
    </row>
    <row r="33" spans="3:49" x14ac:dyDescent="0.25">
      <c r="D33" s="81"/>
      <c r="E33" s="81" t="str">
        <f>E21</f>
        <v>KP</v>
      </c>
      <c r="G33" s="371">
        <f>'A1'!AH20</f>
        <v>0</v>
      </c>
      <c r="H33" s="76"/>
      <c r="I33" s="13">
        <f t="shared" ref="I33:T33" si="27">I21*$G33/1000</f>
        <v>0</v>
      </c>
      <c r="J33" s="13">
        <f t="shared" si="27"/>
        <v>0</v>
      </c>
      <c r="K33" s="13">
        <f t="shared" si="27"/>
        <v>0</v>
      </c>
      <c r="L33" s="13">
        <f t="shared" si="27"/>
        <v>0</v>
      </c>
      <c r="M33" s="13">
        <f t="shared" si="27"/>
        <v>0</v>
      </c>
      <c r="N33" s="13">
        <f t="shared" si="27"/>
        <v>0</v>
      </c>
      <c r="O33" s="13">
        <f t="shared" si="27"/>
        <v>0</v>
      </c>
      <c r="P33" s="13">
        <f t="shared" si="27"/>
        <v>0</v>
      </c>
      <c r="Q33" s="13">
        <f t="shared" si="27"/>
        <v>0</v>
      </c>
      <c r="R33" s="13">
        <f t="shared" si="27"/>
        <v>0</v>
      </c>
      <c r="S33" s="13">
        <f t="shared" si="27"/>
        <v>0</v>
      </c>
      <c r="T33" s="14">
        <f t="shared" si="27"/>
        <v>0</v>
      </c>
      <c r="U33" s="13"/>
      <c r="V33" s="13">
        <f t="shared" si="20"/>
        <v>0</v>
      </c>
      <c r="W33" s="13">
        <f t="shared" si="20"/>
        <v>0</v>
      </c>
      <c r="X33" s="13">
        <f t="shared" si="20"/>
        <v>0</v>
      </c>
      <c r="Y33" s="14">
        <f t="shared" si="20"/>
        <v>0</v>
      </c>
      <c r="Z33" s="13"/>
      <c r="AA33" s="13">
        <f t="shared" si="21"/>
        <v>0</v>
      </c>
      <c r="AB33" s="13">
        <f t="shared" si="22"/>
        <v>0</v>
      </c>
      <c r="AC33" s="13">
        <f t="shared" si="23"/>
        <v>0</v>
      </c>
      <c r="AD33" s="13">
        <f t="shared" si="23"/>
        <v>0</v>
      </c>
      <c r="AE33" s="13">
        <f t="shared" si="23"/>
        <v>0</v>
      </c>
      <c r="AG33" s="76">
        <f>'A1'!I28</f>
        <v>0.01</v>
      </c>
      <c r="AI33" s="729">
        <f t="shared" si="24"/>
        <v>0</v>
      </c>
      <c r="AJ33" s="729">
        <f t="shared" si="25"/>
        <v>0</v>
      </c>
      <c r="AK33" s="729">
        <f t="shared" si="25"/>
        <v>0</v>
      </c>
      <c r="AL33" s="729">
        <f t="shared" si="25"/>
        <v>0</v>
      </c>
    </row>
    <row r="34" spans="3:49" x14ac:dyDescent="0.25">
      <c r="D34" s="81" t="str">
        <f>D22</f>
        <v>Medicare</v>
      </c>
      <c r="E34" s="81"/>
      <c r="G34" s="1344">
        <f>'A1'!AH21*(1-MCareSeq)</f>
        <v>406.99438382795773</v>
      </c>
      <c r="H34" s="76"/>
      <c r="I34" s="13">
        <f t="shared" ref="I34:T34" si="28">I22*$G34/1000</f>
        <v>0</v>
      </c>
      <c r="J34" s="13">
        <f t="shared" si="28"/>
        <v>0</v>
      </c>
      <c r="K34" s="13">
        <f t="shared" si="28"/>
        <v>0</v>
      </c>
      <c r="L34" s="13">
        <f t="shared" si="28"/>
        <v>0</v>
      </c>
      <c r="M34" s="13">
        <f t="shared" si="28"/>
        <v>0</v>
      </c>
      <c r="N34" s="13">
        <f t="shared" si="28"/>
        <v>0</v>
      </c>
      <c r="O34" s="13">
        <f t="shared" si="28"/>
        <v>0</v>
      </c>
      <c r="P34" s="13">
        <f t="shared" si="28"/>
        <v>0</v>
      </c>
      <c r="Q34" s="13">
        <f t="shared" si="28"/>
        <v>0</v>
      </c>
      <c r="R34" s="13">
        <f t="shared" si="28"/>
        <v>0</v>
      </c>
      <c r="S34" s="13">
        <f t="shared" si="28"/>
        <v>0</v>
      </c>
      <c r="T34" s="14">
        <f t="shared" si="28"/>
        <v>0</v>
      </c>
      <c r="U34" s="13"/>
      <c r="V34" s="13">
        <f t="shared" si="20"/>
        <v>0</v>
      </c>
      <c r="W34" s="13">
        <f t="shared" si="20"/>
        <v>0</v>
      </c>
      <c r="X34" s="13">
        <f t="shared" si="20"/>
        <v>0</v>
      </c>
      <c r="Y34" s="14">
        <f t="shared" si="20"/>
        <v>0</v>
      </c>
      <c r="Z34" s="13"/>
      <c r="AA34" s="13">
        <f t="shared" si="21"/>
        <v>0</v>
      </c>
      <c r="AB34" s="13">
        <f t="shared" si="22"/>
        <v>0</v>
      </c>
      <c r="AC34" s="13">
        <f t="shared" si="23"/>
        <v>0</v>
      </c>
      <c r="AD34" s="13">
        <f t="shared" si="23"/>
        <v>0</v>
      </c>
      <c r="AE34" s="13">
        <f t="shared" si="23"/>
        <v>0</v>
      </c>
      <c r="AG34" s="76">
        <f>'A1'!I29</f>
        <v>0.01</v>
      </c>
      <c r="AI34" s="729">
        <f t="shared" si="24"/>
        <v>411.06432766623732</v>
      </c>
      <c r="AJ34" s="729">
        <f t="shared" si="25"/>
        <v>415.17497094289968</v>
      </c>
      <c r="AK34" s="729">
        <f t="shared" si="25"/>
        <v>419.32672065232867</v>
      </c>
      <c r="AL34" s="729">
        <f t="shared" si="25"/>
        <v>423.51998785885195</v>
      </c>
    </row>
    <row r="35" spans="3:49" x14ac:dyDescent="0.25">
      <c r="D35" s="81" t="str">
        <f>D23</f>
        <v>Medicaid</v>
      </c>
      <c r="E35" s="81"/>
      <c r="G35" s="371">
        <f>'A1'!AH22</f>
        <v>0</v>
      </c>
      <c r="H35" s="76"/>
      <c r="I35" s="13">
        <f t="shared" ref="I35:T35" si="29">I23*$G35/1000</f>
        <v>0</v>
      </c>
      <c r="J35" s="13">
        <f t="shared" si="29"/>
        <v>0</v>
      </c>
      <c r="K35" s="13">
        <f t="shared" si="29"/>
        <v>0</v>
      </c>
      <c r="L35" s="13">
        <f t="shared" si="29"/>
        <v>0</v>
      </c>
      <c r="M35" s="13">
        <f t="shared" si="29"/>
        <v>0</v>
      </c>
      <c r="N35" s="13">
        <f t="shared" si="29"/>
        <v>0</v>
      </c>
      <c r="O35" s="13">
        <f t="shared" si="29"/>
        <v>0</v>
      </c>
      <c r="P35" s="13">
        <f t="shared" si="29"/>
        <v>0</v>
      </c>
      <c r="Q35" s="13">
        <f t="shared" si="29"/>
        <v>0</v>
      </c>
      <c r="R35" s="13">
        <f t="shared" si="29"/>
        <v>0</v>
      </c>
      <c r="S35" s="13">
        <f t="shared" si="29"/>
        <v>0</v>
      </c>
      <c r="T35" s="14">
        <f t="shared" si="29"/>
        <v>0</v>
      </c>
      <c r="U35" s="13"/>
      <c r="V35" s="13">
        <f t="shared" si="20"/>
        <v>0</v>
      </c>
      <c r="W35" s="13">
        <f t="shared" si="20"/>
        <v>0</v>
      </c>
      <c r="X35" s="13">
        <f t="shared" si="20"/>
        <v>0</v>
      </c>
      <c r="Y35" s="14">
        <f t="shared" si="20"/>
        <v>0</v>
      </c>
      <c r="Z35" s="13"/>
      <c r="AA35" s="13">
        <f t="shared" si="21"/>
        <v>0</v>
      </c>
      <c r="AB35" s="13">
        <f t="shared" si="22"/>
        <v>0</v>
      </c>
      <c r="AC35" s="13">
        <f t="shared" si="23"/>
        <v>0</v>
      </c>
      <c r="AD35" s="13">
        <f t="shared" si="23"/>
        <v>0</v>
      </c>
      <c r="AE35" s="13">
        <f t="shared" si="23"/>
        <v>0</v>
      </c>
      <c r="AG35" s="76">
        <f>'A1'!I30</f>
        <v>0.01</v>
      </c>
      <c r="AI35" s="729">
        <f t="shared" si="24"/>
        <v>0</v>
      </c>
      <c r="AJ35" s="729">
        <f t="shared" si="25"/>
        <v>0</v>
      </c>
      <c r="AK35" s="729">
        <f t="shared" si="25"/>
        <v>0</v>
      </c>
      <c r="AL35" s="729">
        <f t="shared" si="25"/>
        <v>0</v>
      </c>
    </row>
    <row r="36" spans="3:49" x14ac:dyDescent="0.25">
      <c r="D36" s="81" t="str">
        <f>D24</f>
        <v>Other</v>
      </c>
      <c r="E36" s="81"/>
      <c r="G36" s="371">
        <f>'A1'!AH23</f>
        <v>0</v>
      </c>
      <c r="H36" s="76"/>
      <c r="I36" s="13">
        <f t="shared" ref="I36:T36" si="30">I24*$G36/1000</f>
        <v>0</v>
      </c>
      <c r="J36" s="13">
        <f t="shared" si="30"/>
        <v>0</v>
      </c>
      <c r="K36" s="13">
        <f t="shared" si="30"/>
        <v>0</v>
      </c>
      <c r="L36" s="13">
        <f t="shared" si="30"/>
        <v>0</v>
      </c>
      <c r="M36" s="13">
        <f t="shared" si="30"/>
        <v>0</v>
      </c>
      <c r="N36" s="13">
        <f t="shared" si="30"/>
        <v>0</v>
      </c>
      <c r="O36" s="13">
        <f t="shared" si="30"/>
        <v>0</v>
      </c>
      <c r="P36" s="13">
        <f t="shared" si="30"/>
        <v>0</v>
      </c>
      <c r="Q36" s="13">
        <f t="shared" si="30"/>
        <v>0</v>
      </c>
      <c r="R36" s="13">
        <f t="shared" si="30"/>
        <v>0</v>
      </c>
      <c r="S36" s="13">
        <f t="shared" si="30"/>
        <v>0</v>
      </c>
      <c r="T36" s="14">
        <f t="shared" si="30"/>
        <v>0</v>
      </c>
      <c r="U36" s="13"/>
      <c r="V36" s="13">
        <f t="shared" si="20"/>
        <v>0</v>
      </c>
      <c r="W36" s="13">
        <f t="shared" si="20"/>
        <v>0</v>
      </c>
      <c r="X36" s="13">
        <f t="shared" si="20"/>
        <v>0</v>
      </c>
      <c r="Y36" s="14">
        <f t="shared" si="20"/>
        <v>0</v>
      </c>
      <c r="Z36" s="13"/>
      <c r="AA36" s="13">
        <f t="shared" si="21"/>
        <v>0</v>
      </c>
      <c r="AB36" s="13">
        <f t="shared" si="22"/>
        <v>0</v>
      </c>
      <c r="AC36" s="13">
        <f t="shared" si="23"/>
        <v>0</v>
      </c>
      <c r="AD36" s="13">
        <f t="shared" si="23"/>
        <v>0</v>
      </c>
      <c r="AE36" s="13">
        <f t="shared" si="23"/>
        <v>0</v>
      </c>
      <c r="AG36" s="76">
        <f>'A1'!I31</f>
        <v>0.01</v>
      </c>
      <c r="AI36" s="729">
        <f t="shared" si="24"/>
        <v>0</v>
      </c>
      <c r="AJ36" s="729">
        <f t="shared" si="25"/>
        <v>0</v>
      </c>
      <c r="AK36" s="729">
        <f t="shared" si="25"/>
        <v>0</v>
      </c>
      <c r="AL36" s="729">
        <f t="shared" si="25"/>
        <v>0</v>
      </c>
    </row>
    <row r="37" spans="3:49" x14ac:dyDescent="0.25">
      <c r="D37" s="81" t="str">
        <f>D25</f>
        <v>AKI</v>
      </c>
      <c r="E37" s="81"/>
      <c r="G37" s="371">
        <f>'A1'!AH24</f>
        <v>0</v>
      </c>
      <c r="H37" s="76"/>
      <c r="I37" s="13">
        <f t="shared" ref="I37:T37" si="31">I25*$G37/1000</f>
        <v>0</v>
      </c>
      <c r="J37" s="13">
        <f t="shared" si="31"/>
        <v>0</v>
      </c>
      <c r="K37" s="13">
        <f t="shared" si="31"/>
        <v>0</v>
      </c>
      <c r="L37" s="13">
        <f t="shared" si="31"/>
        <v>0</v>
      </c>
      <c r="M37" s="13">
        <f t="shared" si="31"/>
        <v>0</v>
      </c>
      <c r="N37" s="13">
        <f t="shared" si="31"/>
        <v>0</v>
      </c>
      <c r="O37" s="13">
        <f t="shared" si="31"/>
        <v>0</v>
      </c>
      <c r="P37" s="13">
        <f t="shared" si="31"/>
        <v>0</v>
      </c>
      <c r="Q37" s="13">
        <f t="shared" si="31"/>
        <v>0</v>
      </c>
      <c r="R37" s="13">
        <f t="shared" si="31"/>
        <v>0</v>
      </c>
      <c r="S37" s="13">
        <f t="shared" si="31"/>
        <v>0</v>
      </c>
      <c r="T37" s="14">
        <f t="shared" si="31"/>
        <v>0</v>
      </c>
      <c r="U37" s="13"/>
      <c r="V37" s="13">
        <f t="shared" si="20"/>
        <v>0</v>
      </c>
      <c r="W37" s="13">
        <f t="shared" si="20"/>
        <v>0</v>
      </c>
      <c r="X37" s="13">
        <f t="shared" si="20"/>
        <v>0</v>
      </c>
      <c r="Y37" s="14">
        <f t="shared" si="20"/>
        <v>0</v>
      </c>
      <c r="Z37" s="13"/>
      <c r="AA37" s="13">
        <f t="shared" si="21"/>
        <v>0</v>
      </c>
      <c r="AB37" s="13">
        <f t="shared" si="22"/>
        <v>0</v>
      </c>
      <c r="AC37" s="13">
        <f t="shared" si="23"/>
        <v>0</v>
      </c>
      <c r="AD37" s="13">
        <f t="shared" si="23"/>
        <v>0</v>
      </c>
      <c r="AE37" s="13">
        <f t="shared" si="23"/>
        <v>0</v>
      </c>
      <c r="AG37" s="76">
        <f>'A1'!I32</f>
        <v>0.01</v>
      </c>
      <c r="AI37" s="729">
        <f t="shared" si="24"/>
        <v>0</v>
      </c>
      <c r="AJ37" s="729">
        <f t="shared" si="25"/>
        <v>0</v>
      </c>
      <c r="AK37" s="729">
        <f t="shared" si="25"/>
        <v>0</v>
      </c>
      <c r="AL37" s="729">
        <f t="shared" si="25"/>
        <v>0</v>
      </c>
    </row>
    <row r="38" spans="3:49" ht="15.75" thickBot="1" x14ac:dyDescent="0.3">
      <c r="C38" s="687" t="s">
        <v>105</v>
      </c>
      <c r="D38" s="733"/>
      <c r="E38" s="733"/>
      <c r="F38" s="687"/>
      <c r="G38" s="734"/>
      <c r="H38" s="687"/>
      <c r="I38" s="689">
        <f>SUM(I31:I37)</f>
        <v>0</v>
      </c>
      <c r="J38" s="689">
        <f t="shared" ref="J38:T38" si="32">SUM(J31:J37)</f>
        <v>0</v>
      </c>
      <c r="K38" s="689">
        <f t="shared" si="32"/>
        <v>0</v>
      </c>
      <c r="L38" s="689">
        <f t="shared" si="32"/>
        <v>0</v>
      </c>
      <c r="M38" s="689">
        <f t="shared" si="32"/>
        <v>0</v>
      </c>
      <c r="N38" s="689">
        <f t="shared" si="32"/>
        <v>0</v>
      </c>
      <c r="O38" s="689">
        <f t="shared" si="32"/>
        <v>0</v>
      </c>
      <c r="P38" s="689">
        <f t="shared" si="32"/>
        <v>0</v>
      </c>
      <c r="Q38" s="689">
        <f t="shared" si="32"/>
        <v>0</v>
      </c>
      <c r="R38" s="689">
        <f t="shared" si="32"/>
        <v>0</v>
      </c>
      <c r="S38" s="689">
        <f t="shared" si="32"/>
        <v>0</v>
      </c>
      <c r="T38" s="735">
        <f t="shared" si="32"/>
        <v>0</v>
      </c>
      <c r="U38" s="689"/>
      <c r="V38" s="689">
        <f>SUM(V31:V37)</f>
        <v>0</v>
      </c>
      <c r="W38" s="689">
        <f>SUM(W31:W37)</f>
        <v>0</v>
      </c>
      <c r="X38" s="689">
        <f>SUM(X31:X37)</f>
        <v>0</v>
      </c>
      <c r="Y38" s="735">
        <f>SUM(Y31:Y37)</f>
        <v>0</v>
      </c>
      <c r="Z38" s="689"/>
      <c r="AA38" s="689">
        <f>SUM(AA31:AA37)</f>
        <v>0</v>
      </c>
      <c r="AB38" s="689">
        <f>SUM(AB31:AB37)</f>
        <v>0</v>
      </c>
      <c r="AC38" s="689">
        <f>SUM(AC31:AC37)</f>
        <v>0</v>
      </c>
      <c r="AD38" s="689">
        <f>SUM(AD31:AD37)</f>
        <v>0</v>
      </c>
      <c r="AE38" s="689">
        <f>SUM(AE31:AE37)</f>
        <v>0</v>
      </c>
      <c r="AT38" s="381">
        <f>SUM(I38:K38)</f>
        <v>0</v>
      </c>
      <c r="AU38" s="381">
        <f>SUM(L38:N38)</f>
        <v>0</v>
      </c>
      <c r="AV38" s="381">
        <f>SUM(O38:Q38)</f>
        <v>0</v>
      </c>
      <c r="AW38" s="381">
        <f>SUM(R38:T38)</f>
        <v>0</v>
      </c>
    </row>
    <row r="39" spans="3:49" ht="15.75" thickTop="1" x14ac:dyDescent="0.25">
      <c r="U39" s="13"/>
    </row>
    <row r="41" spans="3:49" x14ac:dyDescent="0.25">
      <c r="T41" s="381"/>
    </row>
    <row r="42" spans="3:49" x14ac:dyDescent="0.25">
      <c r="T42" s="381"/>
    </row>
  </sheetData>
  <printOptions horizontalCentered="1"/>
  <pageMargins left="0.5" right="0.5" top="0.75" bottom="0.75" header="0.3" footer="0.3"/>
  <pageSetup scale="59" orientation="landscape" r:id="rId1"/>
  <ignoredErrors>
    <ignoredError sqref="A1:AE3 A5:AE5 A4:AD4 AG19:AL26 AH11:AR11 AK2:AL4 AI9:AL9 AO26:AR26 AH35:AL37 AH34:AL34 A7:AE9 A6:E6 G6:AE6 A12:AE33 A10:H10 U10 A11:H11 U11 A35:AE38 A34:F34 H34:AE34 AH33:AL33 AM13:AR13 AI12:AR12 AM14:AR14 Z10:AE10 AH17:AR17 AI16:AR16 AL15:AR15 Z11:AE11 AG28:AL32 AI10:AR10" unlockedFormula="1"/>
    <ignoredError sqref="AE4" numberStoredAsText="1" unlockedFormula="1"/>
  </ignoredError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>
    <tabColor theme="9" tint="-0.249977111117893"/>
    <pageSetUpPr fitToPage="1"/>
  </sheetPr>
  <dimension ref="A1:AR44"/>
  <sheetViews>
    <sheetView showGridLines="0" view="pageBreakPreview" zoomScale="80" zoomScaleNormal="132" zoomScaleSheetLayoutView="80" workbookViewId="0"/>
  </sheetViews>
  <sheetFormatPr defaultColWidth="9.42578125" defaultRowHeight="15" x14ac:dyDescent="0.25"/>
  <cols>
    <col min="1" max="1" width="1.5703125" style="1" customWidth="1"/>
    <col min="2" max="5" width="3" style="1" customWidth="1"/>
    <col min="6" max="6" width="13.5703125" style="1" customWidth="1"/>
    <col min="7" max="7" width="8.42578125" style="173" customWidth="1"/>
    <col min="8" max="8" width="3.42578125" style="1" customWidth="1"/>
    <col min="9" max="20" width="8.42578125" style="1" customWidth="1"/>
    <col min="21" max="21" width="2.42578125" style="1" customWidth="1"/>
    <col min="22" max="25" width="7.5703125" style="1" customWidth="1"/>
    <col min="26" max="26" width="3.42578125" style="1" customWidth="1"/>
    <col min="27" max="31" width="8.5703125" style="1" customWidth="1"/>
    <col min="32" max="32" width="8.5703125" style="1"/>
    <col min="33" max="33" width="5.42578125" style="1" customWidth="1"/>
    <col min="34" max="16384" width="9.42578125" style="1"/>
  </cols>
  <sheetData>
    <row r="1" spans="1:44" ht="6" customHeight="1" thickBot="1" x14ac:dyDescent="0.3">
      <c r="B1" s="85"/>
      <c r="C1" s="86"/>
      <c r="D1" s="85"/>
      <c r="E1" s="85"/>
      <c r="F1" s="85"/>
      <c r="G1" s="505"/>
      <c r="H1" s="85"/>
      <c r="I1" s="85"/>
      <c r="J1" s="85"/>
      <c r="K1" s="85"/>
      <c r="L1" s="85"/>
      <c r="M1" s="85"/>
      <c r="N1" s="85"/>
      <c r="O1" s="85"/>
      <c r="P1" s="85"/>
      <c r="Q1" s="85"/>
      <c r="R1" s="85"/>
      <c r="S1" s="85"/>
      <c r="T1" s="85"/>
      <c r="U1" s="85"/>
      <c r="V1" s="85"/>
      <c r="W1" s="85"/>
      <c r="X1" s="85"/>
      <c r="Y1" s="85"/>
      <c r="Z1" s="85"/>
      <c r="AA1" s="85"/>
      <c r="AB1" s="85"/>
      <c r="AC1" s="85"/>
      <c r="AD1" s="85"/>
      <c r="AE1" s="85"/>
    </row>
    <row r="2" spans="1:44" ht="16.5" thickTop="1" x14ac:dyDescent="0.25">
      <c r="B2" s="110" t="str">
        <f>MainOutline!B2</f>
        <v>WB Santa Cruz</v>
      </c>
      <c r="C2" s="111"/>
      <c r="D2" s="111"/>
      <c r="E2" s="111"/>
      <c r="F2" s="111"/>
      <c r="G2" s="506"/>
      <c r="H2" s="111"/>
      <c r="I2" s="508" t="str">
        <f>'A1'!$C$90</f>
        <v>Acquisition of an existing facility</v>
      </c>
      <c r="J2" s="111"/>
      <c r="K2" s="111"/>
      <c r="L2" s="111"/>
      <c r="M2" s="111"/>
      <c r="N2" s="111"/>
      <c r="O2" s="111"/>
      <c r="P2" s="111"/>
      <c r="Q2" s="111"/>
      <c r="R2" s="111"/>
      <c r="S2" s="111"/>
      <c r="T2" s="1409"/>
      <c r="U2" s="111"/>
      <c r="V2" s="111"/>
      <c r="W2" s="111"/>
      <c r="X2" s="111"/>
      <c r="Y2" s="111"/>
      <c r="Z2" s="111"/>
      <c r="AA2" s="111"/>
      <c r="AB2" s="111"/>
      <c r="AC2" s="111"/>
      <c r="AD2" s="111"/>
      <c r="AE2" s="1409">
        <f>$A3</f>
        <v>33</v>
      </c>
      <c r="AK2" s="82" t="str">
        <f>D10</f>
        <v>Peritoneal</v>
      </c>
      <c r="AL2" s="82" t="str">
        <f>D11</f>
        <v>Home HD</v>
      </c>
    </row>
    <row r="3" spans="1:44" ht="15.75" x14ac:dyDescent="0.25">
      <c r="A3" s="123">
        <f>MainOutline!B48</f>
        <v>33</v>
      </c>
      <c r="B3" s="102" t="str">
        <f>MainOutline!C48</f>
        <v>Appendix C3</v>
      </c>
      <c r="C3" s="89"/>
      <c r="D3" s="89"/>
      <c r="E3" s="89"/>
      <c r="F3" s="89"/>
      <c r="G3" s="509"/>
      <c r="H3" s="89"/>
      <c r="I3" s="89"/>
      <c r="J3" s="89"/>
      <c r="K3" s="89"/>
      <c r="L3" s="89"/>
      <c r="M3" s="89"/>
      <c r="N3" s="89"/>
      <c r="O3" s="89"/>
      <c r="P3" s="89"/>
      <c r="Q3" s="89"/>
      <c r="R3" s="89"/>
      <c r="S3" s="89"/>
      <c r="T3" s="89"/>
      <c r="U3" s="89"/>
      <c r="V3" s="89"/>
      <c r="W3" s="89"/>
      <c r="X3" s="89"/>
      <c r="Y3" s="89"/>
      <c r="Z3" s="89"/>
      <c r="AA3" s="89"/>
      <c r="AB3" s="89"/>
      <c r="AC3" s="89"/>
      <c r="AD3" s="89"/>
      <c r="AE3" s="89"/>
      <c r="AI3" s="1" t="s">
        <v>114</v>
      </c>
      <c r="AK3" s="1">
        <f>'A1'!AI9</f>
        <v>1</v>
      </c>
      <c r="AL3" s="1">
        <f>'A1'!AJ9</f>
        <v>1</v>
      </c>
    </row>
    <row r="4" spans="1:44" ht="16.5" thickBot="1" x14ac:dyDescent="0.3">
      <c r="B4" s="104" t="s">
        <v>464</v>
      </c>
      <c r="C4" s="97"/>
      <c r="D4" s="97"/>
      <c r="E4" s="97"/>
      <c r="F4" s="97"/>
      <c r="G4" s="510"/>
      <c r="H4" s="97"/>
      <c r="I4" s="97"/>
      <c r="J4" s="97"/>
      <c r="K4" s="97"/>
      <c r="L4" s="97"/>
      <c r="M4" s="97"/>
      <c r="N4" s="97"/>
      <c r="O4" s="97"/>
      <c r="P4" s="97"/>
      <c r="Q4" s="97"/>
      <c r="R4" s="97"/>
      <c r="S4" s="97"/>
      <c r="T4" s="388"/>
      <c r="U4" s="97"/>
      <c r="V4" s="97"/>
      <c r="W4" s="97"/>
      <c r="X4" s="97"/>
      <c r="Y4" s="97"/>
      <c r="Z4" s="97"/>
      <c r="AA4" s="97"/>
      <c r="AB4" s="97"/>
      <c r="AC4" s="97"/>
      <c r="AD4" s="97"/>
      <c r="AE4" s="388"/>
      <c r="AI4" s="1" t="s">
        <v>110</v>
      </c>
      <c r="AK4" s="1">
        <f>'A1'!AI43</f>
        <v>12.49988347704498</v>
      </c>
      <c r="AL4" s="1">
        <f>'A1'!AJ43</f>
        <v>16.438596491228068</v>
      </c>
    </row>
    <row r="5" spans="1:44" ht="15.75" thickTop="1" x14ac:dyDescent="0.25">
      <c r="AI5" s="1" t="s">
        <v>98</v>
      </c>
    </row>
    <row r="6" spans="1:44" ht="17.25" x14ac:dyDescent="0.4">
      <c r="I6" s="681" t="s">
        <v>471</v>
      </c>
      <c r="J6" s="715"/>
      <c r="K6" s="715"/>
      <c r="L6" s="715"/>
      <c r="M6" s="715"/>
      <c r="N6" s="715"/>
      <c r="O6" s="715"/>
      <c r="P6" s="715"/>
      <c r="Q6" s="715"/>
      <c r="R6" s="715"/>
      <c r="S6" s="715"/>
      <c r="T6" s="716"/>
      <c r="V6" s="681" t="s">
        <v>472</v>
      </c>
      <c r="W6" s="715"/>
      <c r="X6" s="715"/>
      <c r="Y6" s="716"/>
      <c r="AA6" s="681" t="s">
        <v>133</v>
      </c>
      <c r="AB6" s="715"/>
      <c r="AC6" s="715"/>
      <c r="AD6" s="715"/>
      <c r="AE6" s="715"/>
    </row>
    <row r="7" spans="1:44" s="173" customFormat="1" ht="15.75" thickBot="1" x14ac:dyDescent="0.3">
      <c r="I7" s="717">
        <v>1</v>
      </c>
      <c r="J7" s="717">
        <f>I7+1</f>
        <v>2</v>
      </c>
      <c r="K7" s="717">
        <f t="shared" ref="K7:T7" si="0">J7+1</f>
        <v>3</v>
      </c>
      <c r="L7" s="717">
        <f t="shared" si="0"/>
        <v>4</v>
      </c>
      <c r="M7" s="717">
        <f t="shared" si="0"/>
        <v>5</v>
      </c>
      <c r="N7" s="717">
        <f t="shared" si="0"/>
        <v>6</v>
      </c>
      <c r="O7" s="717">
        <f t="shared" si="0"/>
        <v>7</v>
      </c>
      <c r="P7" s="717">
        <f t="shared" si="0"/>
        <v>8</v>
      </c>
      <c r="Q7" s="717">
        <f t="shared" si="0"/>
        <v>9</v>
      </c>
      <c r="R7" s="717">
        <f t="shared" si="0"/>
        <v>10</v>
      </c>
      <c r="S7" s="717">
        <f t="shared" si="0"/>
        <v>11</v>
      </c>
      <c r="T7" s="718">
        <f t="shared" si="0"/>
        <v>12</v>
      </c>
      <c r="U7" s="1"/>
      <c r="V7" s="719" t="s">
        <v>24</v>
      </c>
      <c r="W7" s="719" t="s">
        <v>25</v>
      </c>
      <c r="X7" s="719" t="s">
        <v>26</v>
      </c>
      <c r="Y7" s="720" t="s">
        <v>27</v>
      </c>
      <c r="Z7" s="1"/>
      <c r="AA7" s="684">
        <v>1</v>
      </c>
      <c r="AB7" s="684">
        <v>2</v>
      </c>
      <c r="AC7" s="684">
        <v>3</v>
      </c>
      <c r="AD7" s="684">
        <v>4</v>
      </c>
      <c r="AE7" s="685">
        <v>5</v>
      </c>
    </row>
    <row r="8" spans="1:44" x14ac:dyDescent="0.25">
      <c r="T8" s="188"/>
      <c r="Y8" s="188"/>
      <c r="AH8" s="1" t="s">
        <v>130</v>
      </c>
      <c r="AO8" s="1" t="s">
        <v>131</v>
      </c>
    </row>
    <row r="9" spans="1:44" ht="15.75" x14ac:dyDescent="0.25">
      <c r="B9" s="513" t="s">
        <v>141</v>
      </c>
      <c r="T9" s="188"/>
      <c r="Y9" s="188"/>
      <c r="AH9" s="721">
        <v>1</v>
      </c>
      <c r="AI9" s="721">
        <v>2</v>
      </c>
      <c r="AJ9" s="721">
        <f>AC7</f>
        <v>3</v>
      </c>
      <c r="AK9" s="721">
        <f>AD7</f>
        <v>4</v>
      </c>
      <c r="AL9" s="721">
        <f>AE7</f>
        <v>5</v>
      </c>
      <c r="AM9" s="173"/>
      <c r="AN9" s="173"/>
      <c r="AO9" s="721">
        <v>2</v>
      </c>
      <c r="AP9" s="721">
        <v>3</v>
      </c>
      <c r="AQ9" s="721">
        <v>4</v>
      </c>
      <c r="AR9" s="721">
        <v>5</v>
      </c>
    </row>
    <row r="10" spans="1:44" x14ac:dyDescent="0.25">
      <c r="D10" s="82" t="str">
        <f>'A1'!G9</f>
        <v>Peritoneal</v>
      </c>
      <c r="G10" s="377">
        <f>AK3</f>
        <v>1</v>
      </c>
      <c r="H10" s="173"/>
      <c r="I10" s="736">
        <f>IF(AcqType=1,G10*'A3'!I35/2,G10*'A3'!I35)</f>
        <v>52.170234468674344</v>
      </c>
      <c r="J10" s="736">
        <f>$G10*AVERAGE('A3'!I35:J35)</f>
        <v>52.255630354687717</v>
      </c>
      <c r="K10" s="736">
        <f>$G10*AVERAGE('A3'!J35:K35)</f>
        <v>52.426701690623744</v>
      </c>
      <c r="L10" s="736">
        <f>$G10*AVERAGE('A3'!K35:L35)</f>
        <v>52.598333069597814</v>
      </c>
      <c r="M10" s="736">
        <f>$G10*AVERAGE('A3'!L35:M35)</f>
        <v>52.770526325045097</v>
      </c>
      <c r="N10" s="736">
        <f>$G10*AVERAGE('A3'!M35:N35)</f>
        <v>52.943283296402974</v>
      </c>
      <c r="O10" s="736">
        <f>$G10*AVERAGE('A3'!N35:O35)</f>
        <v>53.116605829130634</v>
      </c>
      <c r="P10" s="736">
        <f>$G10*AVERAGE('A3'!O35:P35)</f>
        <v>53.290495774728839</v>
      </c>
      <c r="Q10" s="736">
        <f>$G10*AVERAGE('A3'!P35:Q35)</f>
        <v>53.464954990759665</v>
      </c>
      <c r="R10" s="736">
        <f>$G10*AVERAGE('A3'!Q35:R35)</f>
        <v>53.639985340866396</v>
      </c>
      <c r="S10" s="736">
        <f>$G10*AVERAGE('A3'!R35:S35)</f>
        <v>53.815588694793362</v>
      </c>
      <c r="T10" s="737">
        <f>$G10*AVERAGE('A3'!S35:T35)</f>
        <v>53.991766928405958</v>
      </c>
      <c r="U10" s="736"/>
      <c r="V10" s="736">
        <f>AVERAGE(AH10,AH14)</f>
        <v>54.282800000000037</v>
      </c>
      <c r="W10" s="736">
        <f t="shared" ref="W10:Y11" si="1">AVERAGE(AH14:AI14)</f>
        <v>54.68840000000003</v>
      </c>
      <c r="X10" s="736">
        <f t="shared" si="1"/>
        <v>55.094000000000037</v>
      </c>
      <c r="Y10" s="737">
        <f t="shared" si="1"/>
        <v>55.499600000000029</v>
      </c>
      <c r="Z10" s="13"/>
      <c r="AA10" s="519">
        <f>AVERAGE(I10:T10)</f>
        <v>53.040342230309705</v>
      </c>
      <c r="AB10" s="519">
        <f>AVERAGE(AH10:AI10)</f>
        <v>54.891200000000033</v>
      </c>
      <c r="AC10" s="13">
        <f t="shared" ref="AC10:AE11" si="2">AVERAGE(AI10:AJ10)</f>
        <v>56.53793600000003</v>
      </c>
      <c r="AD10" s="13">
        <f t="shared" si="2"/>
        <v>58.234074080000035</v>
      </c>
      <c r="AE10" s="13">
        <f t="shared" si="2"/>
        <v>59.981096302400033</v>
      </c>
      <c r="AH10" s="1078">
        <f>'A3'!H35*AVERAGE('A3'!T35)</f>
        <v>54.080000000000034</v>
      </c>
      <c r="AI10" s="1078">
        <f t="shared" ref="AI10:AL11" si="3">AH10*(1+AO10)</f>
        <v>55.702400000000033</v>
      </c>
      <c r="AJ10" s="1078">
        <f t="shared" si="3"/>
        <v>57.373472000000035</v>
      </c>
      <c r="AK10" s="1078">
        <f t="shared" si="3"/>
        <v>59.094676160000034</v>
      </c>
      <c r="AL10" s="1078">
        <f t="shared" si="3"/>
        <v>60.867516444800039</v>
      </c>
      <c r="AM10" s="173"/>
      <c r="AN10" s="173"/>
      <c r="AO10" s="77">
        <f>'A1'!G47</f>
        <v>0.03</v>
      </c>
      <c r="AP10" s="77">
        <f>'A1'!G48</f>
        <v>0.03</v>
      </c>
      <c r="AQ10" s="77">
        <f>'A1'!G49</f>
        <v>0.03</v>
      </c>
      <c r="AR10" s="77">
        <f>'A1'!G50</f>
        <v>0.03</v>
      </c>
    </row>
    <row r="11" spans="1:44" ht="17.25" x14ac:dyDescent="0.4">
      <c r="D11" s="82" t="str">
        <f>'A1'!H9</f>
        <v>Home HD</v>
      </c>
      <c r="G11" s="377">
        <f>AL3</f>
        <v>1</v>
      </c>
      <c r="H11" s="173"/>
      <c r="I11" s="738">
        <f>IF(AcqType=1,G11*'A3'!I36/2,G11*'A3'!I36)</f>
        <v>6.019642438693193</v>
      </c>
      <c r="J11" s="738">
        <f>$G11*AVERAGE('A3'!I36:J36)</f>
        <v>6.0294958101562743</v>
      </c>
      <c r="K11" s="738">
        <f>$G11*AVERAGE('A3'!J36:K36)</f>
        <v>6.0492348104565838</v>
      </c>
      <c r="L11" s="738">
        <f>$G11*AVERAGE('A3'!K36:L36)</f>
        <v>6.0690384311074386</v>
      </c>
      <c r="M11" s="738">
        <f>$G11*AVERAGE('A3'!L36:M36)</f>
        <v>6.0889068836590479</v>
      </c>
      <c r="N11" s="738">
        <f>$G11*AVERAGE('A3'!M36:N36)</f>
        <v>6.108840380354188</v>
      </c>
      <c r="O11" s="738">
        <f>$G11*AVERAGE('A3'!N36:O36)</f>
        <v>6.1288391341304562</v>
      </c>
      <c r="P11" s="738">
        <f>$G11*AVERAGE('A3'!O36:P36)</f>
        <v>6.1489033586225563</v>
      </c>
      <c r="Q11" s="738">
        <f>$G11*AVERAGE('A3'!P36:Q36)</f>
        <v>6.1690332681645756</v>
      </c>
      <c r="R11" s="738">
        <f>$G11*AVERAGE('A3'!Q36:R36)</f>
        <v>6.1892290777922749</v>
      </c>
      <c r="S11" s="738">
        <f>$G11*AVERAGE('A3'!R36:S36)</f>
        <v>6.2094910032453861</v>
      </c>
      <c r="T11" s="739">
        <f>$G11*AVERAGE('A3'!S36:T36)</f>
        <v>6.2298192609699168</v>
      </c>
      <c r="U11" s="738"/>
      <c r="V11" s="738">
        <f>AVERAGE(AH11,AH15)</f>
        <v>6.2634000000000025</v>
      </c>
      <c r="W11" s="738">
        <f t="shared" si="1"/>
        <v>6.3102000000000036</v>
      </c>
      <c r="X11" s="738">
        <f t="shared" si="1"/>
        <v>6.3570000000000029</v>
      </c>
      <c r="Y11" s="739">
        <f t="shared" si="1"/>
        <v>6.4038000000000039</v>
      </c>
      <c r="Z11" s="724"/>
      <c r="AA11" s="724">
        <f>AVERAGE(I11:T11)</f>
        <v>6.1200394881126572</v>
      </c>
      <c r="AB11" s="724">
        <f>AVERAGE(AH11:AI11)</f>
        <v>6.3336000000000023</v>
      </c>
      <c r="AC11" s="724">
        <f t="shared" si="2"/>
        <v>6.523608000000003</v>
      </c>
      <c r="AD11" s="724">
        <f t="shared" si="2"/>
        <v>6.719316240000003</v>
      </c>
      <c r="AE11" s="724">
        <f t="shared" si="2"/>
        <v>6.920895727200004</v>
      </c>
      <c r="AH11" s="729">
        <f>'A3'!H36*AVERAGE('A3'!T36)</f>
        <v>6.2400000000000029</v>
      </c>
      <c r="AI11" s="729">
        <f t="shared" si="3"/>
        <v>6.4272000000000027</v>
      </c>
      <c r="AJ11" s="729">
        <f t="shared" si="3"/>
        <v>6.6200160000000032</v>
      </c>
      <c r="AK11" s="729">
        <f t="shared" si="3"/>
        <v>6.8186164800000038</v>
      </c>
      <c r="AL11" s="729">
        <f t="shared" si="3"/>
        <v>7.0231749744000043</v>
      </c>
      <c r="AM11" s="173"/>
      <c r="AN11" s="173"/>
      <c r="AO11" s="77">
        <f>'A1'!H47</f>
        <v>0.03</v>
      </c>
      <c r="AP11" s="77">
        <f>'A1'!H48</f>
        <v>0.03</v>
      </c>
      <c r="AQ11" s="77">
        <f>'A1'!H49</f>
        <v>0.03</v>
      </c>
      <c r="AR11" s="77">
        <f>'A1'!H50</f>
        <v>0.03</v>
      </c>
    </row>
    <row r="12" spans="1:44" s="516" customFormat="1" x14ac:dyDescent="0.25">
      <c r="D12" s="516" t="s">
        <v>13</v>
      </c>
      <c r="G12" s="517"/>
      <c r="H12" s="517"/>
      <c r="I12" s="727">
        <f t="shared" ref="I12:T12" si="4">SUMPRODUCT(I10:I11,$G$10:$G$11)</f>
        <v>58.189876907367534</v>
      </c>
      <c r="J12" s="727">
        <f t="shared" si="4"/>
        <v>58.285126164843994</v>
      </c>
      <c r="K12" s="727">
        <f t="shared" si="4"/>
        <v>58.475936501080326</v>
      </c>
      <c r="L12" s="727">
        <f t="shared" si="4"/>
        <v>58.667371500705251</v>
      </c>
      <c r="M12" s="727">
        <f t="shared" si="4"/>
        <v>58.859433208704147</v>
      </c>
      <c r="N12" s="727">
        <f t="shared" si="4"/>
        <v>59.052123676757162</v>
      </c>
      <c r="O12" s="727">
        <f t="shared" si="4"/>
        <v>59.245444963261093</v>
      </c>
      <c r="P12" s="727">
        <f t="shared" si="4"/>
        <v>59.439399133351394</v>
      </c>
      <c r="Q12" s="727">
        <f t="shared" si="4"/>
        <v>59.633988258924241</v>
      </c>
      <c r="R12" s="727">
        <f t="shared" si="4"/>
        <v>59.829214418658673</v>
      </c>
      <c r="S12" s="727">
        <f t="shared" si="4"/>
        <v>60.025079698038752</v>
      </c>
      <c r="T12" s="740">
        <f t="shared" si="4"/>
        <v>60.221586189375877</v>
      </c>
      <c r="U12" s="727"/>
      <c r="V12" s="727">
        <f>SUMPRODUCT(V10:V11,$G$10:$G$11)</f>
        <v>60.546200000000042</v>
      </c>
      <c r="W12" s="727">
        <f>SUMPRODUCT(W10:W11,$G$10:$G$11)</f>
        <v>60.998600000000032</v>
      </c>
      <c r="X12" s="727">
        <f>SUMPRODUCT(X10:X11,$G$10:$G$11)</f>
        <v>61.451000000000036</v>
      </c>
      <c r="Y12" s="740">
        <f>SUMPRODUCT(Y10:Y11,$G$10:$G$11)</f>
        <v>61.903400000000033</v>
      </c>
      <c r="Z12" s="518"/>
      <c r="AA12" s="727">
        <f>SUMPRODUCT(AA10:AA11,$G$10:$G$11)</f>
        <v>59.160381718422364</v>
      </c>
      <c r="AB12" s="727">
        <f>SUMPRODUCT(AB10:AB11,$G$10:$G$11)</f>
        <v>61.224800000000037</v>
      </c>
      <c r="AC12" s="518">
        <f>SUMPRODUCT(AC10:AC11,$G$10:$G$11)</f>
        <v>63.061544000000033</v>
      </c>
      <c r="AD12" s="518">
        <f>SUMPRODUCT(AD10:AD11,$G$10:$G$11)</f>
        <v>64.95339032000004</v>
      </c>
      <c r="AE12" s="518">
        <f>SUMPRODUCT(AE10:AE11,$G$10:$G$11)</f>
        <v>66.901992029600038</v>
      </c>
      <c r="AH12" s="1357" t="s">
        <v>1060</v>
      </c>
      <c r="AI12" s="1358"/>
      <c r="AJ12" s="1358"/>
      <c r="AK12" s="1358"/>
      <c r="AL12" s="1359"/>
    </row>
    <row r="13" spans="1:44" x14ac:dyDescent="0.25">
      <c r="H13" s="173"/>
      <c r="I13" s="36"/>
      <c r="J13" s="36"/>
      <c r="K13" s="36"/>
      <c r="L13" s="36"/>
      <c r="M13" s="36"/>
      <c r="N13" s="36"/>
      <c r="O13" s="36"/>
      <c r="P13" s="36"/>
      <c r="Q13" s="36"/>
      <c r="R13" s="36"/>
      <c r="S13" s="36"/>
      <c r="T13" s="51"/>
      <c r="U13" s="36"/>
      <c r="V13" s="36"/>
      <c r="W13" s="36"/>
      <c r="X13" s="36"/>
      <c r="Y13" s="51"/>
      <c r="Z13" s="36"/>
      <c r="AA13" s="36"/>
      <c r="AB13" s="36"/>
      <c r="AC13" s="36"/>
      <c r="AD13" s="36"/>
      <c r="AE13" s="36"/>
      <c r="AH13" s="1360" t="str">
        <f>V7</f>
        <v>Y2Q1</v>
      </c>
      <c r="AI13" s="173" t="str">
        <f>W7</f>
        <v>Y2Q2</v>
      </c>
      <c r="AJ13" s="173" t="str">
        <f>X7</f>
        <v>Y2Q3</v>
      </c>
      <c r="AK13" s="173" t="str">
        <f>Y7</f>
        <v>Y2Q4</v>
      </c>
      <c r="AL13" s="1361" t="s">
        <v>1061</v>
      </c>
    </row>
    <row r="14" spans="1:44" x14ac:dyDescent="0.25">
      <c r="H14" s="173"/>
      <c r="I14" s="36"/>
      <c r="J14" s="36"/>
      <c r="K14" s="36"/>
      <c r="L14" s="36"/>
      <c r="M14" s="36"/>
      <c r="N14" s="36"/>
      <c r="O14" s="36"/>
      <c r="P14" s="36"/>
      <c r="Q14" s="36"/>
      <c r="R14" s="36"/>
      <c r="S14" s="36"/>
      <c r="T14" s="51"/>
      <c r="U14" s="36"/>
      <c r="V14" s="36"/>
      <c r="W14" s="36"/>
      <c r="X14" s="36"/>
      <c r="Y14" s="51"/>
      <c r="Z14" s="36"/>
      <c r="AA14" s="36"/>
      <c r="AB14" s="36"/>
      <c r="AC14" s="36"/>
      <c r="AD14" s="36"/>
      <c r="AE14" s="36"/>
      <c r="AH14" s="1604">
        <f>$AH10+($AI$10-$AH$10)/4</f>
        <v>54.485600000000034</v>
      </c>
      <c r="AI14" s="823">
        <f>AH14+($AI$10-$AH$10)/4</f>
        <v>54.891200000000033</v>
      </c>
      <c r="AJ14" s="823">
        <f>AI14+($AI$10-$AH$10)/4</f>
        <v>55.296800000000033</v>
      </c>
      <c r="AK14" s="823">
        <f>AJ14+($AI$10-$AH$10)/4</f>
        <v>55.702400000000033</v>
      </c>
      <c r="AL14" s="1364">
        <f>AI10-AK14</f>
        <v>0</v>
      </c>
    </row>
    <row r="15" spans="1:44" ht="15.75" x14ac:dyDescent="0.25">
      <c r="B15" s="513" t="s">
        <v>126</v>
      </c>
      <c r="H15" s="173"/>
      <c r="I15" s="36"/>
      <c r="J15" s="36"/>
      <c r="K15" s="36"/>
      <c r="L15" s="36"/>
      <c r="M15" s="36"/>
      <c r="N15" s="36"/>
      <c r="O15" s="36"/>
      <c r="P15" s="36"/>
      <c r="Q15" s="36"/>
      <c r="R15" s="36"/>
      <c r="S15" s="36"/>
      <c r="T15" s="51"/>
      <c r="U15" s="36"/>
      <c r="V15" s="36"/>
      <c r="W15" s="36"/>
      <c r="X15" s="36"/>
      <c r="Y15" s="51"/>
      <c r="Z15" s="36"/>
      <c r="AA15" s="36"/>
      <c r="AB15" s="36"/>
      <c r="AC15" s="36"/>
      <c r="AD15" s="36"/>
      <c r="AE15" s="36"/>
      <c r="AH15" s="1605">
        <f>$AH11+($AI$11-$AH$11)/4</f>
        <v>6.2868000000000031</v>
      </c>
      <c r="AI15" s="1606">
        <f>AH15+($AI$11-$AH$11)/4</f>
        <v>6.3336000000000032</v>
      </c>
      <c r="AJ15" s="1606">
        <f>AI15+($AI$11-$AH$11)/4</f>
        <v>6.3804000000000034</v>
      </c>
      <c r="AK15" s="1606">
        <f>AJ15+($AI$11-$AH$11)/4</f>
        <v>6.4272000000000036</v>
      </c>
      <c r="AL15" s="380"/>
    </row>
    <row r="16" spans="1:44" x14ac:dyDescent="0.25">
      <c r="I16" s="36"/>
      <c r="J16" s="36"/>
      <c r="K16" s="36"/>
      <c r="L16" s="36"/>
      <c r="M16" s="36"/>
      <c r="N16" s="36"/>
      <c r="O16" s="36"/>
      <c r="P16" s="36"/>
      <c r="Q16" s="36"/>
      <c r="R16" s="36"/>
      <c r="S16" s="36"/>
      <c r="T16" s="51"/>
      <c r="U16" s="36"/>
      <c r="V16" s="36"/>
      <c r="W16" s="36"/>
      <c r="X16" s="36"/>
      <c r="Y16" s="51"/>
      <c r="Z16" s="36"/>
      <c r="AA16" s="36"/>
      <c r="AB16" s="36"/>
      <c r="AC16" s="36"/>
      <c r="AD16" s="36"/>
      <c r="AE16" s="36"/>
      <c r="AH16" s="1" t="s">
        <v>99</v>
      </c>
      <c r="AI16" s="1" t="s">
        <v>100</v>
      </c>
      <c r="AJ16" s="1" t="s">
        <v>101</v>
      </c>
      <c r="AK16" s="1" t="s">
        <v>102</v>
      </c>
    </row>
    <row r="17" spans="2:39" x14ac:dyDescent="0.25">
      <c r="C17" s="82" t="str">
        <f>D10 &amp; " Treatments"</f>
        <v>Peritoneal Treatments</v>
      </c>
      <c r="I17" s="13">
        <f t="shared" ref="I17:T17" si="5">I$10*$AI17</f>
        <v>652.12185182854489</v>
      </c>
      <c r="J17" s="13">
        <f t="shared" si="5"/>
        <v>653.18929045313109</v>
      </c>
      <c r="K17" s="13">
        <f t="shared" si="5"/>
        <v>655.3276622185939</v>
      </c>
      <c r="L17" s="13">
        <f t="shared" si="5"/>
        <v>657.47303445677426</v>
      </c>
      <c r="M17" s="13">
        <f t="shared" si="5"/>
        <v>659.62543008539831</v>
      </c>
      <c r="N17" s="13">
        <f t="shared" si="5"/>
        <v>661.78487209721902</v>
      </c>
      <c r="O17" s="13">
        <f t="shared" si="5"/>
        <v>663.95138356026109</v>
      </c>
      <c r="P17" s="13">
        <f t="shared" si="5"/>
        <v>666.1249876180683</v>
      </c>
      <c r="Q17" s="13">
        <f t="shared" si="5"/>
        <v>668.30570748995024</v>
      </c>
      <c r="R17" s="13">
        <f t="shared" si="5"/>
        <v>670.49356647123079</v>
      </c>
      <c r="S17" s="13">
        <f t="shared" si="5"/>
        <v>672.68858793349614</v>
      </c>
      <c r="T17" s="14">
        <f t="shared" si="5"/>
        <v>674.89079532484527</v>
      </c>
      <c r="U17" s="13"/>
      <c r="V17" s="13">
        <f>V$10*$AJ17</f>
        <v>2035.5860244232131</v>
      </c>
      <c r="W17" s="13">
        <f>W$10*$AJ17</f>
        <v>2050.7958826380809</v>
      </c>
      <c r="X17" s="13">
        <f>X$10*$AJ17</f>
        <v>2066.0057408529497</v>
      </c>
      <c r="Y17" s="14">
        <f>Y$10*$AJ17</f>
        <v>2081.2155990678179</v>
      </c>
      <c r="Z17" s="13"/>
      <c r="AA17" s="13">
        <f>SUM(I17:T17)</f>
        <v>7955.977169537513</v>
      </c>
      <c r="AB17" s="13">
        <f>SUM(V17:Y17)</f>
        <v>8233.603246982062</v>
      </c>
      <c r="AC17" s="13">
        <f>AC$10*$AK17</f>
        <v>8480.6113443915219</v>
      </c>
      <c r="AD17" s="13">
        <f>AD$10*$AK17</f>
        <v>8735.0296847232694</v>
      </c>
      <c r="AE17" s="13">
        <f>AE$10*$AK17</f>
        <v>8997.0805752649667</v>
      </c>
      <c r="AI17" s="728">
        <f>AK4</f>
        <v>12.49988347704498</v>
      </c>
      <c r="AJ17" s="729">
        <f>AI17*3</f>
        <v>37.499650431134938</v>
      </c>
      <c r="AK17" s="729">
        <f>AI17*12</f>
        <v>149.99860172453975</v>
      </c>
      <c r="AL17" s="173"/>
    </row>
    <row r="18" spans="2:39" x14ac:dyDescent="0.25">
      <c r="D18" s="82" t="str">
        <f>'C1'!D18</f>
        <v>Commercial</v>
      </c>
      <c r="I18" s="13"/>
      <c r="J18" s="13"/>
      <c r="K18" s="13"/>
      <c r="L18" s="13"/>
      <c r="M18" s="13"/>
      <c r="N18" s="13"/>
      <c r="O18" s="13"/>
      <c r="P18" s="13"/>
      <c r="Q18" s="13"/>
      <c r="R18" s="13"/>
      <c r="S18" s="13"/>
      <c r="T18" s="14"/>
      <c r="U18" s="13"/>
      <c r="V18" s="13"/>
      <c r="W18" s="13"/>
      <c r="X18" s="13"/>
      <c r="Y18" s="14"/>
      <c r="Z18" s="13"/>
      <c r="AA18" s="13"/>
      <c r="AB18" s="13"/>
      <c r="AC18" s="13"/>
      <c r="AD18" s="13"/>
      <c r="AE18" s="13"/>
      <c r="AI18" s="56"/>
      <c r="AJ18" s="729"/>
      <c r="AK18" s="729"/>
      <c r="AL18" s="173"/>
    </row>
    <row r="19" spans="2:39" x14ac:dyDescent="0.25">
      <c r="E19" s="82" t="str">
        <f>'C1'!E19</f>
        <v>Non-contracted</v>
      </c>
      <c r="G19" s="77">
        <f>AH19</f>
        <v>2.0415012025281055E-2</v>
      </c>
      <c r="H19" s="76"/>
      <c r="I19" s="13">
        <f t="shared" ref="I19:T19" si="6">I17*$G19</f>
        <v>13.313075447028295</v>
      </c>
      <c r="J19" s="13">
        <f t="shared" si="6"/>
        <v>13.334867219385471</v>
      </c>
      <c r="K19" s="13">
        <f t="shared" si="6"/>
        <v>13.378522104691916</v>
      </c>
      <c r="L19" s="13">
        <f t="shared" si="6"/>
        <v>13.422319904733072</v>
      </c>
      <c r="M19" s="13">
        <f t="shared" si="6"/>
        <v>13.466261087374594</v>
      </c>
      <c r="N19" s="13">
        <f t="shared" si="6"/>
        <v>13.510346122013811</v>
      </c>
      <c r="O19" s="13">
        <f t="shared" si="6"/>
        <v>13.554575479584724</v>
      </c>
      <c r="P19" s="13">
        <f t="shared" si="6"/>
        <v>13.598949632563059</v>
      </c>
      <c r="Q19" s="13">
        <f t="shared" si="6"/>
        <v>13.643469054971296</v>
      </c>
      <c r="R19" s="13">
        <f t="shared" si="6"/>
        <v>13.688134222383759</v>
      </c>
      <c r="S19" s="13">
        <f t="shared" si="6"/>
        <v>13.732945611931656</v>
      </c>
      <c r="T19" s="14">
        <f t="shared" si="6"/>
        <v>13.777903702308212</v>
      </c>
      <c r="U19" s="13"/>
      <c r="V19" s="13">
        <f>V17*$AI19</f>
        <v>41.556513167093946</v>
      </c>
      <c r="W19" s="13">
        <f>W17*$AI19</f>
        <v>41.867022605453293</v>
      </c>
      <c r="X19" s="13">
        <f>X17*$AI19</f>
        <v>42.177532043812661</v>
      </c>
      <c r="Y19" s="14">
        <f>Y17*$AI19</f>
        <v>42.488041482172015</v>
      </c>
      <c r="Z19" s="13"/>
      <c r="AA19" s="13">
        <f>SUM(I19:T19)</f>
        <v>162.42136958896987</v>
      </c>
      <c r="AB19" s="13">
        <f>SUM(V19:Y19)</f>
        <v>168.08910929853192</v>
      </c>
      <c r="AC19" s="13">
        <f>AC$17*AJ19</f>
        <v>173.13178257748785</v>
      </c>
      <c r="AD19" s="13">
        <f t="shared" ref="AD19:AD25" si="7">AD$17*AK19</f>
        <v>178.32573605481252</v>
      </c>
      <c r="AE19" s="13">
        <f t="shared" ref="AE19:AE25" si="8">AE$17*AL19</f>
        <v>183.6755081364569</v>
      </c>
      <c r="AH19" s="225">
        <f>'B2'!E40</f>
        <v>2.0415012025281055E-2</v>
      </c>
      <c r="AI19" s="225">
        <f>'B2'!F40</f>
        <v>2.0415012025281055E-2</v>
      </c>
      <c r="AJ19" s="225">
        <f>'B2'!G40</f>
        <v>2.0415012025281055E-2</v>
      </c>
      <c r="AK19" s="225">
        <f>'B2'!H40</f>
        <v>2.0415012025281055E-2</v>
      </c>
      <c r="AL19" s="225">
        <f>'B2'!I40</f>
        <v>2.0415012025281055E-2</v>
      </c>
    </row>
    <row r="20" spans="2:39" x14ac:dyDescent="0.25">
      <c r="E20" s="82" t="str">
        <f>'C1'!E20</f>
        <v>Contracted</v>
      </c>
      <c r="G20" s="77">
        <f t="shared" ref="G20:G25" si="9">AH20</f>
        <v>0.17154203255215617</v>
      </c>
      <c r="H20" s="76"/>
      <c r="I20" s="13">
        <f t="shared" ref="I20:T20" si="10">I17*$G20</f>
        <v>111.8663079343446</v>
      </c>
      <c r="J20" s="13">
        <f t="shared" si="10"/>
        <v>112.0494185256308</v>
      </c>
      <c r="K20" s="13">
        <f t="shared" si="10"/>
        <v>112.41623916463044</v>
      </c>
      <c r="L20" s="13">
        <f t="shared" si="10"/>
        <v>112.78426067894887</v>
      </c>
      <c r="M20" s="13">
        <f t="shared" si="10"/>
        <v>113.1534869999394</v>
      </c>
      <c r="N20" s="13">
        <f t="shared" si="10"/>
        <v>113.52392207182565</v>
      </c>
      <c r="O20" s="13">
        <f t="shared" si="10"/>
        <v>113.89556985174343</v>
      </c>
      <c r="P20" s="13">
        <f t="shared" si="10"/>
        <v>114.2684343097833</v>
      </c>
      <c r="Q20" s="13">
        <f t="shared" si="10"/>
        <v>114.6425194290328</v>
      </c>
      <c r="R20" s="13">
        <f t="shared" si="10"/>
        <v>115.01782920561915</v>
      </c>
      <c r="S20" s="13">
        <f t="shared" si="10"/>
        <v>115.39436764875175</v>
      </c>
      <c r="T20" s="14">
        <f t="shared" si="10"/>
        <v>115.77213878076518</v>
      </c>
      <c r="U20" s="13"/>
      <c r="V20" s="13">
        <f>V17*$AI20</f>
        <v>349.18856406432099</v>
      </c>
      <c r="W20" s="13">
        <f>W17*$AI20</f>
        <v>351.79769405732952</v>
      </c>
      <c r="X20" s="13">
        <f>X17*$AI20</f>
        <v>354.40682405033823</v>
      </c>
      <c r="Y20" s="14">
        <f>Y17*$AI20</f>
        <v>357.01595404334682</v>
      </c>
      <c r="Z20" s="13"/>
      <c r="AA20" s="13">
        <f t="shared" ref="AA20:AA25" si="11">SUM(I20:T20)</f>
        <v>1364.7844946010152</v>
      </c>
      <c r="AB20" s="13">
        <f t="shared" ref="AB20:AB25" si="12">SUM(V20:Y20)</f>
        <v>1412.4090362153356</v>
      </c>
      <c r="AC20" s="13">
        <f t="shared" ref="AC20:AC25" si="13">AC$17*AJ20</f>
        <v>1454.7813073017953</v>
      </c>
      <c r="AD20" s="13">
        <f t="shared" si="7"/>
        <v>1498.4247465208496</v>
      </c>
      <c r="AE20" s="13">
        <f t="shared" si="8"/>
        <v>1543.3774889164749</v>
      </c>
      <c r="AH20" s="225">
        <f>'B2'!E41</f>
        <v>0.17154203255215617</v>
      </c>
      <c r="AI20" s="225">
        <f>'B2'!F41</f>
        <v>0.17154203255215617</v>
      </c>
      <c r="AJ20" s="225">
        <f>'B2'!G41</f>
        <v>0.17154203255215617</v>
      </c>
      <c r="AK20" s="225">
        <f>'B2'!H41</f>
        <v>0.17154203255215617</v>
      </c>
      <c r="AL20" s="225">
        <f>'B2'!I41</f>
        <v>0.17154203255215617</v>
      </c>
    </row>
    <row r="21" spans="2:39" x14ac:dyDescent="0.25">
      <c r="E21" s="82" t="str">
        <f>'C1'!E21</f>
        <v>KP</v>
      </c>
      <c r="G21" s="77">
        <f t="shared" si="9"/>
        <v>1.6164215000838974E-2</v>
      </c>
      <c r="H21" s="76"/>
      <c r="I21" s="13">
        <f t="shared" ref="I21:T21" si="14">I17*$G21</f>
        <v>10.541037819701856</v>
      </c>
      <c r="J21" s="13">
        <f t="shared" si="14"/>
        <v>10.558292127129867</v>
      </c>
      <c r="K21" s="13">
        <f t="shared" si="14"/>
        <v>10.592857228098531</v>
      </c>
      <c r="L21" s="13">
        <f t="shared" si="14"/>
        <v>10.62753548621331</v>
      </c>
      <c r="M21" s="13">
        <f t="shared" si="14"/>
        <v>10.662327271921255</v>
      </c>
      <c r="N21" s="13">
        <f t="shared" si="14"/>
        <v>10.69723295688217</v>
      </c>
      <c r="O21" s="13">
        <f t="shared" si="14"/>
        <v>10.732252913972564</v>
      </c>
      <c r="P21" s="13">
        <f t="shared" si="14"/>
        <v>10.767387517289656</v>
      </c>
      <c r="Q21" s="13">
        <f t="shared" si="14"/>
        <v>10.802637142155357</v>
      </c>
      <c r="R21" s="13">
        <f t="shared" si="14"/>
        <v>10.838002165120292</v>
      </c>
      <c r="S21" s="13">
        <f t="shared" si="14"/>
        <v>10.873482963967806</v>
      </c>
      <c r="T21" s="14">
        <f t="shared" si="14"/>
        <v>10.90907991771801</v>
      </c>
      <c r="U21" s="13"/>
      <c r="V21" s="13">
        <f>V17*$AI21</f>
        <v>32.903650151479873</v>
      </c>
      <c r="W21" s="13">
        <f>W17*$AI21</f>
        <v>33.14950556979727</v>
      </c>
      <c r="X21" s="13">
        <f>X17*$AI21</f>
        <v>33.395360988114689</v>
      </c>
      <c r="Y21" s="14">
        <f>Y17*$AI21</f>
        <v>33.641216406432093</v>
      </c>
      <c r="Z21" s="13"/>
      <c r="AA21" s="13">
        <f t="shared" si="11"/>
        <v>128.60212551017065</v>
      </c>
      <c r="AB21" s="13">
        <f t="shared" si="12"/>
        <v>133.08973311582392</v>
      </c>
      <c r="AC21" s="13">
        <f t="shared" si="13"/>
        <v>137.08242510929861</v>
      </c>
      <c r="AD21" s="13">
        <f t="shared" si="7"/>
        <v>141.19489786257759</v>
      </c>
      <c r="AE21" s="13">
        <f t="shared" si="8"/>
        <v>145.43074479845492</v>
      </c>
      <c r="AH21" s="225">
        <f>'B2'!E42</f>
        <v>1.6164215000838974E-2</v>
      </c>
      <c r="AI21" s="225">
        <f>'B2'!F42</f>
        <v>1.6164215000838974E-2</v>
      </c>
      <c r="AJ21" s="225">
        <f>'B2'!G42</f>
        <v>1.6164215000838974E-2</v>
      </c>
      <c r="AK21" s="225">
        <f>'B2'!H42</f>
        <v>1.6164215000838974E-2</v>
      </c>
      <c r="AL21" s="225">
        <f>'B2'!I42</f>
        <v>1.6164215000838974E-2</v>
      </c>
    </row>
    <row r="22" spans="2:39" x14ac:dyDescent="0.25">
      <c r="D22" s="82" t="str">
        <f>'C1'!D22</f>
        <v>Medicare</v>
      </c>
      <c r="G22" s="77">
        <f t="shared" si="9"/>
        <v>0.5187091000615246</v>
      </c>
      <c r="H22" s="76"/>
      <c r="I22" s="13">
        <f t="shared" ref="I22:T22" si="15">I17*$G22</f>
        <v>338.26153889243943</v>
      </c>
      <c r="J22" s="13">
        <f t="shared" si="15"/>
        <v>338.81522902076944</v>
      </c>
      <c r="K22" s="13">
        <f t="shared" si="15"/>
        <v>339.92442191482962</v>
      </c>
      <c r="L22" s="13">
        <f t="shared" si="15"/>
        <v>341.03724601779311</v>
      </c>
      <c r="M22" s="13">
        <f t="shared" si="15"/>
        <v>342.15371321729305</v>
      </c>
      <c r="N22" s="13">
        <f t="shared" si="15"/>
        <v>343.27383543987963</v>
      </c>
      <c r="O22" s="13">
        <f t="shared" si="15"/>
        <v>344.39762465114717</v>
      </c>
      <c r="P22" s="13">
        <f t="shared" si="15"/>
        <v>345.5250928558624</v>
      </c>
      <c r="Q22" s="13">
        <f t="shared" si="15"/>
        <v>346.65625209809258</v>
      </c>
      <c r="R22" s="13">
        <f t="shared" si="15"/>
        <v>347.79111446133413</v>
      </c>
      <c r="S22" s="13">
        <f t="shared" si="15"/>
        <v>348.92969206864154</v>
      </c>
      <c r="T22" s="14">
        <f t="shared" si="15"/>
        <v>350.07199708275709</v>
      </c>
      <c r="U22" s="13"/>
      <c r="V22" s="13">
        <f>V17*$AI22</f>
        <v>1055.8769948263814</v>
      </c>
      <c r="W22" s="13">
        <f>W17*$AI22</f>
        <v>1063.7664866930791</v>
      </c>
      <c r="X22" s="13">
        <f>X17*$AI22</f>
        <v>1071.6559785597769</v>
      </c>
      <c r="Y22" s="14">
        <f>Y17*$AI22</f>
        <v>1079.5454704264746</v>
      </c>
      <c r="Z22" s="13"/>
      <c r="AA22" s="13">
        <f t="shared" si="11"/>
        <v>4126.8377577208385</v>
      </c>
      <c r="AB22" s="13">
        <f t="shared" si="12"/>
        <v>4270.844930505712</v>
      </c>
      <c r="AC22" s="13">
        <f t="shared" si="13"/>
        <v>4398.970278420883</v>
      </c>
      <c r="AD22" s="13">
        <f t="shared" si="7"/>
        <v>4530.9393867735098</v>
      </c>
      <c r="AE22" s="13">
        <f t="shared" si="8"/>
        <v>4666.8675683767151</v>
      </c>
      <c r="AH22" s="225">
        <f>'B2'!E43</f>
        <v>0.5187091000615246</v>
      </c>
      <c r="AI22" s="225">
        <f>'B2'!F43</f>
        <v>0.5187091000615246</v>
      </c>
      <c r="AJ22" s="225">
        <f>'B2'!G43</f>
        <v>0.5187091000615246</v>
      </c>
      <c r="AK22" s="225">
        <f>'B2'!H43</f>
        <v>0.5187091000615246</v>
      </c>
      <c r="AL22" s="225">
        <f>'B2'!I43</f>
        <v>0.5187091000615246</v>
      </c>
    </row>
    <row r="23" spans="2:39" x14ac:dyDescent="0.25">
      <c r="D23" s="82" t="str">
        <f>'C1'!D23</f>
        <v>Medicaid</v>
      </c>
      <c r="G23" s="77">
        <f t="shared" si="9"/>
        <v>0.21505677051289218</v>
      </c>
      <c r="H23" s="76"/>
      <c r="I23" s="13">
        <f t="shared" ref="I23:T23" si="16">I17*$G23</f>
        <v>140.24321943513365</v>
      </c>
      <c r="J23" s="13">
        <f t="shared" si="16"/>
        <v>140.47277933845788</v>
      </c>
      <c r="K23" s="13">
        <f t="shared" si="16"/>
        <v>140.93265066449428</v>
      </c>
      <c r="L23" s="13">
        <f t="shared" si="16"/>
        <v>141.39402748958537</v>
      </c>
      <c r="M23" s="13">
        <f t="shared" si="16"/>
        <v>141.85691474234332</v>
      </c>
      <c r="N23" s="13">
        <f t="shared" si="16"/>
        <v>142.32131736751535</v>
      </c>
      <c r="O23" s="13">
        <f t="shared" si="16"/>
        <v>142.78724032603631</v>
      </c>
      <c r="P23" s="13">
        <f t="shared" si="16"/>
        <v>143.25468859508206</v>
      </c>
      <c r="Q23" s="13">
        <f t="shared" si="16"/>
        <v>143.72366716812229</v>
      </c>
      <c r="R23" s="13">
        <f t="shared" si="16"/>
        <v>144.19418105497411</v>
      </c>
      <c r="S23" s="13">
        <f t="shared" si="16"/>
        <v>144.66623528185536</v>
      </c>
      <c r="T23" s="14">
        <f t="shared" si="16"/>
        <v>145.13983489143854</v>
      </c>
      <c r="U23" s="13"/>
      <c r="V23" s="13">
        <f>V17*$AI23</f>
        <v>437.76655651363347</v>
      </c>
      <c r="W23" s="13">
        <f>W17*$AI23</f>
        <v>441.03753950128191</v>
      </c>
      <c r="X23" s="13">
        <f>X17*$AI23</f>
        <v>444.30852248893058</v>
      </c>
      <c r="Y23" s="14">
        <f>Y17*$AI23</f>
        <v>447.57950547657913</v>
      </c>
      <c r="Z23" s="13"/>
      <c r="AA23" s="13">
        <f t="shared" si="11"/>
        <v>1710.9867563550386</v>
      </c>
      <c r="AB23" s="13">
        <f t="shared" si="12"/>
        <v>1770.6921239804251</v>
      </c>
      <c r="AC23" s="13">
        <f t="shared" si="13"/>
        <v>1823.8128876998376</v>
      </c>
      <c r="AD23" s="13">
        <f t="shared" si="7"/>
        <v>1878.5272743308331</v>
      </c>
      <c r="AE23" s="13">
        <f t="shared" si="8"/>
        <v>1934.8830925607579</v>
      </c>
      <c r="AH23" s="225">
        <f>'B2'!E44</f>
        <v>0.21505677051289218</v>
      </c>
      <c r="AI23" s="225">
        <f>'B2'!F44</f>
        <v>0.21505677051289218</v>
      </c>
      <c r="AJ23" s="225">
        <f>'B2'!G44</f>
        <v>0.21505677051289218</v>
      </c>
      <c r="AK23" s="225">
        <f>'B2'!H44</f>
        <v>0.21505677051289218</v>
      </c>
      <c r="AL23" s="225">
        <f>'B2'!I44</f>
        <v>0.21505677051289218</v>
      </c>
    </row>
    <row r="24" spans="2:39" x14ac:dyDescent="0.25">
      <c r="D24" s="82" t="str">
        <f>'C1'!D24</f>
        <v>Other</v>
      </c>
      <c r="G24" s="77">
        <f t="shared" si="9"/>
        <v>5.8112869847306896E-2</v>
      </c>
      <c r="H24" s="76"/>
      <c r="I24" s="13">
        <f t="shared" ref="I24:T24" si="17">I17*$G24</f>
        <v>37.896672299896984</v>
      </c>
      <c r="J24" s="13">
        <f t="shared" si="17"/>
        <v>37.95870422175755</v>
      </c>
      <c r="K24" s="13">
        <f t="shared" si="17"/>
        <v>38.082971141849043</v>
      </c>
      <c r="L24" s="13">
        <f t="shared" si="17"/>
        <v>38.207644879500442</v>
      </c>
      <c r="M24" s="13">
        <f t="shared" si="17"/>
        <v>38.332726766526584</v>
      </c>
      <c r="N24" s="13">
        <f t="shared" si="17"/>
        <v>38.458218139102328</v>
      </c>
      <c r="O24" s="13">
        <f t="shared" si="17"/>
        <v>38.584120337776795</v>
      </c>
      <c r="P24" s="13">
        <f t="shared" si="17"/>
        <v>38.710434707487721</v>
      </c>
      <c r="Q24" s="13">
        <f t="shared" si="17"/>
        <v>38.837162597575833</v>
      </c>
      <c r="R24" s="13">
        <f t="shared" si="17"/>
        <v>38.964305361799248</v>
      </c>
      <c r="S24" s="13">
        <f t="shared" si="17"/>
        <v>39.09186435834792</v>
      </c>
      <c r="T24" s="14">
        <f t="shared" si="17"/>
        <v>39.219840949858174</v>
      </c>
      <c r="U24" s="13"/>
      <c r="V24" s="13">
        <f>V17*$AI24</f>
        <v>118.29374570030306</v>
      </c>
      <c r="W24" s="13">
        <f>W17*$AI24</f>
        <v>119.17763421113966</v>
      </c>
      <c r="X24" s="13">
        <f>X17*$AI24</f>
        <v>120.06152272197632</v>
      </c>
      <c r="Y24" s="14">
        <f>Y17*$AI24</f>
        <v>120.94541123281296</v>
      </c>
      <c r="Z24" s="13"/>
      <c r="AA24" s="13">
        <f t="shared" si="11"/>
        <v>462.34466576147861</v>
      </c>
      <c r="AB24" s="13">
        <f t="shared" si="12"/>
        <v>478.47831386623199</v>
      </c>
      <c r="AC24" s="13">
        <f t="shared" si="13"/>
        <v>492.83266328221885</v>
      </c>
      <c r="AD24" s="13">
        <f t="shared" si="7"/>
        <v>507.61764318068555</v>
      </c>
      <c r="AE24" s="13">
        <f t="shared" si="8"/>
        <v>522.84617247610606</v>
      </c>
      <c r="AH24" s="225">
        <f>'B2'!E45</f>
        <v>5.8112869847306896E-2</v>
      </c>
      <c r="AI24" s="225">
        <f>'B2'!F45</f>
        <v>5.8112869847306896E-2</v>
      </c>
      <c r="AJ24" s="225">
        <f>'B2'!G45</f>
        <v>5.8112869847306896E-2</v>
      </c>
      <c r="AK24" s="225">
        <f>'B2'!H45</f>
        <v>5.8112869847306896E-2</v>
      </c>
      <c r="AL24" s="225">
        <f>'B2'!I45</f>
        <v>5.8112869847306896E-2</v>
      </c>
    </row>
    <row r="25" spans="2:39" ht="17.25" x14ac:dyDescent="0.4">
      <c r="D25" s="82" t="str">
        <f>'C1'!D25</f>
        <v>AKI</v>
      </c>
      <c r="G25" s="77">
        <f t="shared" si="9"/>
        <v>0</v>
      </c>
      <c r="H25" s="76"/>
      <c r="I25" s="731">
        <f t="shared" ref="I25:T25" si="18">I17*$G25</f>
        <v>0</v>
      </c>
      <c r="J25" s="731">
        <f t="shared" si="18"/>
        <v>0</v>
      </c>
      <c r="K25" s="731">
        <f t="shared" si="18"/>
        <v>0</v>
      </c>
      <c r="L25" s="731">
        <f t="shared" si="18"/>
        <v>0</v>
      </c>
      <c r="M25" s="731">
        <f t="shared" si="18"/>
        <v>0</v>
      </c>
      <c r="N25" s="731">
        <f t="shared" si="18"/>
        <v>0</v>
      </c>
      <c r="O25" s="731">
        <f t="shared" si="18"/>
        <v>0</v>
      </c>
      <c r="P25" s="731">
        <f t="shared" si="18"/>
        <v>0</v>
      </c>
      <c r="Q25" s="731">
        <f t="shared" si="18"/>
        <v>0</v>
      </c>
      <c r="R25" s="731">
        <f t="shared" si="18"/>
        <v>0</v>
      </c>
      <c r="S25" s="731">
        <f t="shared" si="18"/>
        <v>0</v>
      </c>
      <c r="T25" s="732">
        <f t="shared" si="18"/>
        <v>0</v>
      </c>
      <c r="U25" s="13"/>
      <c r="V25" s="731">
        <f>V17*$AI25</f>
        <v>0</v>
      </c>
      <c r="W25" s="731">
        <f>W17*$AI25</f>
        <v>0</v>
      </c>
      <c r="X25" s="731">
        <f>X17*$AI25</f>
        <v>0</v>
      </c>
      <c r="Y25" s="732">
        <f>Y17*$AI25</f>
        <v>0</v>
      </c>
      <c r="Z25" s="731"/>
      <c r="AA25" s="558">
        <f t="shared" si="11"/>
        <v>0</v>
      </c>
      <c r="AB25" s="558">
        <f t="shared" si="12"/>
        <v>0</v>
      </c>
      <c r="AC25" s="558">
        <f t="shared" si="13"/>
        <v>0</v>
      </c>
      <c r="AD25" s="558">
        <f t="shared" si="7"/>
        <v>0</v>
      </c>
      <c r="AE25" s="558">
        <f t="shared" si="8"/>
        <v>0</v>
      </c>
      <c r="AH25" s="225">
        <f>'B2'!E46</f>
        <v>0</v>
      </c>
      <c r="AI25" s="225">
        <f>'B2'!F46</f>
        <v>0</v>
      </c>
      <c r="AJ25" s="225">
        <f>'B2'!G46</f>
        <v>0</v>
      </c>
      <c r="AK25" s="225">
        <f>'B2'!H46</f>
        <v>0</v>
      </c>
      <c r="AL25" s="225">
        <f>'B2'!I46</f>
        <v>0</v>
      </c>
    </row>
    <row r="26" spans="2:39" x14ac:dyDescent="0.25">
      <c r="D26" s="82"/>
      <c r="I26" s="13">
        <f t="shared" ref="I26:T26" si="19">SUM(I19:I25)</f>
        <v>652.12185182854489</v>
      </c>
      <c r="J26" s="13">
        <f t="shared" si="19"/>
        <v>653.18929045313109</v>
      </c>
      <c r="K26" s="13">
        <f t="shared" si="19"/>
        <v>655.32766221859379</v>
      </c>
      <c r="L26" s="13">
        <f t="shared" si="19"/>
        <v>657.47303445677414</v>
      </c>
      <c r="M26" s="13">
        <f t="shared" si="19"/>
        <v>659.62543008539819</v>
      </c>
      <c r="N26" s="13">
        <f t="shared" si="19"/>
        <v>661.78487209721891</v>
      </c>
      <c r="O26" s="13">
        <f t="shared" si="19"/>
        <v>663.95138356026098</v>
      </c>
      <c r="P26" s="13">
        <f t="shared" si="19"/>
        <v>666.12498761806819</v>
      </c>
      <c r="Q26" s="13">
        <f t="shared" si="19"/>
        <v>668.30570748995012</v>
      </c>
      <c r="R26" s="13">
        <f t="shared" si="19"/>
        <v>670.49356647123068</v>
      </c>
      <c r="S26" s="13">
        <f t="shared" si="19"/>
        <v>672.68858793349614</v>
      </c>
      <c r="T26" s="14">
        <f t="shared" si="19"/>
        <v>674.89079532484516</v>
      </c>
      <c r="U26" s="13"/>
      <c r="V26" s="13">
        <f>SUM(V19:V25)</f>
        <v>2035.5860244232128</v>
      </c>
      <c r="W26" s="13">
        <f>SUM(W19:W25)</f>
        <v>2050.7958826380809</v>
      </c>
      <c r="X26" s="13">
        <f>SUM(X19:X25)</f>
        <v>2066.0057408529492</v>
      </c>
      <c r="Y26" s="14">
        <f>SUM(Y19:Y25)</f>
        <v>2081.2155990678175</v>
      </c>
      <c r="Z26" s="13"/>
      <c r="AA26" s="13">
        <f>SUM(AA19:AA25)</f>
        <v>7955.9771695375121</v>
      </c>
      <c r="AB26" s="13">
        <f>SUM(AB19:AB25)</f>
        <v>8233.6032469820602</v>
      </c>
      <c r="AC26" s="13">
        <f>SUM(AC19:AC25)</f>
        <v>8480.6113443915219</v>
      </c>
      <c r="AD26" s="13">
        <f>SUM(AD19:AD25)</f>
        <v>8735.0296847232676</v>
      </c>
      <c r="AE26" s="13">
        <f>SUM(AE19:AE25)</f>
        <v>8997.0805752649649</v>
      </c>
      <c r="AI26" s="56"/>
      <c r="AJ26" s="729"/>
      <c r="AK26" s="729"/>
      <c r="AL26" s="173"/>
    </row>
    <row r="27" spans="2:39" x14ac:dyDescent="0.25"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14"/>
      <c r="U27" s="13"/>
      <c r="V27" s="13"/>
      <c r="W27" s="13"/>
      <c r="X27" s="13"/>
      <c r="Y27" s="14"/>
      <c r="Z27" s="13"/>
      <c r="AA27" s="13"/>
      <c r="AB27" s="13"/>
      <c r="AC27" s="13"/>
      <c r="AD27" s="13"/>
      <c r="AE27" s="13"/>
      <c r="AF27" s="1" t="s">
        <v>1185</v>
      </c>
      <c r="AH27" s="56">
        <f>AH10+AH11</f>
        <v>60.320000000000036</v>
      </c>
      <c r="AI27" s="56">
        <f>AI10+AI11</f>
        <v>62.129600000000039</v>
      </c>
      <c r="AJ27" s="56">
        <f>AJ10+AJ11</f>
        <v>63.993488000000042</v>
      </c>
      <c r="AK27" s="56">
        <f>AK10+AK11</f>
        <v>65.913292640000037</v>
      </c>
      <c r="AL27" s="56">
        <f>AL10+AL11</f>
        <v>67.890691419200039</v>
      </c>
    </row>
    <row r="28" spans="2:39" x14ac:dyDescent="0.25">
      <c r="I28" s="36"/>
      <c r="J28" s="36"/>
      <c r="K28" s="36"/>
      <c r="L28" s="36"/>
      <c r="M28" s="36"/>
      <c r="N28" s="36"/>
      <c r="O28" s="36"/>
      <c r="P28" s="36"/>
      <c r="Q28" s="36"/>
      <c r="R28" s="36"/>
      <c r="S28" s="36"/>
      <c r="T28" s="51"/>
      <c r="U28" s="36"/>
      <c r="V28" s="36"/>
      <c r="W28" s="36"/>
      <c r="X28" s="36"/>
      <c r="Y28" s="51"/>
      <c r="Z28" s="36"/>
      <c r="AA28" s="36"/>
      <c r="AB28" s="36"/>
      <c r="AC28" s="36"/>
      <c r="AD28" s="36"/>
      <c r="AE28" s="36"/>
    </row>
    <row r="29" spans="2:39" ht="18" x14ac:dyDescent="0.4">
      <c r="B29" s="513" t="s">
        <v>104</v>
      </c>
      <c r="G29" s="1"/>
      <c r="T29" s="188"/>
      <c r="Y29" s="188"/>
      <c r="AA29" s="558"/>
      <c r="AB29" s="558"/>
    </row>
    <row r="30" spans="2:39" x14ac:dyDescent="0.25">
      <c r="D30" s="81" t="str">
        <f>D18</f>
        <v>Commercial</v>
      </c>
      <c r="E30" s="81"/>
      <c r="I30" s="36"/>
      <c r="J30" s="36"/>
      <c r="K30" s="36"/>
      <c r="L30" s="36"/>
      <c r="M30" s="36"/>
      <c r="N30" s="36"/>
      <c r="O30" s="36"/>
      <c r="P30" s="36"/>
      <c r="Q30" s="36"/>
      <c r="R30" s="36"/>
      <c r="S30" s="36"/>
      <c r="T30" s="51"/>
      <c r="U30" s="36"/>
      <c r="V30" s="36"/>
      <c r="W30" s="36"/>
      <c r="X30" s="36"/>
      <c r="Y30" s="51"/>
      <c r="Z30" s="36"/>
      <c r="AA30" s="36"/>
      <c r="AB30" s="36"/>
      <c r="AC30" s="36"/>
      <c r="AD30" s="36"/>
      <c r="AE30" s="36"/>
      <c r="AI30" s="722">
        <f>AI9</f>
        <v>2</v>
      </c>
      <c r="AJ30" s="722">
        <f>AJ9</f>
        <v>3</v>
      </c>
      <c r="AK30" s="722">
        <f>AK9</f>
        <v>4</v>
      </c>
      <c r="AL30" s="722">
        <f>AL9</f>
        <v>5</v>
      </c>
      <c r="AM30" s="722"/>
    </row>
    <row r="31" spans="2:39" x14ac:dyDescent="0.25">
      <c r="D31" s="81"/>
      <c r="E31" s="81" t="str">
        <f>E19</f>
        <v>Non-contracted</v>
      </c>
      <c r="G31" s="371">
        <f>'A1'!AI18</f>
        <v>340.02359999999993</v>
      </c>
      <c r="H31" s="76"/>
      <c r="I31" s="13">
        <f t="shared" ref="I31:T31" si="20">I19*$G31/1000</f>
        <v>4.5267598405701692</v>
      </c>
      <c r="J31" s="13">
        <f t="shared" si="20"/>
        <v>4.534169557457437</v>
      </c>
      <c r="K31" s="13">
        <f t="shared" si="20"/>
        <v>4.5490132487169213</v>
      </c>
      <c r="L31" s="13">
        <f t="shared" si="20"/>
        <v>4.5639055343589954</v>
      </c>
      <c r="M31" s="13">
        <f t="shared" si="20"/>
        <v>4.5788465734690238</v>
      </c>
      <c r="N31" s="13">
        <f t="shared" si="20"/>
        <v>4.5938365256531739</v>
      </c>
      <c r="O31" s="13">
        <f t="shared" si="20"/>
        <v>4.6088755510401231</v>
      </c>
      <c r="P31" s="13">
        <f t="shared" si="20"/>
        <v>4.6239638102827678</v>
      </c>
      <c r="Q31" s="13">
        <f t="shared" si="20"/>
        <v>4.6391014645599373</v>
      </c>
      <c r="R31" s="13">
        <f t="shared" si="20"/>
        <v>4.6542886755781252</v>
      </c>
      <c r="S31" s="13">
        <f t="shared" si="20"/>
        <v>4.6695256055732033</v>
      </c>
      <c r="T31" s="14">
        <f t="shared" si="20"/>
        <v>4.6848124173121661</v>
      </c>
      <c r="U31" s="13"/>
      <c r="V31" s="13">
        <f t="shared" ref="V31:Y37" si="21">V19*$AI31/1000</f>
        <v>14.271497162627909</v>
      </c>
      <c r="W31" s="13">
        <f t="shared" si="21"/>
        <v>14.378133505063483</v>
      </c>
      <c r="X31" s="13">
        <f t="shared" si="21"/>
        <v>14.484769847499061</v>
      </c>
      <c r="Y31" s="14">
        <f t="shared" si="21"/>
        <v>14.591406189934636</v>
      </c>
      <c r="Z31" s="13"/>
      <c r="AA31" s="13">
        <f>SUM(I31:T31)</f>
        <v>55.227098804572037</v>
      </c>
      <c r="AB31" s="13">
        <f>SUM(V31:Y31)</f>
        <v>57.725806705125088</v>
      </c>
      <c r="AC31" s="13">
        <f t="shared" ref="AC31:AE37" si="22">AC19*AJ31/1000</f>
        <v>60.052156715341624</v>
      </c>
      <c r="AD31" s="13">
        <f t="shared" si="22"/>
        <v>62.472258630969904</v>
      </c>
      <c r="AE31" s="13">
        <f t="shared" si="22"/>
        <v>64.989890653798</v>
      </c>
      <c r="AG31" s="76">
        <f>'A1'!I26</f>
        <v>0.01</v>
      </c>
      <c r="AI31" s="729">
        <f t="shared" ref="AI31:AI37" si="23">G31*(1+AG31)</f>
        <v>343.42383599999994</v>
      </c>
      <c r="AJ31" s="729">
        <f t="shared" ref="AJ31:AL37" si="24">AI31*(1+$AG31)</f>
        <v>346.85807435999993</v>
      </c>
      <c r="AK31" s="729">
        <f t="shared" si="24"/>
        <v>350.32665510359993</v>
      </c>
      <c r="AL31" s="729">
        <f t="shared" si="24"/>
        <v>353.82992165463594</v>
      </c>
    </row>
    <row r="32" spans="2:39" x14ac:dyDescent="0.25">
      <c r="D32" s="81"/>
      <c r="E32" s="81" t="str">
        <f>E20</f>
        <v>Contracted</v>
      </c>
      <c r="G32" s="371">
        <f>'A1'!AI19</f>
        <v>611.11170120639065</v>
      </c>
      <c r="H32" s="76"/>
      <c r="I32" s="13">
        <f t="shared" ref="I32:T32" si="25">I20*$G32/1000</f>
        <v>68.362809749435286</v>
      </c>
      <c r="J32" s="13">
        <f t="shared" si="25"/>
        <v>68.474710774385102</v>
      </c>
      <c r="K32" s="13">
        <f t="shared" si="25"/>
        <v>68.698879159121788</v>
      </c>
      <c r="L32" s="13">
        <f t="shared" si="25"/>
        <v>68.923781412817476</v>
      </c>
      <c r="M32" s="13">
        <f t="shared" si="25"/>
        <v>69.149419937968176</v>
      </c>
      <c r="N32" s="13">
        <f t="shared" si="25"/>
        <v>69.375797144935092</v>
      </c>
      <c r="O32" s="13">
        <f t="shared" si="25"/>
        <v>69.602915451970233</v>
      </c>
      <c r="P32" s="13">
        <f t="shared" si="25"/>
        <v>69.830777285242362</v>
      </c>
      <c r="Q32" s="13">
        <f t="shared" si="25"/>
        <v>70.059385078862931</v>
      </c>
      <c r="R32" s="13">
        <f t="shared" si="25"/>
        <v>70.288741274911999</v>
      </c>
      <c r="S32" s="13">
        <f t="shared" si="25"/>
        <v>70.518848323464383</v>
      </c>
      <c r="T32" s="14">
        <f t="shared" si="25"/>
        <v>70.749708682615761</v>
      </c>
      <c r="U32" s="13"/>
      <c r="V32" s="13">
        <f t="shared" si="21"/>
        <v>215.52714960143558</v>
      </c>
      <c r="W32" s="13">
        <f t="shared" si="21"/>
        <v>217.13756416881859</v>
      </c>
      <c r="X32" s="13">
        <f t="shared" si="21"/>
        <v>218.74797873620173</v>
      </c>
      <c r="Y32" s="14">
        <f t="shared" si="21"/>
        <v>220.35839330358476</v>
      </c>
      <c r="Z32" s="13"/>
      <c r="AA32" s="13">
        <f t="shared" ref="AA32:AA37" si="26">SUM(I32:T32)</f>
        <v>834.03577427573043</v>
      </c>
      <c r="AB32" s="13">
        <f t="shared" ref="AB32:AB37" si="27">SUM(V32:Y32)</f>
        <v>871.77108581004063</v>
      </c>
      <c r="AC32" s="13">
        <f t="shared" si="22"/>
        <v>906.9034605681851</v>
      </c>
      <c r="AD32" s="13">
        <f t="shared" si="22"/>
        <v>943.45167002908329</v>
      </c>
      <c r="AE32" s="13">
        <f t="shared" si="22"/>
        <v>981.4727723312551</v>
      </c>
      <c r="AG32" s="76">
        <f>'A1'!I27</f>
        <v>0.01</v>
      </c>
      <c r="AI32" s="729">
        <f t="shared" si="23"/>
        <v>617.22281821845456</v>
      </c>
      <c r="AJ32" s="729">
        <f t="shared" si="24"/>
        <v>623.3950464006391</v>
      </c>
      <c r="AK32" s="729">
        <f t="shared" si="24"/>
        <v>629.6289968646455</v>
      </c>
      <c r="AL32" s="729">
        <f t="shared" si="24"/>
        <v>635.92528683329192</v>
      </c>
    </row>
    <row r="33" spans="3:44" x14ac:dyDescent="0.25">
      <c r="D33" s="81"/>
      <c r="E33" s="81" t="str">
        <f>E21</f>
        <v>KP</v>
      </c>
      <c r="G33" s="371">
        <f>'A1'!AI20</f>
        <v>399.29167110726632</v>
      </c>
      <c r="H33" s="76"/>
      <c r="I33" s="13">
        <f t="shared" ref="I33:T33" si="28">I21*$G33/1000</f>
        <v>4.2089486062336494</v>
      </c>
      <c r="J33" s="13">
        <f t="shared" si="28"/>
        <v>4.2158381074803781</v>
      </c>
      <c r="K33" s="13">
        <f t="shared" si="28"/>
        <v>4.2296396644081469</v>
      </c>
      <c r="L33" s="13">
        <f t="shared" si="28"/>
        <v>4.243486404041886</v>
      </c>
      <c r="M33" s="13">
        <f t="shared" si="28"/>
        <v>4.2573784742980179</v>
      </c>
      <c r="N33" s="13">
        <f t="shared" si="28"/>
        <v>4.2713160235772056</v>
      </c>
      <c r="O33" s="13">
        <f t="shared" si="28"/>
        <v>4.2852992007659338</v>
      </c>
      <c r="P33" s="13">
        <f t="shared" si="28"/>
        <v>4.299328155238106</v>
      </c>
      <c r="Q33" s="13">
        <f t="shared" si="28"/>
        <v>4.3134030368566361</v>
      </c>
      <c r="R33" s="13">
        <f t="shared" si="28"/>
        <v>4.3275239959750511</v>
      </c>
      <c r="S33" s="13">
        <f t="shared" si="28"/>
        <v>4.3416911834390968</v>
      </c>
      <c r="T33" s="14">
        <f t="shared" si="28"/>
        <v>4.3559047505883433</v>
      </c>
      <c r="U33" s="13"/>
      <c r="V33" s="13">
        <f t="shared" si="21"/>
        <v>13.269534989058387</v>
      </c>
      <c r="W33" s="13">
        <f t="shared" si="21"/>
        <v>13.368684690097425</v>
      </c>
      <c r="X33" s="13">
        <f t="shared" si="21"/>
        <v>13.467834391136471</v>
      </c>
      <c r="Y33" s="14">
        <f t="shared" si="21"/>
        <v>13.56698409217551</v>
      </c>
      <c r="Z33" s="13"/>
      <c r="AA33" s="13">
        <f t="shared" si="26"/>
        <v>51.34975760290245</v>
      </c>
      <c r="AB33" s="13">
        <f t="shared" si="27"/>
        <v>53.67303816246779</v>
      </c>
      <c r="AC33" s="13">
        <f t="shared" si="22"/>
        <v>55.836061600415228</v>
      </c>
      <c r="AD33" s="13">
        <f t="shared" si="22"/>
        <v>58.086254882911973</v>
      </c>
      <c r="AE33" s="13">
        <f t="shared" si="22"/>
        <v>60.427130954693325</v>
      </c>
      <c r="AG33" s="76">
        <f>'A1'!I28</f>
        <v>0.01</v>
      </c>
      <c r="AI33" s="729">
        <f t="shared" si="23"/>
        <v>403.28458781833899</v>
      </c>
      <c r="AJ33" s="729">
        <f t="shared" si="24"/>
        <v>407.31743369652236</v>
      </c>
      <c r="AK33" s="729">
        <f t="shared" si="24"/>
        <v>411.39060803348758</v>
      </c>
      <c r="AL33" s="729">
        <f t="shared" si="24"/>
        <v>415.50451411382244</v>
      </c>
    </row>
    <row r="34" spans="3:44" x14ac:dyDescent="0.25">
      <c r="D34" s="81" t="str">
        <f>D22</f>
        <v>Medicare</v>
      </c>
      <c r="E34" s="81"/>
      <c r="G34" s="1344">
        <f>'A1'!AI21*(1-MCareSeq)</f>
        <v>406.99438382795773</v>
      </c>
      <c r="H34" s="76"/>
      <c r="I34" s="13">
        <f t="shared" ref="I34:T34" si="29">I22*$G34/1000</f>
        <v>137.67054659422516</v>
      </c>
      <c r="J34" s="13">
        <f t="shared" si="29"/>
        <v>137.89589536683641</v>
      </c>
      <c r="K34" s="13">
        <f t="shared" si="29"/>
        <v>138.34733064530081</v>
      </c>
      <c r="L34" s="13">
        <f t="shared" si="29"/>
        <v>138.80024380539535</v>
      </c>
      <c r="M34" s="13">
        <f t="shared" si="29"/>
        <v>139.25463968531994</v>
      </c>
      <c r="N34" s="13">
        <f t="shared" si="29"/>
        <v>139.71052313911355</v>
      </c>
      <c r="O34" s="13">
        <f t="shared" si="29"/>
        <v>140.1678990367059</v>
      </c>
      <c r="P34" s="13">
        <f t="shared" si="29"/>
        <v>140.6267722639696</v>
      </c>
      <c r="Q34" s="13">
        <f t="shared" si="29"/>
        <v>141.08714772277239</v>
      </c>
      <c r="R34" s="13">
        <f t="shared" si="29"/>
        <v>141.5490303310294</v>
      </c>
      <c r="S34" s="13">
        <f t="shared" si="29"/>
        <v>142.01242502275582</v>
      </c>
      <c r="T34" s="14">
        <f t="shared" si="29"/>
        <v>142.47733674811931</v>
      </c>
      <c r="U34" s="13"/>
      <c r="V34" s="13">
        <f t="shared" si="21"/>
        <v>434.03336697655362</v>
      </c>
      <c r="W34" s="13">
        <f t="shared" si="21"/>
        <v>437.27645564636595</v>
      </c>
      <c r="X34" s="13">
        <f t="shared" si="21"/>
        <v>440.51954431617838</v>
      </c>
      <c r="Y34" s="14">
        <f t="shared" si="21"/>
        <v>443.76263298599065</v>
      </c>
      <c r="Z34" s="13"/>
      <c r="AA34" s="13">
        <f t="shared" si="26"/>
        <v>1679.5997903615437</v>
      </c>
      <c r="AB34" s="13">
        <f t="shared" si="27"/>
        <v>1755.5919999250887</v>
      </c>
      <c r="AC34" s="13">
        <f t="shared" si="22"/>
        <v>1826.3423575220695</v>
      </c>
      <c r="AD34" s="13">
        <f t="shared" si="22"/>
        <v>1899.9439545302089</v>
      </c>
      <c r="AE34" s="13">
        <f t="shared" si="22"/>
        <v>1976.5116958977765</v>
      </c>
      <c r="AG34" s="76">
        <f>'A1'!I29</f>
        <v>0.01</v>
      </c>
      <c r="AI34" s="729">
        <f t="shared" si="23"/>
        <v>411.06432766623732</v>
      </c>
      <c r="AJ34" s="729">
        <f t="shared" si="24"/>
        <v>415.17497094289968</v>
      </c>
      <c r="AK34" s="729">
        <f t="shared" si="24"/>
        <v>419.32672065232867</v>
      </c>
      <c r="AL34" s="729">
        <f t="shared" si="24"/>
        <v>423.51998785885195</v>
      </c>
    </row>
    <row r="35" spans="3:44" x14ac:dyDescent="0.25">
      <c r="D35" s="81" t="str">
        <f>D23</f>
        <v>Medicaid</v>
      </c>
      <c r="E35" s="81"/>
      <c r="G35" s="371">
        <f>'A1'!AI22</f>
        <v>170.64324162982226</v>
      </c>
      <c r="H35" s="76"/>
      <c r="I35" s="13">
        <f t="shared" ref="I35:T35" si="30">I23*$G35/1000</f>
        <v>23.931557581013699</v>
      </c>
      <c r="J35" s="13">
        <f t="shared" si="30"/>
        <v>23.970730427065174</v>
      </c>
      <c r="K35" s="13">
        <f t="shared" si="30"/>
        <v>24.049204360872626</v>
      </c>
      <c r="L35" s="13">
        <f t="shared" si="30"/>
        <v>24.127935197919047</v>
      </c>
      <c r="M35" s="13">
        <f t="shared" si="30"/>
        <v>24.206923779238785</v>
      </c>
      <c r="N35" s="13">
        <f t="shared" si="30"/>
        <v>24.286170948619539</v>
      </c>
      <c r="O35" s="13">
        <f t="shared" si="30"/>
        <v>24.365677552611317</v>
      </c>
      <c r="P35" s="13">
        <f t="shared" si="30"/>
        <v>24.445444440535532</v>
      </c>
      <c r="Q35" s="13">
        <f t="shared" si="30"/>
        <v>24.525472464494044</v>
      </c>
      <c r="R35" s="13">
        <f t="shared" si="30"/>
        <v>24.605762479378285</v>
      </c>
      <c r="S35" s="13">
        <f t="shared" si="30"/>
        <v>24.686315342878363</v>
      </c>
      <c r="T35" s="14">
        <f t="shared" si="30"/>
        <v>24.767131915492254</v>
      </c>
      <c r="U35" s="13"/>
      <c r="V35" s="13">
        <f t="shared" si="21"/>
        <v>75.448923323417304</v>
      </c>
      <c r="W35" s="13">
        <f t="shared" si="21"/>
        <v>76.012676175148925</v>
      </c>
      <c r="X35" s="13">
        <f t="shared" si="21"/>
        <v>76.576429026880575</v>
      </c>
      <c r="Y35" s="14">
        <f t="shared" si="21"/>
        <v>77.140181878612196</v>
      </c>
      <c r="Z35" s="13"/>
      <c r="AA35" s="13">
        <f t="shared" si="26"/>
        <v>291.96832649011867</v>
      </c>
      <c r="AB35" s="13">
        <f t="shared" si="27"/>
        <v>305.17821040405897</v>
      </c>
      <c r="AC35" s="13">
        <f t="shared" si="22"/>
        <v>317.47689228334252</v>
      </c>
      <c r="AD35" s="13">
        <f t="shared" si="22"/>
        <v>330.2712110423613</v>
      </c>
      <c r="AE35" s="13">
        <f t="shared" si="22"/>
        <v>343.58114084736843</v>
      </c>
      <c r="AG35" s="76">
        <f>'A1'!I30</f>
        <v>0.01</v>
      </c>
      <c r="AI35" s="729">
        <f t="shared" si="23"/>
        <v>172.34967404612047</v>
      </c>
      <c r="AJ35" s="729">
        <f t="shared" si="24"/>
        <v>174.07317078658167</v>
      </c>
      <c r="AK35" s="729">
        <f t="shared" si="24"/>
        <v>175.81390249444749</v>
      </c>
      <c r="AL35" s="729">
        <f t="shared" si="24"/>
        <v>177.57204151939197</v>
      </c>
    </row>
    <row r="36" spans="3:44" x14ac:dyDescent="0.25">
      <c r="D36" s="81" t="str">
        <f>D24</f>
        <v>Other</v>
      </c>
      <c r="E36" s="81"/>
      <c r="G36" s="371">
        <f>'A1'!AI23</f>
        <v>372.99906123516195</v>
      </c>
      <c r="H36" s="76"/>
      <c r="I36" s="13">
        <f t="shared" ref="I36:T36" si="31">I24*$G36/1000</f>
        <v>14.135423191798141</v>
      </c>
      <c r="J36" s="13">
        <f t="shared" si="31"/>
        <v>14.158561040418745</v>
      </c>
      <c r="K36" s="13">
        <f t="shared" si="31"/>
        <v>14.204912484955457</v>
      </c>
      <c r="L36" s="13">
        <f t="shared" si="31"/>
        <v>14.251415672060107</v>
      </c>
      <c r="M36" s="13">
        <f t="shared" si="31"/>
        <v>14.298071098498379</v>
      </c>
      <c r="N36" s="13">
        <f t="shared" si="31"/>
        <v>14.344879262662245</v>
      </c>
      <c r="O36" s="13">
        <f t="shared" si="31"/>
        <v>14.391840664575264</v>
      </c>
      <c r="P36" s="13">
        <f t="shared" si="31"/>
        <v>14.438955805897951</v>
      </c>
      <c r="Q36" s="13">
        <f t="shared" si="31"/>
        <v>14.48622518993313</v>
      </c>
      <c r="R36" s="13">
        <f t="shared" si="31"/>
        <v>14.533649321631307</v>
      </c>
      <c r="S36" s="13">
        <f t="shared" si="31"/>
        <v>14.581228707596061</v>
      </c>
      <c r="T36" s="14">
        <f t="shared" si="31"/>
        <v>14.628963856089461</v>
      </c>
      <c r="U36" s="13"/>
      <c r="V36" s="13">
        <f t="shared" si="21"/>
        <v>44.564690657166061</v>
      </c>
      <c r="W36" s="13">
        <f t="shared" si="21"/>
        <v>44.897677137792435</v>
      </c>
      <c r="X36" s="13">
        <f t="shared" si="21"/>
        <v>45.230663618418845</v>
      </c>
      <c r="Y36" s="14">
        <f t="shared" si="21"/>
        <v>45.56365009904524</v>
      </c>
      <c r="Z36" s="13"/>
      <c r="AA36" s="13">
        <f t="shared" si="26"/>
        <v>172.45412629611627</v>
      </c>
      <c r="AB36" s="13">
        <f t="shared" si="27"/>
        <v>180.2566815124226</v>
      </c>
      <c r="AC36" s="13">
        <f t="shared" si="22"/>
        <v>187.52102577737318</v>
      </c>
      <c r="AD36" s="13">
        <f t="shared" si="22"/>
        <v>195.07812311620137</v>
      </c>
      <c r="AE36" s="13">
        <f t="shared" si="22"/>
        <v>202.93977147778426</v>
      </c>
      <c r="AG36" s="76">
        <f>'A1'!I31</f>
        <v>0.01</v>
      </c>
      <c r="AI36" s="729">
        <f t="shared" si="23"/>
        <v>376.72905184751357</v>
      </c>
      <c r="AJ36" s="729">
        <f t="shared" si="24"/>
        <v>380.49634236598871</v>
      </c>
      <c r="AK36" s="729">
        <f t="shared" si="24"/>
        <v>384.30130578964861</v>
      </c>
      <c r="AL36" s="729">
        <f t="shared" si="24"/>
        <v>388.14431884754509</v>
      </c>
    </row>
    <row r="37" spans="3:44" x14ac:dyDescent="0.25">
      <c r="D37" s="81" t="str">
        <f>D25</f>
        <v>AKI</v>
      </c>
      <c r="E37" s="81"/>
      <c r="G37" s="371">
        <f>'A1'!AI24</f>
        <v>0</v>
      </c>
      <c r="H37" s="76"/>
      <c r="I37" s="13">
        <f t="shared" ref="I37:T37" si="32">I25*$G37/1000</f>
        <v>0</v>
      </c>
      <c r="J37" s="13">
        <f t="shared" si="32"/>
        <v>0</v>
      </c>
      <c r="K37" s="13">
        <f t="shared" si="32"/>
        <v>0</v>
      </c>
      <c r="L37" s="13">
        <f t="shared" si="32"/>
        <v>0</v>
      </c>
      <c r="M37" s="13">
        <f t="shared" si="32"/>
        <v>0</v>
      </c>
      <c r="N37" s="13">
        <f t="shared" si="32"/>
        <v>0</v>
      </c>
      <c r="O37" s="13">
        <f t="shared" si="32"/>
        <v>0</v>
      </c>
      <c r="P37" s="13">
        <f t="shared" si="32"/>
        <v>0</v>
      </c>
      <c r="Q37" s="13">
        <f t="shared" si="32"/>
        <v>0</v>
      </c>
      <c r="R37" s="13">
        <f t="shared" si="32"/>
        <v>0</v>
      </c>
      <c r="S37" s="13">
        <f t="shared" si="32"/>
        <v>0</v>
      </c>
      <c r="T37" s="14">
        <f t="shared" si="32"/>
        <v>0</v>
      </c>
      <c r="U37" s="13"/>
      <c r="V37" s="13">
        <f t="shared" si="21"/>
        <v>0</v>
      </c>
      <c r="W37" s="13">
        <f t="shared" si="21"/>
        <v>0</v>
      </c>
      <c r="X37" s="13">
        <f t="shared" si="21"/>
        <v>0</v>
      </c>
      <c r="Y37" s="14">
        <f t="shared" si="21"/>
        <v>0</v>
      </c>
      <c r="Z37" s="13"/>
      <c r="AA37" s="13">
        <f t="shared" si="26"/>
        <v>0</v>
      </c>
      <c r="AB37" s="13">
        <f t="shared" si="27"/>
        <v>0</v>
      </c>
      <c r="AC37" s="13">
        <f t="shared" si="22"/>
        <v>0</v>
      </c>
      <c r="AD37" s="13">
        <f t="shared" si="22"/>
        <v>0</v>
      </c>
      <c r="AE37" s="13">
        <f t="shared" si="22"/>
        <v>0</v>
      </c>
      <c r="AG37" s="76">
        <f>'A1'!I32</f>
        <v>0.01</v>
      </c>
      <c r="AI37" s="729">
        <f t="shared" si="23"/>
        <v>0</v>
      </c>
      <c r="AJ37" s="729">
        <f t="shared" si="24"/>
        <v>0</v>
      </c>
      <c r="AK37" s="729">
        <f t="shared" si="24"/>
        <v>0</v>
      </c>
      <c r="AL37" s="729">
        <f t="shared" si="24"/>
        <v>0</v>
      </c>
    </row>
    <row r="38" spans="3:44" ht="15.75" thickBot="1" x14ac:dyDescent="0.3">
      <c r="C38" s="687" t="s">
        <v>105</v>
      </c>
      <c r="D38" s="733"/>
      <c r="E38" s="733"/>
      <c r="F38" s="687"/>
      <c r="G38" s="734"/>
      <c r="H38" s="687"/>
      <c r="I38" s="689">
        <f>SUM(I31:I37)</f>
        <v>252.83604556327609</v>
      </c>
      <c r="J38" s="689">
        <f t="shared" ref="J38:T38" si="33">SUM(J31:J37)</f>
        <v>253.24990527364324</v>
      </c>
      <c r="K38" s="689">
        <f t="shared" si="33"/>
        <v>254.07897956337575</v>
      </c>
      <c r="L38" s="689">
        <f t="shared" si="33"/>
        <v>254.91076802659288</v>
      </c>
      <c r="M38" s="689">
        <f t="shared" si="33"/>
        <v>255.74527954879235</v>
      </c>
      <c r="N38" s="689">
        <f t="shared" si="33"/>
        <v>256.58252304456079</v>
      </c>
      <c r="O38" s="689">
        <f t="shared" si="33"/>
        <v>257.42250745766881</v>
      </c>
      <c r="P38" s="689">
        <f t="shared" si="33"/>
        <v>258.26524176116629</v>
      </c>
      <c r="Q38" s="689">
        <f t="shared" si="33"/>
        <v>259.11073495747905</v>
      </c>
      <c r="R38" s="689">
        <f t="shared" si="33"/>
        <v>259.95899607850419</v>
      </c>
      <c r="S38" s="689">
        <f t="shared" si="33"/>
        <v>260.81003418570691</v>
      </c>
      <c r="T38" s="735">
        <f t="shared" si="33"/>
        <v>261.66385837021733</v>
      </c>
      <c r="U38" s="689"/>
      <c r="V38" s="689">
        <f>SUM(V31:V37)</f>
        <v>797.1151627102588</v>
      </c>
      <c r="W38" s="689">
        <f>SUM(W31:W37)</f>
        <v>803.07119132328694</v>
      </c>
      <c r="X38" s="689">
        <f>SUM(X31:X37)</f>
        <v>809.02721993631496</v>
      </c>
      <c r="Y38" s="735">
        <f>SUM(Y31:Y37)</f>
        <v>814.9832485493431</v>
      </c>
      <c r="Z38" s="689"/>
      <c r="AA38" s="689">
        <f>SUM(AA31:AA37)</f>
        <v>3084.6348738309835</v>
      </c>
      <c r="AB38" s="689">
        <f>SUM(AB31:AB37)</f>
        <v>3224.196822519204</v>
      </c>
      <c r="AC38" s="689">
        <f>SUM(AC31:AC37)</f>
        <v>3354.1319544667276</v>
      </c>
      <c r="AD38" s="689">
        <f>SUM(AD31:AD37)</f>
        <v>3489.303472231737</v>
      </c>
      <c r="AE38" s="689">
        <f>SUM(AE31:AE37)</f>
        <v>3629.9224021626756</v>
      </c>
      <c r="AO38" s="381">
        <f>SUM(I38:K38)</f>
        <v>760.16493040029513</v>
      </c>
      <c r="AP38" s="381">
        <f>SUM(L38:N38)</f>
        <v>767.23857061994602</v>
      </c>
      <c r="AQ38" s="381">
        <f>SUM(O38:Q38)</f>
        <v>774.7984841763141</v>
      </c>
      <c r="AR38" s="381">
        <f>SUM(R38:T38)</f>
        <v>782.43288863442842</v>
      </c>
    </row>
    <row r="39" spans="3:44" ht="15.75" thickTop="1" x14ac:dyDescent="0.25">
      <c r="I39" s="13"/>
      <c r="J39" s="13"/>
      <c r="K39" s="13"/>
      <c r="L39" s="13"/>
      <c r="M39" s="13"/>
      <c r="N39" s="13"/>
      <c r="O39" s="13"/>
      <c r="P39" s="13"/>
      <c r="Q39" s="13"/>
      <c r="R39" s="13"/>
      <c r="S39" s="13"/>
      <c r="T39" s="13"/>
      <c r="U39" s="13"/>
    </row>
    <row r="41" spans="3:44" x14ac:dyDescent="0.25">
      <c r="C41" s="1" t="s">
        <v>580</v>
      </c>
      <c r="I41" s="13">
        <f>'C4'!I17</f>
        <v>98.954473071149494</v>
      </c>
      <c r="J41" s="13">
        <f>'C4'!J17</f>
        <v>99.116448668709268</v>
      </c>
      <c r="K41" s="13">
        <f>'C4'!K17</f>
        <v>99.440930129786295</v>
      </c>
      <c r="L41" s="13">
        <f>'C4'!L17</f>
        <v>99.766473858731047</v>
      </c>
      <c r="M41" s="13">
        <f>'C4'!M17</f>
        <v>100.09308333313206</v>
      </c>
      <c r="N41" s="13">
        <f>'C4'!N17</f>
        <v>100.42076204196269</v>
      </c>
      <c r="O41" s="13">
        <f>'C4'!O17</f>
        <v>100.74951348561819</v>
      </c>
      <c r="P41" s="13">
        <f>'C4'!P17</f>
        <v>101.07934117595325</v>
      </c>
      <c r="Q41" s="13">
        <f>'C4'!Q17</f>
        <v>101.41024863631942</v>
      </c>
      <c r="R41" s="13">
        <f>'C4'!R17</f>
        <v>101.74223940160283</v>
      </c>
      <c r="S41" s="13">
        <f>'C4'!S17</f>
        <v>102.07531701826186</v>
      </c>
      <c r="T41" s="13">
        <f>'C4'!T17</f>
        <v>102.40948504436511</v>
      </c>
      <c r="V41" s="13">
        <f>'C4'!V17</f>
        <v>308.88451578947377</v>
      </c>
      <c r="W41" s="13">
        <f>'C4'!W17</f>
        <v>311.19249473684226</v>
      </c>
      <c r="X41" s="13">
        <f>'C4'!X17</f>
        <v>313.50047368421065</v>
      </c>
      <c r="Y41" s="13">
        <f>'C4'!Y17</f>
        <v>315.80845263157909</v>
      </c>
      <c r="AA41" s="13">
        <f>'C4'!AA17</f>
        <v>1207.2583158655914</v>
      </c>
      <c r="AB41" s="13">
        <f>'C4'!AB17</f>
        <v>1249.3859368421058</v>
      </c>
      <c r="AC41" s="13">
        <f>'C4'!AC17</f>
        <v>1286.8675149473688</v>
      </c>
      <c r="AD41" s="13">
        <f>'C4'!AD17</f>
        <v>1325.47354039579</v>
      </c>
      <c r="AE41" s="13">
        <f>'C4'!AE17</f>
        <v>1365.2377466076639</v>
      </c>
    </row>
    <row r="42" spans="3:44" x14ac:dyDescent="0.25">
      <c r="C42" s="1" t="s">
        <v>115</v>
      </c>
      <c r="I42" s="13">
        <f t="shared" ref="I42:T42" si="34">I17+I41</f>
        <v>751.07632489969433</v>
      </c>
      <c r="J42" s="13">
        <f t="shared" si="34"/>
        <v>752.30573912184036</v>
      </c>
      <c r="K42" s="13">
        <f t="shared" si="34"/>
        <v>754.76859234838025</v>
      </c>
      <c r="L42" s="13">
        <f t="shared" si="34"/>
        <v>757.2395083155053</v>
      </c>
      <c r="M42" s="13">
        <f t="shared" si="34"/>
        <v>759.71851341853039</v>
      </c>
      <c r="N42" s="13">
        <f t="shared" si="34"/>
        <v>762.20563413918171</v>
      </c>
      <c r="O42" s="13">
        <f t="shared" si="34"/>
        <v>764.70089704587929</v>
      </c>
      <c r="P42" s="13">
        <f t="shared" si="34"/>
        <v>767.20432879402154</v>
      </c>
      <c r="Q42" s="13">
        <f t="shared" si="34"/>
        <v>769.7159561262697</v>
      </c>
      <c r="R42" s="13">
        <f t="shared" si="34"/>
        <v>772.23580587283368</v>
      </c>
      <c r="S42" s="13">
        <f t="shared" si="34"/>
        <v>774.76390495175804</v>
      </c>
      <c r="T42" s="13">
        <f t="shared" si="34"/>
        <v>777.30028036921044</v>
      </c>
      <c r="V42" s="13">
        <f>V17+V41</f>
        <v>2344.470540212687</v>
      </c>
      <c r="W42" s="13">
        <f>W17+W41</f>
        <v>2361.9883773749234</v>
      </c>
      <c r="X42" s="13">
        <f>X17+X41</f>
        <v>2379.5062145371603</v>
      </c>
      <c r="Y42" s="13">
        <f>Y17+Y41</f>
        <v>2397.0240516993972</v>
      </c>
      <c r="AA42" s="13">
        <f>AA17+AA41</f>
        <v>9163.2354854031037</v>
      </c>
      <c r="AB42" s="13">
        <f>AB17+AB41</f>
        <v>9482.9891838241674</v>
      </c>
      <c r="AC42" s="13">
        <f>AC17+AC41</f>
        <v>9767.4788593388912</v>
      </c>
      <c r="AD42" s="13">
        <f>AD17+AD41</f>
        <v>10060.503225119059</v>
      </c>
      <c r="AE42" s="13">
        <f>AE17+AE41</f>
        <v>10362.31832187263</v>
      </c>
    </row>
    <row r="43" spans="3:44" x14ac:dyDescent="0.25">
      <c r="C43" s="1" t="s">
        <v>579</v>
      </c>
      <c r="I43" s="36">
        <f t="shared" ref="I43:T43" si="35">I42/I12</f>
        <v>12.907336547477712</v>
      </c>
      <c r="J43" s="36">
        <f t="shared" si="35"/>
        <v>12.907336547477712</v>
      </c>
      <c r="K43" s="36">
        <f t="shared" si="35"/>
        <v>12.907336547477716</v>
      </c>
      <c r="L43" s="36">
        <f t="shared" si="35"/>
        <v>12.907336547477714</v>
      </c>
      <c r="M43" s="36">
        <f t="shared" si="35"/>
        <v>12.907336547477712</v>
      </c>
      <c r="N43" s="36">
        <f t="shared" si="35"/>
        <v>12.907336547477714</v>
      </c>
      <c r="O43" s="36">
        <f t="shared" si="35"/>
        <v>12.907336547477712</v>
      </c>
      <c r="P43" s="36">
        <f t="shared" si="35"/>
        <v>12.907336547477712</v>
      </c>
      <c r="Q43" s="36">
        <f t="shared" si="35"/>
        <v>12.907336547477714</v>
      </c>
      <c r="R43" s="36">
        <f t="shared" si="35"/>
        <v>12.907336547477714</v>
      </c>
      <c r="S43" s="36">
        <f t="shared" si="35"/>
        <v>12.907336547477712</v>
      </c>
      <c r="T43" s="36">
        <f t="shared" si="35"/>
        <v>12.907336547477714</v>
      </c>
      <c r="U43" s="566"/>
      <c r="V43" s="36">
        <f>V42/V12</f>
        <v>38.722009642433136</v>
      </c>
      <c r="W43" s="36">
        <f>W42/W12</f>
        <v>38.722009642433143</v>
      </c>
      <c r="X43" s="36">
        <f>X42/X12</f>
        <v>38.722009642433143</v>
      </c>
      <c r="Y43" s="36">
        <f>Y42/Y12</f>
        <v>38.722009642433143</v>
      </c>
      <c r="Z43" s="566"/>
      <c r="AA43" s="36">
        <f>AA42/AA12</f>
        <v>154.88803856973254</v>
      </c>
      <c r="AB43" s="36">
        <f>AB42/AB12</f>
        <v>154.88803856973254</v>
      </c>
      <c r="AC43" s="36">
        <f>AC42/AC12</f>
        <v>154.88803856973254</v>
      </c>
      <c r="AD43" s="36">
        <f>AD42/AD12</f>
        <v>154.88803856973254</v>
      </c>
      <c r="AE43" s="36">
        <f>AE42/AE12</f>
        <v>154.88803856973254</v>
      </c>
    </row>
    <row r="44" spans="3:44" x14ac:dyDescent="0.25">
      <c r="C44" s="1" t="s">
        <v>581</v>
      </c>
      <c r="I44" s="36">
        <f>IF(ISNUMBER(I43),I43,0)</f>
        <v>12.907336547477712</v>
      </c>
      <c r="J44" s="36">
        <f t="shared" ref="J44:AE44" si="36">IF(ISNUMBER(J43),J43,0)</f>
        <v>12.907336547477712</v>
      </c>
      <c r="K44" s="36">
        <f t="shared" si="36"/>
        <v>12.907336547477716</v>
      </c>
      <c r="L44" s="36">
        <f t="shared" si="36"/>
        <v>12.907336547477714</v>
      </c>
      <c r="M44" s="36">
        <f t="shared" si="36"/>
        <v>12.907336547477712</v>
      </c>
      <c r="N44" s="36">
        <f t="shared" si="36"/>
        <v>12.907336547477714</v>
      </c>
      <c r="O44" s="36">
        <f t="shared" si="36"/>
        <v>12.907336547477712</v>
      </c>
      <c r="P44" s="36">
        <f t="shared" si="36"/>
        <v>12.907336547477712</v>
      </c>
      <c r="Q44" s="36">
        <f t="shared" si="36"/>
        <v>12.907336547477714</v>
      </c>
      <c r="R44" s="36">
        <f t="shared" si="36"/>
        <v>12.907336547477714</v>
      </c>
      <c r="S44" s="36">
        <f t="shared" si="36"/>
        <v>12.907336547477712</v>
      </c>
      <c r="T44" s="36">
        <f t="shared" si="36"/>
        <v>12.907336547477714</v>
      </c>
      <c r="V44" s="36">
        <f t="shared" si="36"/>
        <v>38.722009642433136</v>
      </c>
      <c r="W44" s="36">
        <f t="shared" si="36"/>
        <v>38.722009642433143</v>
      </c>
      <c r="X44" s="36">
        <f t="shared" si="36"/>
        <v>38.722009642433143</v>
      </c>
      <c r="Y44" s="36">
        <f t="shared" si="36"/>
        <v>38.722009642433143</v>
      </c>
      <c r="AA44" s="36">
        <f t="shared" si="36"/>
        <v>154.88803856973254</v>
      </c>
      <c r="AB44" s="36">
        <f t="shared" si="36"/>
        <v>154.88803856973254</v>
      </c>
      <c r="AC44" s="36">
        <f t="shared" si="36"/>
        <v>154.88803856973254</v>
      </c>
      <c r="AD44" s="36">
        <f t="shared" si="36"/>
        <v>154.88803856973254</v>
      </c>
      <c r="AE44" s="36">
        <f t="shared" si="36"/>
        <v>154.88803856973254</v>
      </c>
    </row>
  </sheetData>
  <printOptions horizontalCentered="1"/>
  <pageMargins left="0.5" right="0.5" top="0.75" bottom="0.75" header="0.3" footer="0.3"/>
  <pageSetup scale="59" orientation="landscape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>
    <tabColor theme="9" tint="-0.249977111117893"/>
    <pageSetUpPr fitToPage="1"/>
  </sheetPr>
  <dimension ref="A1:AR41"/>
  <sheetViews>
    <sheetView showGridLines="0" view="pageBreakPreview" zoomScale="80" zoomScaleNormal="132" zoomScaleSheetLayoutView="80" workbookViewId="0"/>
  </sheetViews>
  <sheetFormatPr defaultColWidth="9.42578125" defaultRowHeight="15" x14ac:dyDescent="0.25"/>
  <cols>
    <col min="1" max="1" width="1.5703125" style="1" customWidth="1"/>
    <col min="2" max="5" width="3" style="1" customWidth="1"/>
    <col min="6" max="6" width="13.5703125" style="1" customWidth="1"/>
    <col min="7" max="7" width="8.42578125" style="173" customWidth="1"/>
    <col min="8" max="8" width="3.42578125" style="1" customWidth="1"/>
    <col min="9" max="20" width="8.42578125" style="1" customWidth="1"/>
    <col min="21" max="21" width="2.42578125" style="1" customWidth="1"/>
    <col min="22" max="25" width="7.5703125" style="1" customWidth="1"/>
    <col min="26" max="26" width="3.42578125" style="1" customWidth="1"/>
    <col min="27" max="31" width="8.5703125" style="1" customWidth="1"/>
    <col min="32" max="32" width="8.5703125" style="1"/>
    <col min="33" max="33" width="6.42578125" style="1" customWidth="1"/>
    <col min="34" max="16384" width="9.42578125" style="1"/>
  </cols>
  <sheetData>
    <row r="1" spans="1:44" ht="6" customHeight="1" thickBot="1" x14ac:dyDescent="0.3">
      <c r="B1" s="85"/>
      <c r="C1" s="86"/>
      <c r="D1" s="85"/>
      <c r="E1" s="85"/>
      <c r="F1" s="85"/>
      <c r="G1" s="505"/>
      <c r="H1" s="85"/>
      <c r="I1" s="85"/>
      <c r="J1" s="85"/>
      <c r="K1" s="85"/>
      <c r="L1" s="85"/>
      <c r="M1" s="85"/>
      <c r="N1" s="85"/>
      <c r="O1" s="85"/>
      <c r="P1" s="85"/>
      <c r="Q1" s="85"/>
      <c r="R1" s="85"/>
      <c r="S1" s="85"/>
      <c r="T1" s="85"/>
      <c r="U1" s="85"/>
      <c r="V1" s="85"/>
      <c r="W1" s="85"/>
      <c r="X1" s="85"/>
      <c r="Y1" s="85"/>
      <c r="Z1" s="85"/>
      <c r="AA1" s="85"/>
      <c r="AB1" s="85"/>
      <c r="AC1" s="85"/>
      <c r="AD1" s="85"/>
      <c r="AE1" s="85"/>
    </row>
    <row r="2" spans="1:44" ht="16.5" thickTop="1" x14ac:dyDescent="0.25">
      <c r="B2" s="110" t="str">
        <f>MainOutline!B2</f>
        <v>WB Santa Cruz</v>
      </c>
      <c r="C2" s="111"/>
      <c r="D2" s="111"/>
      <c r="E2" s="111"/>
      <c r="F2" s="111"/>
      <c r="G2" s="506"/>
      <c r="H2" s="111"/>
      <c r="I2" s="508" t="str">
        <f>'A1'!$C$90</f>
        <v>Acquisition of an existing facility</v>
      </c>
      <c r="J2" s="111"/>
      <c r="K2" s="111"/>
      <c r="L2" s="111"/>
      <c r="M2" s="111"/>
      <c r="N2" s="111"/>
      <c r="O2" s="111"/>
      <c r="P2" s="111"/>
      <c r="Q2" s="111"/>
      <c r="R2" s="111"/>
      <c r="S2" s="111"/>
      <c r="T2" s="1409"/>
      <c r="U2" s="111"/>
      <c r="V2" s="111"/>
      <c r="W2" s="111"/>
      <c r="X2" s="111"/>
      <c r="Y2" s="111"/>
      <c r="Z2" s="111"/>
      <c r="AA2" s="111"/>
      <c r="AB2" s="111"/>
      <c r="AC2" s="111"/>
      <c r="AD2" s="111"/>
      <c r="AE2" s="1409">
        <f>$A3</f>
        <v>34</v>
      </c>
      <c r="AK2" s="82" t="str">
        <f>D10</f>
        <v>Peritoneal</v>
      </c>
      <c r="AL2" s="82" t="str">
        <f>D11</f>
        <v>Home HD</v>
      </c>
    </row>
    <row r="3" spans="1:44" ht="15.75" x14ac:dyDescent="0.25">
      <c r="A3" s="123">
        <f>MainOutline!B49</f>
        <v>34</v>
      </c>
      <c r="B3" s="102" t="str">
        <f>MainOutline!C49</f>
        <v>Appendix C4</v>
      </c>
      <c r="C3" s="89"/>
      <c r="D3" s="89"/>
      <c r="E3" s="89"/>
      <c r="F3" s="89"/>
      <c r="G3" s="509"/>
      <c r="H3" s="89"/>
      <c r="I3" s="89"/>
      <c r="J3" s="89"/>
      <c r="K3" s="89"/>
      <c r="L3" s="89"/>
      <c r="M3" s="89"/>
      <c r="N3" s="89"/>
      <c r="O3" s="89"/>
      <c r="P3" s="89"/>
      <c r="Q3" s="89"/>
      <c r="R3" s="89"/>
      <c r="S3" s="89"/>
      <c r="T3" s="89"/>
      <c r="U3" s="89"/>
      <c r="V3" s="89"/>
      <c r="W3" s="89"/>
      <c r="X3" s="89"/>
      <c r="Y3" s="89"/>
      <c r="Z3" s="89"/>
      <c r="AA3" s="89"/>
      <c r="AB3" s="89"/>
      <c r="AC3" s="89"/>
      <c r="AD3" s="89"/>
      <c r="AE3" s="89"/>
      <c r="AI3" s="1" t="s">
        <v>114</v>
      </c>
      <c r="AK3" s="1">
        <f>'A1'!AI9</f>
        <v>1</v>
      </c>
      <c r="AL3" s="1">
        <f>'A1'!AJ9</f>
        <v>1</v>
      </c>
    </row>
    <row r="4" spans="1:44" ht="16.5" thickBot="1" x14ac:dyDescent="0.3">
      <c r="B4" s="104" t="s">
        <v>572</v>
      </c>
      <c r="C4" s="97"/>
      <c r="D4" s="97"/>
      <c r="E4" s="97"/>
      <c r="F4" s="97"/>
      <c r="G4" s="510"/>
      <c r="H4" s="97"/>
      <c r="I4" s="97"/>
      <c r="J4" s="97"/>
      <c r="K4" s="97"/>
      <c r="L4" s="97"/>
      <c r="M4" s="97"/>
      <c r="N4" s="97"/>
      <c r="O4" s="97"/>
      <c r="P4" s="97"/>
      <c r="Q4" s="97"/>
      <c r="R4" s="97"/>
      <c r="S4" s="97"/>
      <c r="T4" s="388"/>
      <c r="U4" s="97"/>
      <c r="V4" s="97"/>
      <c r="W4" s="97"/>
      <c r="X4" s="97"/>
      <c r="Y4" s="97"/>
      <c r="Z4" s="97"/>
      <c r="AA4" s="97"/>
      <c r="AB4" s="97"/>
      <c r="AC4" s="97"/>
      <c r="AD4" s="97"/>
      <c r="AE4" s="388"/>
      <c r="AI4" s="1" t="s">
        <v>110</v>
      </c>
      <c r="AK4" s="1">
        <f>'A1'!AI43</f>
        <v>12.49988347704498</v>
      </c>
      <c r="AL4" s="1">
        <f>'A1'!AJ43</f>
        <v>16.438596491228068</v>
      </c>
    </row>
    <row r="5" spans="1:44" ht="15.75" thickTop="1" x14ac:dyDescent="0.25">
      <c r="AI5" s="1" t="s">
        <v>98</v>
      </c>
    </row>
    <row r="6" spans="1:44" ht="17.25" x14ac:dyDescent="0.4">
      <c r="I6" s="681" t="s">
        <v>471</v>
      </c>
      <c r="J6" s="715"/>
      <c r="K6" s="715"/>
      <c r="L6" s="715"/>
      <c r="M6" s="715"/>
      <c r="N6" s="715"/>
      <c r="O6" s="715"/>
      <c r="P6" s="715"/>
      <c r="Q6" s="715"/>
      <c r="R6" s="715"/>
      <c r="S6" s="715"/>
      <c r="T6" s="716"/>
      <c r="V6" s="681" t="s">
        <v>472</v>
      </c>
      <c r="W6" s="715"/>
      <c r="X6" s="715"/>
      <c r="Y6" s="716"/>
      <c r="AA6" s="681" t="s">
        <v>133</v>
      </c>
      <c r="AB6" s="715"/>
      <c r="AC6" s="715"/>
      <c r="AD6" s="715"/>
      <c r="AE6" s="715"/>
    </row>
    <row r="7" spans="1:44" s="173" customFormat="1" ht="15.75" thickBot="1" x14ac:dyDescent="0.3">
      <c r="I7" s="717">
        <v>1</v>
      </c>
      <c r="J7" s="717">
        <f>I7+1</f>
        <v>2</v>
      </c>
      <c r="K7" s="717">
        <f t="shared" ref="K7:T7" si="0">J7+1</f>
        <v>3</v>
      </c>
      <c r="L7" s="717">
        <f t="shared" si="0"/>
        <v>4</v>
      </c>
      <c r="M7" s="717">
        <f t="shared" si="0"/>
        <v>5</v>
      </c>
      <c r="N7" s="717">
        <f t="shared" si="0"/>
        <v>6</v>
      </c>
      <c r="O7" s="717">
        <f t="shared" si="0"/>
        <v>7</v>
      </c>
      <c r="P7" s="717">
        <f t="shared" si="0"/>
        <v>8</v>
      </c>
      <c r="Q7" s="717">
        <f t="shared" si="0"/>
        <v>9</v>
      </c>
      <c r="R7" s="717">
        <f t="shared" si="0"/>
        <v>10</v>
      </c>
      <c r="S7" s="717">
        <f t="shared" si="0"/>
        <v>11</v>
      </c>
      <c r="T7" s="718">
        <f t="shared" si="0"/>
        <v>12</v>
      </c>
      <c r="U7" s="1"/>
      <c r="V7" s="719" t="s">
        <v>24</v>
      </c>
      <c r="W7" s="719" t="s">
        <v>25</v>
      </c>
      <c r="X7" s="719" t="s">
        <v>26</v>
      </c>
      <c r="Y7" s="720" t="s">
        <v>27</v>
      </c>
      <c r="Z7" s="1"/>
      <c r="AA7" s="684">
        <v>1</v>
      </c>
      <c r="AB7" s="684">
        <v>2</v>
      </c>
      <c r="AC7" s="684">
        <v>3</v>
      </c>
      <c r="AD7" s="684">
        <v>4</v>
      </c>
      <c r="AE7" s="685">
        <v>5</v>
      </c>
    </row>
    <row r="8" spans="1:44" x14ac:dyDescent="0.25">
      <c r="T8" s="188"/>
      <c r="Y8" s="188"/>
      <c r="AH8" s="1" t="s">
        <v>130</v>
      </c>
      <c r="AO8" s="1" t="s">
        <v>131</v>
      </c>
    </row>
    <row r="9" spans="1:44" ht="15.75" x14ac:dyDescent="0.25">
      <c r="B9" s="513" t="s">
        <v>141</v>
      </c>
      <c r="T9" s="188"/>
      <c r="Y9" s="188"/>
      <c r="AH9" s="721">
        <v>1</v>
      </c>
      <c r="AI9" s="721">
        <v>2</v>
      </c>
      <c r="AJ9" s="721">
        <f>AC7</f>
        <v>3</v>
      </c>
      <c r="AK9" s="721">
        <f>AD7</f>
        <v>4</v>
      </c>
      <c r="AL9" s="721">
        <f>AE7</f>
        <v>5</v>
      </c>
      <c r="AM9" s="173"/>
      <c r="AN9" s="173"/>
      <c r="AO9" s="721">
        <v>2</v>
      </c>
      <c r="AP9" s="721">
        <v>3</v>
      </c>
      <c r="AQ9" s="721">
        <v>4</v>
      </c>
      <c r="AR9" s="721">
        <v>5</v>
      </c>
    </row>
    <row r="10" spans="1:44" x14ac:dyDescent="0.25">
      <c r="D10" s="82" t="str">
        <f>'A1'!G9</f>
        <v>Peritoneal</v>
      </c>
      <c r="G10" s="377">
        <f>AK3</f>
        <v>1</v>
      </c>
      <c r="H10" s="173"/>
      <c r="I10" s="736">
        <f>IF(AcqType=1,G10*'A3'!I35/2,G10*'A3'!I35)</f>
        <v>52.170234468674344</v>
      </c>
      <c r="J10" s="736">
        <f>$G10*AVERAGE('A3'!I35:J35)</f>
        <v>52.255630354687717</v>
      </c>
      <c r="K10" s="736">
        <f>$G10*AVERAGE('A3'!J35:K35)</f>
        <v>52.426701690623744</v>
      </c>
      <c r="L10" s="736">
        <f>$G10*AVERAGE('A3'!K35:L35)</f>
        <v>52.598333069597814</v>
      </c>
      <c r="M10" s="736">
        <f>$G10*AVERAGE('A3'!L35:M35)</f>
        <v>52.770526325045097</v>
      </c>
      <c r="N10" s="736">
        <f>$G10*AVERAGE('A3'!M35:N35)</f>
        <v>52.943283296402974</v>
      </c>
      <c r="O10" s="736">
        <f>$G10*AVERAGE('A3'!N35:O35)</f>
        <v>53.116605829130634</v>
      </c>
      <c r="P10" s="736">
        <f>$G10*AVERAGE('A3'!O35:P35)</f>
        <v>53.290495774728839</v>
      </c>
      <c r="Q10" s="736">
        <f>$G10*AVERAGE('A3'!P35:Q35)</f>
        <v>53.464954990759665</v>
      </c>
      <c r="R10" s="736">
        <f>$G10*AVERAGE('A3'!Q35:R35)</f>
        <v>53.639985340866396</v>
      </c>
      <c r="S10" s="736">
        <f>$G10*AVERAGE('A3'!R35:S35)</f>
        <v>53.815588694793362</v>
      </c>
      <c r="T10" s="737">
        <f>$G10*AVERAGE('A3'!S35:T35)</f>
        <v>53.991766928405958</v>
      </c>
      <c r="U10" s="736"/>
      <c r="V10" s="736">
        <f>AVERAGE(AH10,AH14)</f>
        <v>54.282800000000037</v>
      </c>
      <c r="W10" s="736">
        <f t="shared" ref="W10:Y11" si="1">AVERAGE(AH14:AI14)</f>
        <v>54.68840000000003</v>
      </c>
      <c r="X10" s="736">
        <f t="shared" si="1"/>
        <v>55.094000000000037</v>
      </c>
      <c r="Y10" s="737">
        <f t="shared" si="1"/>
        <v>55.499600000000029</v>
      </c>
      <c r="Z10" s="13"/>
      <c r="AA10" s="519">
        <f>AVERAGE(I10:T10)</f>
        <v>53.040342230309705</v>
      </c>
      <c r="AB10" s="519">
        <f>AVERAGE(AH10:AI10)</f>
        <v>54.891200000000033</v>
      </c>
      <c r="AC10" s="13">
        <f t="shared" ref="AC10:AE11" si="2">AVERAGE(AI10:AJ10)</f>
        <v>56.53793600000003</v>
      </c>
      <c r="AD10" s="13">
        <f t="shared" si="2"/>
        <v>58.234074080000035</v>
      </c>
      <c r="AE10" s="13">
        <f t="shared" si="2"/>
        <v>59.981096302400033</v>
      </c>
      <c r="AH10" s="832">
        <f>'C3'!AH10</f>
        <v>54.080000000000034</v>
      </c>
      <c r="AI10" s="832">
        <f>'C3'!AI10</f>
        <v>55.702400000000033</v>
      </c>
      <c r="AJ10" s="832">
        <f>'C3'!AJ10</f>
        <v>57.373472000000035</v>
      </c>
      <c r="AK10" s="832">
        <f>'C3'!AK10</f>
        <v>59.094676160000034</v>
      </c>
      <c r="AL10" s="832">
        <f>'C3'!AL10</f>
        <v>60.867516444800039</v>
      </c>
      <c r="AM10" s="173"/>
      <c r="AN10" s="173"/>
      <c r="AO10" s="77">
        <f>'A1'!G47</f>
        <v>0.03</v>
      </c>
      <c r="AP10" s="77">
        <f>'A1'!G48</f>
        <v>0.03</v>
      </c>
      <c r="AQ10" s="77">
        <f>'A1'!G49</f>
        <v>0.03</v>
      </c>
      <c r="AR10" s="77">
        <f>'A1'!G50</f>
        <v>0.03</v>
      </c>
    </row>
    <row r="11" spans="1:44" ht="17.25" x14ac:dyDescent="0.4">
      <c r="D11" s="82" t="str">
        <f>'A1'!H9</f>
        <v>Home HD</v>
      </c>
      <c r="G11" s="377">
        <f>AL3</f>
        <v>1</v>
      </c>
      <c r="H11" s="173"/>
      <c r="I11" s="738">
        <f>IF(AcqType=1,G11*'A3'!I36/2,G11*'A3'!I36)</f>
        <v>6.019642438693193</v>
      </c>
      <c r="J11" s="738">
        <f>$G11*AVERAGE('A3'!I36:J36)</f>
        <v>6.0294958101562743</v>
      </c>
      <c r="K11" s="738">
        <f>$G11*AVERAGE('A3'!J36:K36)</f>
        <v>6.0492348104565838</v>
      </c>
      <c r="L11" s="738">
        <f>$G11*AVERAGE('A3'!K36:L36)</f>
        <v>6.0690384311074386</v>
      </c>
      <c r="M11" s="738">
        <f>$G11*AVERAGE('A3'!L36:M36)</f>
        <v>6.0889068836590479</v>
      </c>
      <c r="N11" s="738">
        <f>$G11*AVERAGE('A3'!M36:N36)</f>
        <v>6.108840380354188</v>
      </c>
      <c r="O11" s="738">
        <f>$G11*AVERAGE('A3'!N36:O36)</f>
        <v>6.1288391341304562</v>
      </c>
      <c r="P11" s="738">
        <f>$G11*AVERAGE('A3'!O36:P36)</f>
        <v>6.1489033586225563</v>
      </c>
      <c r="Q11" s="738">
        <f>$G11*AVERAGE('A3'!P36:Q36)</f>
        <v>6.1690332681645756</v>
      </c>
      <c r="R11" s="738">
        <f>$G11*AVERAGE('A3'!Q36:R36)</f>
        <v>6.1892290777922749</v>
      </c>
      <c r="S11" s="738">
        <f>$G11*AVERAGE('A3'!R36:S36)</f>
        <v>6.2094910032453861</v>
      </c>
      <c r="T11" s="739">
        <f>$G11*AVERAGE('A3'!S36:T36)</f>
        <v>6.2298192609699168</v>
      </c>
      <c r="U11" s="738"/>
      <c r="V11" s="738">
        <f>AVERAGE(AH11,AH15)</f>
        <v>6.2634000000000025</v>
      </c>
      <c r="W11" s="738">
        <f t="shared" si="1"/>
        <v>6.3102000000000036</v>
      </c>
      <c r="X11" s="738">
        <f t="shared" si="1"/>
        <v>6.3570000000000029</v>
      </c>
      <c r="Y11" s="739">
        <f t="shared" si="1"/>
        <v>6.4038000000000039</v>
      </c>
      <c r="Z11" s="724"/>
      <c r="AA11" s="724">
        <f>AVERAGE(I11:T11)</f>
        <v>6.1200394881126572</v>
      </c>
      <c r="AB11" s="724">
        <f>AVERAGE(AH11:AI11)</f>
        <v>6.3336000000000023</v>
      </c>
      <c r="AC11" s="724">
        <f t="shared" si="2"/>
        <v>6.523608000000003</v>
      </c>
      <c r="AD11" s="724">
        <f t="shared" si="2"/>
        <v>6.719316240000003</v>
      </c>
      <c r="AE11" s="724">
        <f t="shared" si="2"/>
        <v>6.920895727200004</v>
      </c>
      <c r="AH11" s="832">
        <f>'A3'!H36*AVERAGE('A3'!T36)</f>
        <v>6.2400000000000029</v>
      </c>
      <c r="AI11" s="832">
        <f>AH11*(1+AO11)</f>
        <v>6.4272000000000027</v>
      </c>
      <c r="AJ11" s="832">
        <f>AI11*(1+AP11)</f>
        <v>6.6200160000000032</v>
      </c>
      <c r="AK11" s="832">
        <f>AJ11*(1+AQ11)</f>
        <v>6.8186164800000038</v>
      </c>
      <c r="AL11" s="832">
        <f>AK11*(1+AR11)</f>
        <v>7.0231749744000043</v>
      </c>
      <c r="AM11" s="173"/>
      <c r="AN11" s="173"/>
      <c r="AO11" s="77">
        <f>'A1'!H47</f>
        <v>0.03</v>
      </c>
      <c r="AP11" s="77">
        <f>'A1'!H48</f>
        <v>0.03</v>
      </c>
      <c r="AQ11" s="77">
        <f>'A1'!H49</f>
        <v>0.03</v>
      </c>
      <c r="AR11" s="77">
        <f>'A1'!H50</f>
        <v>0.03</v>
      </c>
    </row>
    <row r="12" spans="1:44" s="516" customFormat="1" x14ac:dyDescent="0.25">
      <c r="D12" s="516" t="s">
        <v>13</v>
      </c>
      <c r="G12" s="517"/>
      <c r="H12" s="517"/>
      <c r="I12" s="727">
        <f t="shared" ref="I12:T12" si="3">SUMPRODUCT(I10:I11,$G$10:$G$11)</f>
        <v>58.189876907367534</v>
      </c>
      <c r="J12" s="727">
        <f t="shared" si="3"/>
        <v>58.285126164843994</v>
      </c>
      <c r="K12" s="727">
        <f t="shared" si="3"/>
        <v>58.475936501080326</v>
      </c>
      <c r="L12" s="727">
        <f t="shared" si="3"/>
        <v>58.667371500705251</v>
      </c>
      <c r="M12" s="727">
        <f t="shared" si="3"/>
        <v>58.859433208704147</v>
      </c>
      <c r="N12" s="727">
        <f t="shared" si="3"/>
        <v>59.052123676757162</v>
      </c>
      <c r="O12" s="727">
        <f t="shared" si="3"/>
        <v>59.245444963261093</v>
      </c>
      <c r="P12" s="727">
        <f t="shared" si="3"/>
        <v>59.439399133351394</v>
      </c>
      <c r="Q12" s="727">
        <f t="shared" si="3"/>
        <v>59.633988258924241</v>
      </c>
      <c r="R12" s="727">
        <f t="shared" si="3"/>
        <v>59.829214418658673</v>
      </c>
      <c r="S12" s="727">
        <f t="shared" si="3"/>
        <v>60.025079698038752</v>
      </c>
      <c r="T12" s="740">
        <f t="shared" si="3"/>
        <v>60.221586189375877</v>
      </c>
      <c r="U12" s="727"/>
      <c r="V12" s="727">
        <f>SUMPRODUCT(V10:V11,$G$10:$G$11)</f>
        <v>60.546200000000042</v>
      </c>
      <c r="W12" s="727">
        <f>SUMPRODUCT(W10:W11,$G$10:$G$11)</f>
        <v>60.998600000000032</v>
      </c>
      <c r="X12" s="727">
        <f>SUMPRODUCT(X10:X11,$G$10:$G$11)</f>
        <v>61.451000000000036</v>
      </c>
      <c r="Y12" s="740">
        <f>SUMPRODUCT(Y10:Y11,$G$10:$G$11)</f>
        <v>61.903400000000033</v>
      </c>
      <c r="Z12" s="518"/>
      <c r="AA12" s="518">
        <f>SUMPRODUCT(AA10:AA11,$G$10:$G$11)</f>
        <v>59.160381718422364</v>
      </c>
      <c r="AB12" s="518">
        <f>SUMPRODUCT(AB10:AB11,$G$10:$G$11)</f>
        <v>61.224800000000037</v>
      </c>
      <c r="AC12" s="518">
        <f>SUMPRODUCT(AC10:AC11,$G$10:$G$11)</f>
        <v>63.061544000000033</v>
      </c>
      <c r="AD12" s="518">
        <f>SUMPRODUCT(AD10:AD11,$G$10:$G$11)</f>
        <v>64.95339032000004</v>
      </c>
      <c r="AE12" s="518">
        <f>SUMPRODUCT(AE10:AE11,$G$10:$G$11)</f>
        <v>66.901992029600038</v>
      </c>
      <c r="AH12" s="1357" t="s">
        <v>1060</v>
      </c>
      <c r="AI12" s="1358"/>
      <c r="AJ12" s="1358"/>
      <c r="AK12" s="1358"/>
      <c r="AL12" s="1359"/>
    </row>
    <row r="13" spans="1:44" x14ac:dyDescent="0.25">
      <c r="H13" s="173"/>
      <c r="I13" s="36"/>
      <c r="J13" s="36"/>
      <c r="K13" s="36"/>
      <c r="L13" s="36"/>
      <c r="M13" s="36"/>
      <c r="N13" s="36"/>
      <c r="O13" s="36"/>
      <c r="P13" s="36"/>
      <c r="Q13" s="36"/>
      <c r="R13" s="36"/>
      <c r="S13" s="36"/>
      <c r="T13" s="51"/>
      <c r="U13" s="36"/>
      <c r="V13" s="36"/>
      <c r="W13" s="36"/>
      <c r="X13" s="36"/>
      <c r="Y13" s="51"/>
      <c r="Z13" s="36"/>
      <c r="AA13" s="36"/>
      <c r="AB13" s="36"/>
      <c r="AC13" s="36"/>
      <c r="AD13" s="36"/>
      <c r="AE13" s="36"/>
      <c r="AH13" s="1360" t="str">
        <f>V7</f>
        <v>Y2Q1</v>
      </c>
      <c r="AI13" s="173" t="str">
        <f>W7</f>
        <v>Y2Q2</v>
      </c>
      <c r="AJ13" s="173" t="str">
        <f>X7</f>
        <v>Y2Q3</v>
      </c>
      <c r="AK13" s="173" t="str">
        <f>Y7</f>
        <v>Y2Q4</v>
      </c>
      <c r="AL13" s="1361" t="s">
        <v>1061</v>
      </c>
    </row>
    <row r="14" spans="1:44" x14ac:dyDescent="0.25">
      <c r="H14" s="173"/>
      <c r="I14" s="36"/>
      <c r="J14" s="36"/>
      <c r="K14" s="36"/>
      <c r="L14" s="36"/>
      <c r="M14" s="36"/>
      <c r="N14" s="36"/>
      <c r="O14" s="36"/>
      <c r="P14" s="36"/>
      <c r="Q14" s="36"/>
      <c r="R14" s="36"/>
      <c r="S14" s="36"/>
      <c r="T14" s="51"/>
      <c r="U14" s="36"/>
      <c r="V14" s="36"/>
      <c r="W14" s="36"/>
      <c r="X14" s="36"/>
      <c r="Y14" s="51"/>
      <c r="Z14" s="36"/>
      <c r="AA14" s="36"/>
      <c r="AB14" s="36"/>
      <c r="AC14" s="36"/>
      <c r="AD14" s="36"/>
      <c r="AE14" s="36"/>
      <c r="AH14" s="1471">
        <f>$AH10+($AI$10-$AH$10)/4</f>
        <v>54.485600000000034</v>
      </c>
      <c r="AI14" s="78">
        <f>AH14+($AI$10-$AH$10)/4</f>
        <v>54.891200000000033</v>
      </c>
      <c r="AJ14" s="78">
        <f>AI14+($AI$10-$AH$10)/4</f>
        <v>55.296800000000033</v>
      </c>
      <c r="AK14" s="78">
        <f>AJ14+($AI$10-$AH$10)/4</f>
        <v>55.702400000000033</v>
      </c>
      <c r="AL14" s="1363">
        <f>AI10-AK14</f>
        <v>0</v>
      </c>
    </row>
    <row r="15" spans="1:44" ht="15.75" x14ac:dyDescent="0.25">
      <c r="B15" s="513" t="s">
        <v>126</v>
      </c>
      <c r="H15" s="173"/>
      <c r="I15" s="36"/>
      <c r="J15" s="36"/>
      <c r="K15" s="36"/>
      <c r="L15" s="36"/>
      <c r="M15" s="36"/>
      <c r="N15" s="36"/>
      <c r="O15" s="36"/>
      <c r="P15" s="36"/>
      <c r="Q15" s="36"/>
      <c r="R15" s="36"/>
      <c r="S15" s="36"/>
      <c r="T15" s="51"/>
      <c r="U15" s="36"/>
      <c r="V15" s="36"/>
      <c r="W15" s="36"/>
      <c r="X15" s="36"/>
      <c r="Y15" s="51"/>
      <c r="Z15" s="36"/>
      <c r="AA15" s="36"/>
      <c r="AB15" s="36"/>
      <c r="AC15" s="36"/>
      <c r="AD15" s="36"/>
      <c r="AE15" s="36"/>
      <c r="AH15" s="178">
        <f>$AH11+($AI$11-$AH$11)/4</f>
        <v>6.2868000000000031</v>
      </c>
      <c r="AI15" s="46">
        <f>AH15+($AI$11-$AH$11)/4</f>
        <v>6.3336000000000032</v>
      </c>
      <c r="AJ15" s="46">
        <f>AI15+($AI$11-$AH$11)/4</f>
        <v>6.3804000000000034</v>
      </c>
      <c r="AK15" s="46">
        <f>AJ15+($AI$11-$AH$11)/4</f>
        <v>6.4272000000000036</v>
      </c>
      <c r="AL15" s="380"/>
    </row>
    <row r="16" spans="1:44" x14ac:dyDescent="0.25">
      <c r="I16" s="36"/>
      <c r="J16" s="36"/>
      <c r="K16" s="36"/>
      <c r="L16" s="36"/>
      <c r="M16" s="36"/>
      <c r="N16" s="36"/>
      <c r="O16" s="36"/>
      <c r="P16" s="36"/>
      <c r="Q16" s="36"/>
      <c r="R16" s="36"/>
      <c r="S16" s="36"/>
      <c r="T16" s="51"/>
      <c r="U16" s="36"/>
      <c r="V16" s="36"/>
      <c r="W16" s="36"/>
      <c r="X16" s="36"/>
      <c r="Y16" s="51"/>
      <c r="Z16" s="36"/>
      <c r="AA16" s="36"/>
      <c r="AB16" s="36"/>
      <c r="AC16" s="36"/>
      <c r="AD16" s="36"/>
      <c r="AE16" s="36"/>
      <c r="AH16" s="1" t="s">
        <v>99</v>
      </c>
      <c r="AI16" s="1" t="s">
        <v>100</v>
      </c>
      <c r="AJ16" s="1" t="s">
        <v>101</v>
      </c>
      <c r="AK16" s="1" t="s">
        <v>102</v>
      </c>
    </row>
    <row r="17" spans="2:39" x14ac:dyDescent="0.25">
      <c r="C17" s="82" t="str">
        <f>D11&amp; " Treatments"</f>
        <v>Home HD Treatments</v>
      </c>
      <c r="I17" s="13">
        <f>I$11*$AI17</f>
        <v>98.954473071149494</v>
      </c>
      <c r="J17" s="13">
        <f t="shared" ref="J17:T17" si="4">J$11*$AI17</f>
        <v>99.116448668709268</v>
      </c>
      <c r="K17" s="13">
        <f t="shared" si="4"/>
        <v>99.440930129786295</v>
      </c>
      <c r="L17" s="13">
        <f t="shared" si="4"/>
        <v>99.766473858731047</v>
      </c>
      <c r="M17" s="13">
        <f t="shared" si="4"/>
        <v>100.09308333313206</v>
      </c>
      <c r="N17" s="13">
        <f t="shared" si="4"/>
        <v>100.42076204196269</v>
      </c>
      <c r="O17" s="13">
        <f t="shared" si="4"/>
        <v>100.74951348561819</v>
      </c>
      <c r="P17" s="13">
        <f t="shared" si="4"/>
        <v>101.07934117595325</v>
      </c>
      <c r="Q17" s="13">
        <f t="shared" si="4"/>
        <v>101.41024863631942</v>
      </c>
      <c r="R17" s="13">
        <f t="shared" si="4"/>
        <v>101.74223940160283</v>
      </c>
      <c r="S17" s="13">
        <f t="shared" si="4"/>
        <v>102.07531701826186</v>
      </c>
      <c r="T17" s="14">
        <f t="shared" si="4"/>
        <v>102.40948504436511</v>
      </c>
      <c r="U17" s="13"/>
      <c r="V17" s="13">
        <f>V$11*$AJ17</f>
        <v>308.88451578947377</v>
      </c>
      <c r="W17" s="13">
        <f>W$11*$AJ17</f>
        <v>311.19249473684226</v>
      </c>
      <c r="X17" s="13">
        <f>X$11*$AJ17</f>
        <v>313.50047368421065</v>
      </c>
      <c r="Y17" s="14">
        <f>Y$11*$AJ17</f>
        <v>315.80845263157909</v>
      </c>
      <c r="Z17" s="13"/>
      <c r="AA17" s="13">
        <f>SUM(I17:T17)</f>
        <v>1207.2583158655914</v>
      </c>
      <c r="AB17" s="13">
        <f>SUM(V17:Y17)</f>
        <v>1249.3859368421058</v>
      </c>
      <c r="AC17" s="13">
        <f>AC$11*$AK17</f>
        <v>1286.8675149473688</v>
      </c>
      <c r="AD17" s="13">
        <f>AD$11*$AK17</f>
        <v>1325.47354039579</v>
      </c>
      <c r="AE17" s="13">
        <f>AE$11*$AK17</f>
        <v>1365.2377466076639</v>
      </c>
      <c r="AI17" s="728">
        <f>AL4</f>
        <v>16.438596491228068</v>
      </c>
      <c r="AJ17" s="729">
        <f>AI17*3</f>
        <v>49.315789473684205</v>
      </c>
      <c r="AK17" s="729">
        <f>AI17*12</f>
        <v>197.26315789473682</v>
      </c>
      <c r="AL17" s="173"/>
    </row>
    <row r="18" spans="2:39" x14ac:dyDescent="0.25">
      <c r="D18" s="81" t="str">
        <f>'C1'!D18</f>
        <v>Commercial</v>
      </c>
      <c r="E18" s="81"/>
      <c r="I18" s="13"/>
      <c r="J18" s="13"/>
      <c r="K18" s="13"/>
      <c r="L18" s="13"/>
      <c r="M18" s="13"/>
      <c r="N18" s="13"/>
      <c r="O18" s="13"/>
      <c r="P18" s="13"/>
      <c r="Q18" s="13"/>
      <c r="R18" s="13"/>
      <c r="S18" s="13"/>
      <c r="T18" s="14"/>
      <c r="U18" s="13"/>
      <c r="V18" s="13"/>
      <c r="W18" s="13"/>
      <c r="X18" s="13"/>
      <c r="Y18" s="14"/>
      <c r="Z18" s="13"/>
      <c r="AA18" s="13"/>
      <c r="AB18" s="13"/>
      <c r="AC18" s="13"/>
      <c r="AD18" s="13"/>
      <c r="AE18" s="13"/>
      <c r="AJ18" s="173"/>
      <c r="AK18" s="173"/>
      <c r="AL18" s="173"/>
    </row>
    <row r="19" spans="2:39" x14ac:dyDescent="0.25">
      <c r="D19" s="81"/>
      <c r="E19" s="81" t="str">
        <f>'C1'!E19</f>
        <v>Non-contracted</v>
      </c>
      <c r="G19" s="77">
        <f>AH19</f>
        <v>0</v>
      </c>
      <c r="H19" s="76"/>
      <c r="I19" s="13">
        <f t="shared" ref="I19:T19" si="5">I17*$G19</f>
        <v>0</v>
      </c>
      <c r="J19" s="13">
        <f t="shared" si="5"/>
        <v>0</v>
      </c>
      <c r="K19" s="13">
        <f t="shared" si="5"/>
        <v>0</v>
      </c>
      <c r="L19" s="13">
        <f t="shared" si="5"/>
        <v>0</v>
      </c>
      <c r="M19" s="13">
        <f t="shared" si="5"/>
        <v>0</v>
      </c>
      <c r="N19" s="13">
        <f t="shared" si="5"/>
        <v>0</v>
      </c>
      <c r="O19" s="13">
        <f t="shared" si="5"/>
        <v>0</v>
      </c>
      <c r="P19" s="13">
        <f t="shared" si="5"/>
        <v>0</v>
      </c>
      <c r="Q19" s="13">
        <f t="shared" si="5"/>
        <v>0</v>
      </c>
      <c r="R19" s="13">
        <f t="shared" si="5"/>
        <v>0</v>
      </c>
      <c r="S19" s="13">
        <f t="shared" si="5"/>
        <v>0</v>
      </c>
      <c r="T19" s="14">
        <f t="shared" si="5"/>
        <v>0</v>
      </c>
      <c r="U19" s="13"/>
      <c r="V19" s="13">
        <f>V17*$AI19</f>
        <v>0</v>
      </c>
      <c r="W19" s="13">
        <f>W17*$AI19</f>
        <v>0</v>
      </c>
      <c r="X19" s="13">
        <f>X17*$AI19</f>
        <v>0</v>
      </c>
      <c r="Y19" s="14">
        <f>Y17*$AI19</f>
        <v>0</v>
      </c>
      <c r="Z19" s="13"/>
      <c r="AA19" s="13">
        <f>SUM(I19:T19)</f>
        <v>0</v>
      </c>
      <c r="AB19" s="13">
        <f>SUM(V19:Y19)</f>
        <v>0</v>
      </c>
      <c r="AC19" s="13">
        <f>AC$17*AJ19</f>
        <v>0</v>
      </c>
      <c r="AD19" s="13">
        <f t="shared" ref="AD19:AE25" si="6">AD$17*AK19</f>
        <v>0</v>
      </c>
      <c r="AE19" s="13">
        <f t="shared" si="6"/>
        <v>0</v>
      </c>
      <c r="AH19" s="225">
        <f>'B2'!K40</f>
        <v>0</v>
      </c>
      <c r="AI19" s="225">
        <f>'B2'!L40</f>
        <v>0</v>
      </c>
      <c r="AJ19" s="225">
        <f>'B2'!M40</f>
        <v>0</v>
      </c>
      <c r="AK19" s="225">
        <f>'B2'!N40</f>
        <v>0</v>
      </c>
      <c r="AL19" s="225">
        <f>'B2'!O40</f>
        <v>0</v>
      </c>
    </row>
    <row r="20" spans="2:39" x14ac:dyDescent="0.25">
      <c r="D20" s="81"/>
      <c r="E20" s="81" t="str">
        <f>'C1'!E20</f>
        <v>Contracted</v>
      </c>
      <c r="G20" s="77">
        <f t="shared" ref="G20:G25" si="7">AH20</f>
        <v>0</v>
      </c>
      <c r="H20" s="76"/>
      <c r="I20" s="13">
        <f t="shared" ref="I20:T20" si="8">I17*$G20</f>
        <v>0</v>
      </c>
      <c r="J20" s="13">
        <f t="shared" si="8"/>
        <v>0</v>
      </c>
      <c r="K20" s="13">
        <f t="shared" si="8"/>
        <v>0</v>
      </c>
      <c r="L20" s="13">
        <f t="shared" si="8"/>
        <v>0</v>
      </c>
      <c r="M20" s="13">
        <f t="shared" si="8"/>
        <v>0</v>
      </c>
      <c r="N20" s="13">
        <f t="shared" si="8"/>
        <v>0</v>
      </c>
      <c r="O20" s="13">
        <f t="shared" si="8"/>
        <v>0</v>
      </c>
      <c r="P20" s="13">
        <f t="shared" si="8"/>
        <v>0</v>
      </c>
      <c r="Q20" s="13">
        <f t="shared" si="8"/>
        <v>0</v>
      </c>
      <c r="R20" s="13">
        <f t="shared" si="8"/>
        <v>0</v>
      </c>
      <c r="S20" s="13">
        <f t="shared" si="8"/>
        <v>0</v>
      </c>
      <c r="T20" s="14">
        <f t="shared" si="8"/>
        <v>0</v>
      </c>
      <c r="U20" s="13"/>
      <c r="V20" s="13">
        <f>V17*$AI20</f>
        <v>0</v>
      </c>
      <c r="W20" s="13">
        <f>W17*$AI20</f>
        <v>0</v>
      </c>
      <c r="X20" s="13">
        <f>X17*$AI20</f>
        <v>0</v>
      </c>
      <c r="Y20" s="14">
        <f>Y17*$AI20</f>
        <v>0</v>
      </c>
      <c r="Z20" s="13"/>
      <c r="AA20" s="13">
        <f t="shared" ref="AA20:AA25" si="9">SUM(I20:T20)</f>
        <v>0</v>
      </c>
      <c r="AB20" s="13">
        <f t="shared" ref="AB20:AB25" si="10">SUM(V20:Y20)</f>
        <v>0</v>
      </c>
      <c r="AC20" s="13">
        <f t="shared" ref="AC20:AC25" si="11">AC$17*AJ20</f>
        <v>0</v>
      </c>
      <c r="AD20" s="13">
        <f t="shared" si="6"/>
        <v>0</v>
      </c>
      <c r="AE20" s="13">
        <f t="shared" si="6"/>
        <v>0</v>
      </c>
      <c r="AH20" s="225">
        <f>'B2'!K41</f>
        <v>0</v>
      </c>
      <c r="AI20" s="225">
        <f>'B2'!L41</f>
        <v>0</v>
      </c>
      <c r="AJ20" s="225">
        <f>'B2'!M41</f>
        <v>0</v>
      </c>
      <c r="AK20" s="225">
        <f>'B2'!N41</f>
        <v>0</v>
      </c>
      <c r="AL20" s="225">
        <f>'B2'!O41</f>
        <v>0</v>
      </c>
    </row>
    <row r="21" spans="2:39" x14ac:dyDescent="0.25">
      <c r="D21" s="81"/>
      <c r="E21" s="81" t="str">
        <f>'C1'!E21</f>
        <v>KP</v>
      </c>
      <c r="G21" s="77">
        <f t="shared" si="7"/>
        <v>1.6008537886872998E-2</v>
      </c>
      <c r="H21" s="76"/>
      <c r="I21" s="13">
        <f t="shared" ref="I21:T21" si="12">I17*$G21</f>
        <v>1.5841164312350506</v>
      </c>
      <c r="J21" s="13">
        <f t="shared" si="12"/>
        <v>1.586709423725335</v>
      </c>
      <c r="K21" s="13">
        <f t="shared" si="12"/>
        <v>1.5919038974885746</v>
      </c>
      <c r="L21" s="13">
        <f t="shared" si="12"/>
        <v>1.5971153766072206</v>
      </c>
      <c r="M21" s="13">
        <f t="shared" si="12"/>
        <v>1.6023439167523807</v>
      </c>
      <c r="N21" s="13">
        <f t="shared" si="12"/>
        <v>1.6075895737774175</v>
      </c>
      <c r="O21" s="13">
        <f t="shared" si="12"/>
        <v>1.612852403718541</v>
      </c>
      <c r="P21" s="13">
        <f t="shared" si="12"/>
        <v>1.6181324627954095</v>
      </c>
      <c r="Q21" s="13">
        <f t="shared" si="12"/>
        <v>1.6234298074117304</v>
      </c>
      <c r="R21" s="13">
        <f t="shared" si="12"/>
        <v>1.6287444941558618</v>
      </c>
      <c r="S21" s="13">
        <f t="shared" si="12"/>
        <v>1.634076579801417</v>
      </c>
      <c r="T21" s="14">
        <f t="shared" si="12"/>
        <v>1.6394261213078727</v>
      </c>
      <c r="U21" s="13"/>
      <c r="V21" s="13">
        <f>V17*$AI21</f>
        <v>4.944789473684212</v>
      </c>
      <c r="W21" s="13">
        <f>W17*$AI21</f>
        <v>4.9817368421052652</v>
      </c>
      <c r="X21" s="13">
        <f>X17*$AI21</f>
        <v>5.0186842105263176</v>
      </c>
      <c r="Y21" s="14">
        <f>Y17*$AI21</f>
        <v>5.0556315789473709</v>
      </c>
      <c r="Z21" s="13"/>
      <c r="AA21" s="13">
        <f t="shared" si="9"/>
        <v>19.326440488776811</v>
      </c>
      <c r="AB21" s="13">
        <f t="shared" si="10"/>
        <v>20.000842105263164</v>
      </c>
      <c r="AC21" s="13">
        <f t="shared" si="11"/>
        <v>20.60086736842106</v>
      </c>
      <c r="AD21" s="13">
        <f t="shared" si="6"/>
        <v>21.218893389473692</v>
      </c>
      <c r="AE21" s="13">
        <f t="shared" si="6"/>
        <v>21.855460191157906</v>
      </c>
      <c r="AH21" s="225">
        <f>'B2'!K42</f>
        <v>1.6008537886872998E-2</v>
      </c>
      <c r="AI21" s="225">
        <f>'B2'!L42</f>
        <v>1.6008537886872998E-2</v>
      </c>
      <c r="AJ21" s="225">
        <f>'B2'!M42</f>
        <v>1.6008537886872998E-2</v>
      </c>
      <c r="AK21" s="225">
        <f>'B2'!N42</f>
        <v>1.6008537886872998E-2</v>
      </c>
      <c r="AL21" s="225">
        <f>'B2'!O42</f>
        <v>1.6008537886872998E-2</v>
      </c>
    </row>
    <row r="22" spans="2:39" x14ac:dyDescent="0.25">
      <c r="D22" s="81" t="str">
        <f>'C1'!D22</f>
        <v>Medicare</v>
      </c>
      <c r="E22" s="81"/>
      <c r="G22" s="77">
        <f t="shared" si="7"/>
        <v>0.96584845250800422</v>
      </c>
      <c r="H22" s="76"/>
      <c r="I22" s="13">
        <f t="shared" ref="I22:T22" si="13">I17*$G22</f>
        <v>95.575024684514716</v>
      </c>
      <c r="J22" s="13">
        <f t="shared" si="13"/>
        <v>95.731468564761883</v>
      </c>
      <c r="K22" s="13">
        <f t="shared" si="13"/>
        <v>96.044868481810667</v>
      </c>
      <c r="L22" s="13">
        <f t="shared" si="13"/>
        <v>96.359294388635632</v>
      </c>
      <c r="M22" s="13">
        <f t="shared" si="13"/>
        <v>96.674749644060313</v>
      </c>
      <c r="N22" s="13">
        <f t="shared" si="13"/>
        <v>96.99123761790419</v>
      </c>
      <c r="O22" s="13">
        <f t="shared" si="13"/>
        <v>97.308761691018631</v>
      </c>
      <c r="P22" s="13">
        <f t="shared" si="13"/>
        <v>97.627325255323029</v>
      </c>
      <c r="Q22" s="13">
        <f t="shared" si="13"/>
        <v>97.946931713841053</v>
      </c>
      <c r="R22" s="13">
        <f t="shared" si="13"/>
        <v>98.267584480736986</v>
      </c>
      <c r="S22" s="13">
        <f t="shared" si="13"/>
        <v>98.58928698135216</v>
      </c>
      <c r="T22" s="14">
        <f t="shared" si="13"/>
        <v>98.912042652241652</v>
      </c>
      <c r="U22" s="13"/>
      <c r="V22" s="13">
        <f>V17*$AI22</f>
        <v>298.33563157894741</v>
      </c>
      <c r="W22" s="13">
        <f>W17*$AI22</f>
        <v>300.56478947368436</v>
      </c>
      <c r="X22" s="13">
        <f>X17*$AI22</f>
        <v>302.79394736842113</v>
      </c>
      <c r="Y22" s="14">
        <f>Y17*$AI22</f>
        <v>305.02310526315802</v>
      </c>
      <c r="Z22" s="13"/>
      <c r="AA22" s="13">
        <f t="shared" si="9"/>
        <v>1166.0285761562009</v>
      </c>
      <c r="AB22" s="13">
        <f t="shared" si="10"/>
        <v>1206.717473684211</v>
      </c>
      <c r="AC22" s="13">
        <f t="shared" si="11"/>
        <v>1242.9189978947372</v>
      </c>
      <c r="AD22" s="13">
        <f t="shared" si="6"/>
        <v>1280.2065678315794</v>
      </c>
      <c r="AE22" s="13">
        <f t="shared" si="6"/>
        <v>1318.612764866527</v>
      </c>
      <c r="AH22" s="225">
        <f>'B2'!K43</f>
        <v>0.96584845250800422</v>
      </c>
      <c r="AI22" s="225">
        <f>'B2'!L43</f>
        <v>0.96584845250800422</v>
      </c>
      <c r="AJ22" s="225">
        <f>'B2'!M43</f>
        <v>0.96584845250800422</v>
      </c>
      <c r="AK22" s="225">
        <f>'B2'!N43</f>
        <v>0.96584845250800422</v>
      </c>
      <c r="AL22" s="225">
        <f>'B2'!O43</f>
        <v>0.96584845250800422</v>
      </c>
    </row>
    <row r="23" spans="2:39" x14ac:dyDescent="0.25">
      <c r="D23" s="81" t="str">
        <f>'C1'!D23</f>
        <v>Medicaid</v>
      </c>
      <c r="E23" s="81"/>
      <c r="G23" s="77">
        <f t="shared" si="7"/>
        <v>1.8143009605122731E-2</v>
      </c>
      <c r="H23" s="76"/>
      <c r="I23" s="13">
        <f t="shared" ref="I23:T23" si="14">I17*$G23</f>
        <v>1.795331955399724</v>
      </c>
      <c r="J23" s="13">
        <f t="shared" si="14"/>
        <v>1.7982706802220465</v>
      </c>
      <c r="K23" s="13">
        <f t="shared" si="14"/>
        <v>1.8041577504870512</v>
      </c>
      <c r="L23" s="13">
        <f t="shared" si="14"/>
        <v>1.8100640934881833</v>
      </c>
      <c r="M23" s="13">
        <f t="shared" si="14"/>
        <v>1.815989772319365</v>
      </c>
      <c r="N23" s="13">
        <f t="shared" si="14"/>
        <v>1.8219348502810733</v>
      </c>
      <c r="O23" s="13">
        <f t="shared" si="14"/>
        <v>1.8278993908810131</v>
      </c>
      <c r="P23" s="13">
        <f t="shared" si="14"/>
        <v>1.8338834578347973</v>
      </c>
      <c r="Q23" s="13">
        <f t="shared" si="14"/>
        <v>1.8398871150666276</v>
      </c>
      <c r="R23" s="13">
        <f t="shared" si="14"/>
        <v>1.8459104267099766</v>
      </c>
      <c r="S23" s="13">
        <f t="shared" si="14"/>
        <v>1.8519534571082727</v>
      </c>
      <c r="T23" s="14">
        <f t="shared" si="14"/>
        <v>1.858016270815589</v>
      </c>
      <c r="U23" s="13"/>
      <c r="V23" s="13">
        <f>V17*$AI23</f>
        <v>5.6040947368421064</v>
      </c>
      <c r="W23" s="13">
        <f>W17*$AI23</f>
        <v>5.6459684210526344</v>
      </c>
      <c r="X23" s="13">
        <f>X17*$AI23</f>
        <v>5.6878421052631598</v>
      </c>
      <c r="Y23" s="14">
        <f>Y17*$AI23</f>
        <v>5.7297157894736861</v>
      </c>
      <c r="Z23" s="13"/>
      <c r="AA23" s="13">
        <f t="shared" si="9"/>
        <v>21.903299220613722</v>
      </c>
      <c r="AB23" s="13">
        <f t="shared" si="10"/>
        <v>22.667621052631588</v>
      </c>
      <c r="AC23" s="13">
        <f t="shared" si="11"/>
        <v>23.347649684210534</v>
      </c>
      <c r="AD23" s="13">
        <f t="shared" si="6"/>
        <v>24.048079174736852</v>
      </c>
      <c r="AE23" s="13">
        <f t="shared" si="6"/>
        <v>24.769521549978961</v>
      </c>
      <c r="AH23" s="225">
        <f>'B2'!K44</f>
        <v>1.8143009605122731E-2</v>
      </c>
      <c r="AI23" s="225">
        <f>'B2'!L44</f>
        <v>1.8143009605122731E-2</v>
      </c>
      <c r="AJ23" s="225">
        <f>'B2'!M44</f>
        <v>1.8143009605122731E-2</v>
      </c>
      <c r="AK23" s="225">
        <f>'B2'!N44</f>
        <v>1.8143009605122731E-2</v>
      </c>
      <c r="AL23" s="225">
        <f>'B2'!O44</f>
        <v>1.8143009605122731E-2</v>
      </c>
    </row>
    <row r="24" spans="2:39" x14ac:dyDescent="0.25">
      <c r="D24" s="81" t="str">
        <f>'C1'!D24</f>
        <v>Other</v>
      </c>
      <c r="E24" s="81"/>
      <c r="G24" s="77">
        <f t="shared" si="7"/>
        <v>0</v>
      </c>
      <c r="H24" s="76"/>
      <c r="I24" s="13">
        <f t="shared" ref="I24:T24" si="15">I17*$G24</f>
        <v>0</v>
      </c>
      <c r="J24" s="13">
        <f t="shared" si="15"/>
        <v>0</v>
      </c>
      <c r="K24" s="13">
        <f t="shared" si="15"/>
        <v>0</v>
      </c>
      <c r="L24" s="13">
        <f t="shared" si="15"/>
        <v>0</v>
      </c>
      <c r="M24" s="13">
        <f t="shared" si="15"/>
        <v>0</v>
      </c>
      <c r="N24" s="13">
        <f t="shared" si="15"/>
        <v>0</v>
      </c>
      <c r="O24" s="13">
        <f t="shared" si="15"/>
        <v>0</v>
      </c>
      <c r="P24" s="13">
        <f t="shared" si="15"/>
        <v>0</v>
      </c>
      <c r="Q24" s="13">
        <f t="shared" si="15"/>
        <v>0</v>
      </c>
      <c r="R24" s="13">
        <f t="shared" si="15"/>
        <v>0</v>
      </c>
      <c r="S24" s="13">
        <f t="shared" si="15"/>
        <v>0</v>
      </c>
      <c r="T24" s="14">
        <f t="shared" si="15"/>
        <v>0</v>
      </c>
      <c r="U24" s="13"/>
      <c r="V24" s="13">
        <f>V17*$AI24</f>
        <v>0</v>
      </c>
      <c r="W24" s="13">
        <f>W17*$AI24</f>
        <v>0</v>
      </c>
      <c r="X24" s="13">
        <f>X17*$AI24</f>
        <v>0</v>
      </c>
      <c r="Y24" s="14">
        <f>Y17*$AI24</f>
        <v>0</v>
      </c>
      <c r="Z24" s="13"/>
      <c r="AA24" s="13">
        <f t="shared" si="9"/>
        <v>0</v>
      </c>
      <c r="AB24" s="13">
        <f t="shared" si="10"/>
        <v>0</v>
      </c>
      <c r="AC24" s="13">
        <f t="shared" si="11"/>
        <v>0</v>
      </c>
      <c r="AD24" s="13">
        <f t="shared" si="6"/>
        <v>0</v>
      </c>
      <c r="AE24" s="13">
        <f t="shared" si="6"/>
        <v>0</v>
      </c>
      <c r="AH24" s="225">
        <f>'B2'!K45</f>
        <v>0</v>
      </c>
      <c r="AI24" s="225">
        <f>'B2'!L45</f>
        <v>0</v>
      </c>
      <c r="AJ24" s="225">
        <f>'B2'!M45</f>
        <v>0</v>
      </c>
      <c r="AK24" s="225">
        <f>'B2'!N45</f>
        <v>0</v>
      </c>
      <c r="AL24" s="225">
        <f>'B2'!O45</f>
        <v>0</v>
      </c>
    </row>
    <row r="25" spans="2:39" ht="17.25" x14ac:dyDescent="0.4">
      <c r="D25" s="81" t="str">
        <f>'C1'!D25</f>
        <v>AKI</v>
      </c>
      <c r="E25" s="81"/>
      <c r="G25" s="77">
        <f t="shared" si="7"/>
        <v>0</v>
      </c>
      <c r="H25" s="76"/>
      <c r="I25" s="731">
        <f t="shared" ref="I25:T25" si="16">I17*$G25</f>
        <v>0</v>
      </c>
      <c r="J25" s="731">
        <f t="shared" si="16"/>
        <v>0</v>
      </c>
      <c r="K25" s="731">
        <f t="shared" si="16"/>
        <v>0</v>
      </c>
      <c r="L25" s="731">
        <f t="shared" si="16"/>
        <v>0</v>
      </c>
      <c r="M25" s="731">
        <f t="shared" si="16"/>
        <v>0</v>
      </c>
      <c r="N25" s="731">
        <f t="shared" si="16"/>
        <v>0</v>
      </c>
      <c r="O25" s="731">
        <f t="shared" si="16"/>
        <v>0</v>
      </c>
      <c r="P25" s="731">
        <f t="shared" si="16"/>
        <v>0</v>
      </c>
      <c r="Q25" s="731">
        <f t="shared" si="16"/>
        <v>0</v>
      </c>
      <c r="R25" s="731">
        <f t="shared" si="16"/>
        <v>0</v>
      </c>
      <c r="S25" s="731">
        <f t="shared" si="16"/>
        <v>0</v>
      </c>
      <c r="T25" s="732">
        <f t="shared" si="16"/>
        <v>0</v>
      </c>
      <c r="U25" s="13"/>
      <c r="V25" s="731">
        <f>V17*$AI25</f>
        <v>0</v>
      </c>
      <c r="W25" s="731">
        <f>W17*$AI25</f>
        <v>0</v>
      </c>
      <c r="X25" s="731">
        <f>X17*$AI25</f>
        <v>0</v>
      </c>
      <c r="Y25" s="732">
        <f>Y17*$AI25</f>
        <v>0</v>
      </c>
      <c r="Z25" s="731"/>
      <c r="AA25" s="558">
        <f t="shared" si="9"/>
        <v>0</v>
      </c>
      <c r="AB25" s="558">
        <f t="shared" si="10"/>
        <v>0</v>
      </c>
      <c r="AC25" s="558">
        <f t="shared" si="11"/>
        <v>0</v>
      </c>
      <c r="AD25" s="558">
        <f t="shared" si="6"/>
        <v>0</v>
      </c>
      <c r="AE25" s="558">
        <f t="shared" si="6"/>
        <v>0</v>
      </c>
      <c r="AH25" s="225">
        <f>'B2'!K46</f>
        <v>0</v>
      </c>
      <c r="AI25" s="225">
        <f>'B2'!L46</f>
        <v>0</v>
      </c>
      <c r="AJ25" s="225">
        <f>'B2'!M46</f>
        <v>0</v>
      </c>
      <c r="AK25" s="225">
        <f>'B2'!N46</f>
        <v>0</v>
      </c>
      <c r="AL25" s="225">
        <f>'B2'!O46</f>
        <v>0</v>
      </c>
    </row>
    <row r="26" spans="2:39" x14ac:dyDescent="0.25">
      <c r="D26" s="81"/>
      <c r="E26" s="81"/>
      <c r="I26" s="13">
        <f t="shared" ref="I26:T26" si="17">SUM(I19:I25)</f>
        <v>98.954473071149479</v>
      </c>
      <c r="J26" s="13">
        <f t="shared" si="17"/>
        <v>99.116448668709268</v>
      </c>
      <c r="K26" s="13">
        <f t="shared" si="17"/>
        <v>99.440930129786295</v>
      </c>
      <c r="L26" s="13">
        <f t="shared" si="17"/>
        <v>99.766473858731032</v>
      </c>
      <c r="M26" s="13">
        <f t="shared" si="17"/>
        <v>100.09308333313206</v>
      </c>
      <c r="N26" s="13">
        <f t="shared" si="17"/>
        <v>100.42076204196267</v>
      </c>
      <c r="O26" s="13">
        <f t="shared" si="17"/>
        <v>100.74951348561818</v>
      </c>
      <c r="P26" s="13">
        <f t="shared" si="17"/>
        <v>101.07934117595325</v>
      </c>
      <c r="Q26" s="13">
        <f t="shared" si="17"/>
        <v>101.41024863631941</v>
      </c>
      <c r="R26" s="13">
        <f t="shared" si="17"/>
        <v>101.74223940160283</v>
      </c>
      <c r="S26" s="13">
        <f t="shared" si="17"/>
        <v>102.07531701826184</v>
      </c>
      <c r="T26" s="14">
        <f t="shared" si="17"/>
        <v>102.40948504436511</v>
      </c>
      <c r="U26" s="13"/>
      <c r="V26" s="13">
        <f>SUM(V19:V25)</f>
        <v>308.88451578947377</v>
      </c>
      <c r="W26" s="13">
        <f>SUM(W19:W25)</f>
        <v>311.19249473684226</v>
      </c>
      <c r="X26" s="13">
        <f>SUM(X19:X25)</f>
        <v>313.50047368421059</v>
      </c>
      <c r="Y26" s="14">
        <f>SUM(Y19:Y25)</f>
        <v>315.80845263157909</v>
      </c>
      <c r="Z26" s="13"/>
      <c r="AA26" s="13">
        <f>SUM(AA19:AA25)</f>
        <v>1207.2583158655914</v>
      </c>
      <c r="AB26" s="13">
        <f>SUM(AB19:AB25)</f>
        <v>1249.3859368421058</v>
      </c>
      <c r="AC26" s="13">
        <f>SUM(AC19:AC25)</f>
        <v>1286.8675149473688</v>
      </c>
      <c r="AD26" s="13">
        <f>SUM(AD19:AD25)</f>
        <v>1325.4735403957898</v>
      </c>
      <c r="AE26" s="13">
        <f>SUM(AE19:AE25)</f>
        <v>1365.2377466076637</v>
      </c>
    </row>
    <row r="27" spans="2:39" x14ac:dyDescent="0.25">
      <c r="I27" s="36"/>
      <c r="J27" s="36"/>
      <c r="K27" s="36"/>
      <c r="L27" s="36"/>
      <c r="M27" s="36"/>
      <c r="N27" s="36"/>
      <c r="O27" s="36"/>
      <c r="P27" s="36"/>
      <c r="Q27" s="36"/>
      <c r="R27" s="36"/>
      <c r="S27" s="36"/>
      <c r="T27" s="51"/>
      <c r="U27" s="36"/>
      <c r="V27" s="36"/>
      <c r="W27" s="36"/>
      <c r="X27" s="36"/>
      <c r="Y27" s="51"/>
      <c r="Z27" s="36"/>
      <c r="AA27" s="36"/>
      <c r="AB27" s="36"/>
      <c r="AC27" s="36"/>
      <c r="AD27" s="36"/>
      <c r="AE27" s="36"/>
      <c r="AF27" s="1" t="s">
        <v>1185</v>
      </c>
      <c r="AH27" s="56">
        <f>AH10+AH11</f>
        <v>60.320000000000036</v>
      </c>
      <c r="AI27" s="56">
        <f>AI10+AI11</f>
        <v>62.129600000000039</v>
      </c>
      <c r="AJ27" s="56">
        <f>AJ10+AJ11</f>
        <v>63.993488000000042</v>
      </c>
      <c r="AK27" s="56">
        <f>AK10+AK11</f>
        <v>65.913292640000037</v>
      </c>
      <c r="AL27" s="56">
        <f>AL10+AL11</f>
        <v>67.890691419200039</v>
      </c>
    </row>
    <row r="28" spans="2:39" x14ac:dyDescent="0.25">
      <c r="I28" s="36"/>
      <c r="J28" s="36"/>
      <c r="K28" s="36"/>
      <c r="L28" s="36"/>
      <c r="M28" s="36"/>
      <c r="N28" s="36"/>
      <c r="O28" s="36"/>
      <c r="P28" s="36"/>
      <c r="Q28" s="36"/>
      <c r="R28" s="36"/>
      <c r="S28" s="36"/>
      <c r="T28" s="51"/>
      <c r="U28" s="36"/>
      <c r="V28" s="36"/>
      <c r="W28" s="36"/>
      <c r="X28" s="36"/>
      <c r="Y28" s="51"/>
      <c r="Z28" s="36"/>
      <c r="AA28" s="36"/>
      <c r="AB28" s="36"/>
      <c r="AC28" s="36"/>
      <c r="AD28" s="36"/>
      <c r="AE28" s="36"/>
    </row>
    <row r="29" spans="2:39" ht="18" x14ac:dyDescent="0.4">
      <c r="B29" s="513" t="s">
        <v>104</v>
      </c>
      <c r="G29" s="1"/>
      <c r="T29" s="188"/>
      <c r="Y29" s="188"/>
      <c r="AA29" s="558"/>
      <c r="AB29" s="558"/>
    </row>
    <row r="30" spans="2:39" x14ac:dyDescent="0.25">
      <c r="D30" s="81" t="str">
        <f>D18</f>
        <v>Commercial</v>
      </c>
      <c r="E30" s="81"/>
      <c r="I30" s="36"/>
      <c r="J30" s="36"/>
      <c r="K30" s="36"/>
      <c r="L30" s="36"/>
      <c r="M30" s="36"/>
      <c r="N30" s="36"/>
      <c r="O30" s="36"/>
      <c r="P30" s="36"/>
      <c r="Q30" s="36"/>
      <c r="R30" s="36"/>
      <c r="S30" s="36"/>
      <c r="T30" s="51"/>
      <c r="U30" s="36"/>
      <c r="V30" s="36"/>
      <c r="W30" s="36"/>
      <c r="X30" s="36"/>
      <c r="Y30" s="51"/>
      <c r="Z30" s="36"/>
      <c r="AA30" s="36"/>
      <c r="AB30" s="36"/>
      <c r="AC30" s="36"/>
      <c r="AD30" s="36"/>
      <c r="AE30" s="36"/>
      <c r="AI30" s="722">
        <f>AI9</f>
        <v>2</v>
      </c>
      <c r="AJ30" s="722">
        <f>AJ9</f>
        <v>3</v>
      </c>
      <c r="AK30" s="722">
        <f>AK9</f>
        <v>4</v>
      </c>
      <c r="AL30" s="722">
        <f>AL9</f>
        <v>5</v>
      </c>
      <c r="AM30" s="722"/>
    </row>
    <row r="31" spans="2:39" x14ac:dyDescent="0.25">
      <c r="D31" s="81"/>
      <c r="E31" s="81" t="str">
        <f>E19</f>
        <v>Non-contracted</v>
      </c>
      <c r="G31" s="371">
        <f>'A1'!AJ18</f>
        <v>0</v>
      </c>
      <c r="H31" s="76"/>
      <c r="I31" s="13">
        <f t="shared" ref="I31:T31" si="18">I19*$G31/1000</f>
        <v>0</v>
      </c>
      <c r="J31" s="13">
        <f t="shared" si="18"/>
        <v>0</v>
      </c>
      <c r="K31" s="13">
        <f t="shared" si="18"/>
        <v>0</v>
      </c>
      <c r="L31" s="13">
        <f t="shared" si="18"/>
        <v>0</v>
      </c>
      <c r="M31" s="13">
        <f t="shared" si="18"/>
        <v>0</v>
      </c>
      <c r="N31" s="13">
        <f t="shared" si="18"/>
        <v>0</v>
      </c>
      <c r="O31" s="13">
        <f t="shared" si="18"/>
        <v>0</v>
      </c>
      <c r="P31" s="13">
        <f t="shared" si="18"/>
        <v>0</v>
      </c>
      <c r="Q31" s="13">
        <f t="shared" si="18"/>
        <v>0</v>
      </c>
      <c r="R31" s="13">
        <f t="shared" si="18"/>
        <v>0</v>
      </c>
      <c r="S31" s="13">
        <f t="shared" si="18"/>
        <v>0</v>
      </c>
      <c r="T31" s="14">
        <f t="shared" si="18"/>
        <v>0</v>
      </c>
      <c r="U31" s="13"/>
      <c r="V31" s="13">
        <f t="shared" ref="V31:Y37" si="19">V19*$AI31/1000</f>
        <v>0</v>
      </c>
      <c r="W31" s="13">
        <f t="shared" si="19"/>
        <v>0</v>
      </c>
      <c r="X31" s="13">
        <f t="shared" si="19"/>
        <v>0</v>
      </c>
      <c r="Y31" s="14">
        <f t="shared" si="19"/>
        <v>0</v>
      </c>
      <c r="Z31" s="13"/>
      <c r="AA31" s="13">
        <f>SUM(I31:T31)</f>
        <v>0</v>
      </c>
      <c r="AB31" s="13">
        <f>SUM(V31:Y31)</f>
        <v>0</v>
      </c>
      <c r="AC31" s="13">
        <f t="shared" ref="AC31:AE37" si="20">AC19*AJ31/1000</f>
        <v>0</v>
      </c>
      <c r="AD31" s="13">
        <f t="shared" si="20"/>
        <v>0</v>
      </c>
      <c r="AE31" s="13">
        <f t="shared" si="20"/>
        <v>0</v>
      </c>
      <c r="AG31" s="76">
        <f>'A1'!I26</f>
        <v>0.01</v>
      </c>
      <c r="AI31" s="729">
        <f t="shared" ref="AI31:AI37" si="21">G31*(1+AG31)</f>
        <v>0</v>
      </c>
      <c r="AJ31" s="729">
        <f t="shared" ref="AJ31:AL37" si="22">AI31*(1+$AG31)</f>
        <v>0</v>
      </c>
      <c r="AK31" s="729">
        <f t="shared" si="22"/>
        <v>0</v>
      </c>
      <c r="AL31" s="729">
        <f t="shared" si="22"/>
        <v>0</v>
      </c>
    </row>
    <row r="32" spans="2:39" x14ac:dyDescent="0.25">
      <c r="D32" s="81"/>
      <c r="E32" s="81" t="str">
        <f>E20</f>
        <v>Contracted</v>
      </c>
      <c r="G32" s="371">
        <f>'A1'!AJ19</f>
        <v>0</v>
      </c>
      <c r="H32" s="76"/>
      <c r="I32" s="13">
        <f t="shared" ref="I32:T32" si="23">I20*$G32/1000</f>
        <v>0</v>
      </c>
      <c r="J32" s="13">
        <f t="shared" si="23"/>
        <v>0</v>
      </c>
      <c r="K32" s="13">
        <f t="shared" si="23"/>
        <v>0</v>
      </c>
      <c r="L32" s="13">
        <f t="shared" si="23"/>
        <v>0</v>
      </c>
      <c r="M32" s="13">
        <f t="shared" si="23"/>
        <v>0</v>
      </c>
      <c r="N32" s="13">
        <f t="shared" si="23"/>
        <v>0</v>
      </c>
      <c r="O32" s="13">
        <f t="shared" si="23"/>
        <v>0</v>
      </c>
      <c r="P32" s="13">
        <f t="shared" si="23"/>
        <v>0</v>
      </c>
      <c r="Q32" s="13">
        <f t="shared" si="23"/>
        <v>0</v>
      </c>
      <c r="R32" s="13">
        <f t="shared" si="23"/>
        <v>0</v>
      </c>
      <c r="S32" s="13">
        <f t="shared" si="23"/>
        <v>0</v>
      </c>
      <c r="T32" s="14">
        <f t="shared" si="23"/>
        <v>0</v>
      </c>
      <c r="U32" s="13"/>
      <c r="V32" s="13">
        <f t="shared" si="19"/>
        <v>0</v>
      </c>
      <c r="W32" s="13">
        <f t="shared" si="19"/>
        <v>0</v>
      </c>
      <c r="X32" s="13">
        <f t="shared" si="19"/>
        <v>0</v>
      </c>
      <c r="Y32" s="14">
        <f t="shared" si="19"/>
        <v>0</v>
      </c>
      <c r="Z32" s="13"/>
      <c r="AA32" s="13">
        <f t="shared" ref="AA32:AA37" si="24">SUM(I32:T32)</f>
        <v>0</v>
      </c>
      <c r="AB32" s="13">
        <f t="shared" ref="AB32:AB37" si="25">SUM(V32:Y32)</f>
        <v>0</v>
      </c>
      <c r="AC32" s="13">
        <f t="shared" si="20"/>
        <v>0</v>
      </c>
      <c r="AD32" s="13">
        <f t="shared" si="20"/>
        <v>0</v>
      </c>
      <c r="AE32" s="13">
        <f t="shared" si="20"/>
        <v>0</v>
      </c>
      <c r="AG32" s="76">
        <f>'A1'!I27</f>
        <v>0.01</v>
      </c>
      <c r="AI32" s="729">
        <f t="shared" si="21"/>
        <v>0</v>
      </c>
      <c r="AJ32" s="729">
        <f t="shared" si="22"/>
        <v>0</v>
      </c>
      <c r="AK32" s="729">
        <f t="shared" si="22"/>
        <v>0</v>
      </c>
      <c r="AL32" s="729">
        <f t="shared" si="22"/>
        <v>0</v>
      </c>
    </row>
    <row r="33" spans="3:44" x14ac:dyDescent="0.25">
      <c r="D33" s="81"/>
      <c r="E33" s="81" t="str">
        <f>E21</f>
        <v>KP</v>
      </c>
      <c r="G33" s="371">
        <f>'A1'!AJ20</f>
        <v>350.22677999999996</v>
      </c>
      <c r="H33" s="76"/>
      <c r="I33" s="13">
        <f t="shared" ref="I33:T33" si="26">I21*$G33/1000</f>
        <v>0.55479999685654324</v>
      </c>
      <c r="J33" s="13">
        <f t="shared" si="26"/>
        <v>0.55570813226697968</v>
      </c>
      <c r="K33" s="13">
        <f t="shared" si="26"/>
        <v>0.55752737608687353</v>
      </c>
      <c r="L33" s="13">
        <f t="shared" si="26"/>
        <v>0.55935257563763408</v>
      </c>
      <c r="M33" s="13">
        <f t="shared" si="26"/>
        <v>0.56118375041677426</v>
      </c>
      <c r="N33" s="13">
        <f t="shared" si="26"/>
        <v>0.5630209199856373</v>
      </c>
      <c r="O33" s="13">
        <f t="shared" si="26"/>
        <v>0.56486410396960463</v>
      </c>
      <c r="P33" s="13">
        <f t="shared" si="26"/>
        <v>0.56671332205830593</v>
      </c>
      <c r="Q33" s="13">
        <f t="shared" si="26"/>
        <v>0.56856859400583037</v>
      </c>
      <c r="R33" s="13">
        <f t="shared" si="26"/>
        <v>0.57042993963093624</v>
      </c>
      <c r="S33" s="13">
        <f t="shared" si="26"/>
        <v>0.57229737881726328</v>
      </c>
      <c r="T33" s="14">
        <f t="shared" si="26"/>
        <v>0.57417093151354559</v>
      </c>
      <c r="U33" s="13"/>
      <c r="V33" s="13">
        <f t="shared" si="19"/>
        <v>1.7491156720977794</v>
      </c>
      <c r="W33" s="13">
        <f t="shared" si="19"/>
        <v>1.7621850295480745</v>
      </c>
      <c r="X33" s="13">
        <f t="shared" si="19"/>
        <v>1.775254386998369</v>
      </c>
      <c r="Y33" s="14">
        <f t="shared" si="19"/>
        <v>1.7883237444486639</v>
      </c>
      <c r="Z33" s="13"/>
      <c r="AA33" s="13">
        <f t="shared" si="24"/>
        <v>6.7686370212459286</v>
      </c>
      <c r="AB33" s="13">
        <f t="shared" si="25"/>
        <v>7.0748788330928862</v>
      </c>
      <c r="AC33" s="13">
        <f t="shared" si="20"/>
        <v>7.3599964500665296</v>
      </c>
      <c r="AD33" s="13">
        <f t="shared" si="20"/>
        <v>7.6566043070042102</v>
      </c>
      <c r="AE33" s="13">
        <f t="shared" si="20"/>
        <v>7.9651654605764817</v>
      </c>
      <c r="AG33" s="76">
        <f>'A1'!I28</f>
        <v>0.01</v>
      </c>
      <c r="AI33" s="729">
        <f t="shared" si="21"/>
        <v>353.72904779999999</v>
      </c>
      <c r="AJ33" s="729">
        <f t="shared" si="22"/>
        <v>357.26633827799998</v>
      </c>
      <c r="AK33" s="729">
        <f t="shared" si="22"/>
        <v>360.83900166077996</v>
      </c>
      <c r="AL33" s="729">
        <f t="shared" si="22"/>
        <v>364.44739167738777</v>
      </c>
    </row>
    <row r="34" spans="3:44" x14ac:dyDescent="0.25">
      <c r="D34" s="81" t="str">
        <f>D22</f>
        <v>Medicare</v>
      </c>
      <c r="E34" s="81"/>
      <c r="G34" s="1344">
        <f>'A1'!AJ21*(1-MCareSeq)</f>
        <v>406.99438382795773</v>
      </c>
      <c r="H34" s="76"/>
      <c r="I34" s="13">
        <f t="shared" ref="I34:T34" si="27">I22*$G34/1000</f>
        <v>38.898498280815922</v>
      </c>
      <c r="J34" s="13">
        <f t="shared" si="27"/>
        <v>38.962170061460768</v>
      </c>
      <c r="K34" s="13">
        <f t="shared" si="27"/>
        <v>39.089722067591772</v>
      </c>
      <c r="L34" s="13">
        <f t="shared" si="27"/>
        <v>39.217691645799547</v>
      </c>
      <c r="M34" s="13">
        <f t="shared" si="27"/>
        <v>39.3460801631064</v>
      </c>
      <c r="N34" s="13">
        <f t="shared" si="27"/>
        <v>39.474888991009955</v>
      </c>
      <c r="O34" s="13">
        <f t="shared" si="27"/>
        <v>39.604119505497707</v>
      </c>
      <c r="P34" s="13">
        <f t="shared" si="27"/>
        <v>39.733773087061813</v>
      </c>
      <c r="Q34" s="13">
        <f t="shared" si="27"/>
        <v>39.86385112071379</v>
      </c>
      <c r="R34" s="13">
        <f t="shared" si="27"/>
        <v>39.994354995999331</v>
      </c>
      <c r="S34" s="13">
        <f t="shared" si="27"/>
        <v>40.125286107013117</v>
      </c>
      <c r="T34" s="14">
        <f t="shared" si="27"/>
        <v>40.256645852413762</v>
      </c>
      <c r="U34" s="13"/>
      <c r="V34" s="13">
        <f t="shared" si="19"/>
        <v>122.6351358138823</v>
      </c>
      <c r="W34" s="13">
        <f t="shared" si="19"/>
        <v>123.55146310514422</v>
      </c>
      <c r="X34" s="13">
        <f t="shared" si="19"/>
        <v>124.46779039640609</v>
      </c>
      <c r="Y34" s="14">
        <f t="shared" si="19"/>
        <v>125.38411768766798</v>
      </c>
      <c r="Z34" s="13"/>
      <c r="AA34" s="13">
        <f t="shared" si="24"/>
        <v>474.56708187848386</v>
      </c>
      <c r="AB34" s="13">
        <f t="shared" si="25"/>
        <v>496.03850700310056</v>
      </c>
      <c r="AC34" s="13">
        <f t="shared" si="20"/>
        <v>516.02885883532554</v>
      </c>
      <c r="AD34" s="13">
        <f t="shared" si="20"/>
        <v>536.82482184638911</v>
      </c>
      <c r="AE34" s="13">
        <f t="shared" si="20"/>
        <v>558.45886216679867</v>
      </c>
      <c r="AG34" s="76">
        <f>'A1'!I29</f>
        <v>0.01</v>
      </c>
      <c r="AI34" s="729">
        <f t="shared" si="21"/>
        <v>411.06432766623732</v>
      </c>
      <c r="AJ34" s="729">
        <f t="shared" si="22"/>
        <v>415.17497094289968</v>
      </c>
      <c r="AK34" s="729">
        <f t="shared" si="22"/>
        <v>419.32672065232867</v>
      </c>
      <c r="AL34" s="729">
        <f t="shared" si="22"/>
        <v>423.51998785885195</v>
      </c>
    </row>
    <row r="35" spans="3:44" x14ac:dyDescent="0.25">
      <c r="D35" s="81" t="str">
        <f>D23</f>
        <v>Medicaid</v>
      </c>
      <c r="E35" s="81"/>
      <c r="G35" s="371">
        <f>'A1'!AJ22</f>
        <v>161.26529411764704</v>
      </c>
      <c r="H35" s="76"/>
      <c r="I35" s="13">
        <f t="shared" ref="I35:T35" si="28">I23*$G35/1000</f>
        <v>0.28952473582634691</v>
      </c>
      <c r="J35" s="13">
        <f t="shared" si="28"/>
        <v>0.28999865014914955</v>
      </c>
      <c r="K35" s="13">
        <f t="shared" si="28"/>
        <v>0.29094803026692678</v>
      </c>
      <c r="L35" s="13">
        <f t="shared" si="28"/>
        <v>0.29190051840816406</v>
      </c>
      <c r="M35" s="13">
        <f t="shared" si="28"/>
        <v>0.29285612474772132</v>
      </c>
      <c r="N35" s="13">
        <f t="shared" si="28"/>
        <v>0.29381485949376851</v>
      </c>
      <c r="O35" s="13">
        <f t="shared" si="28"/>
        <v>0.29477673288789447</v>
      </c>
      <c r="P35" s="13">
        <f t="shared" si="28"/>
        <v>0.29574175520521617</v>
      </c>
      <c r="Q35" s="13">
        <f t="shared" si="28"/>
        <v>0.29670993675448881</v>
      </c>
      <c r="R35" s="13">
        <f t="shared" si="28"/>
        <v>0.29768128787821574</v>
      </c>
      <c r="S35" s="13">
        <f t="shared" si="28"/>
        <v>0.29865581895275889</v>
      </c>
      <c r="T35" s="14">
        <f t="shared" si="28"/>
        <v>0.29963354038844969</v>
      </c>
      <c r="U35" s="13"/>
      <c r="V35" s="13">
        <f t="shared" si="19"/>
        <v>0.91278344586000004</v>
      </c>
      <c r="W35" s="13">
        <f t="shared" si="19"/>
        <v>0.91960374558000035</v>
      </c>
      <c r="X35" s="13">
        <f t="shared" si="19"/>
        <v>0.92642404530000022</v>
      </c>
      <c r="Y35" s="14">
        <f t="shared" si="19"/>
        <v>0.9332443450200002</v>
      </c>
      <c r="Z35" s="13"/>
      <c r="AA35" s="13">
        <f t="shared" si="24"/>
        <v>3.532241990959101</v>
      </c>
      <c r="AB35" s="13">
        <f t="shared" si="25"/>
        <v>3.6920555817600009</v>
      </c>
      <c r="AC35" s="13">
        <f t="shared" si="20"/>
        <v>3.8408454217049286</v>
      </c>
      <c r="AD35" s="13">
        <f t="shared" si="20"/>
        <v>3.9956314921996379</v>
      </c>
      <c r="AE35" s="13">
        <f t="shared" si="20"/>
        <v>4.1566554413352845</v>
      </c>
      <c r="AG35" s="76">
        <f>'A1'!I30</f>
        <v>0.01</v>
      </c>
      <c r="AI35" s="729">
        <f t="shared" si="21"/>
        <v>162.87794705882351</v>
      </c>
      <c r="AJ35" s="729">
        <f t="shared" si="22"/>
        <v>164.50672652941174</v>
      </c>
      <c r="AK35" s="729">
        <f t="shared" si="22"/>
        <v>166.15179379470587</v>
      </c>
      <c r="AL35" s="729">
        <f t="shared" si="22"/>
        <v>167.81331173265292</v>
      </c>
    </row>
    <row r="36" spans="3:44" x14ac:dyDescent="0.25">
      <c r="D36" s="81" t="str">
        <f>D24</f>
        <v>Other</v>
      </c>
      <c r="E36" s="81"/>
      <c r="G36" s="371">
        <f>'A1'!AJ23</f>
        <v>0</v>
      </c>
      <c r="H36" s="76"/>
      <c r="I36" s="13">
        <f t="shared" ref="I36:T36" si="29">I24*$G36/1000</f>
        <v>0</v>
      </c>
      <c r="J36" s="13">
        <f t="shared" si="29"/>
        <v>0</v>
      </c>
      <c r="K36" s="13">
        <f t="shared" si="29"/>
        <v>0</v>
      </c>
      <c r="L36" s="13">
        <f t="shared" si="29"/>
        <v>0</v>
      </c>
      <c r="M36" s="13">
        <f t="shared" si="29"/>
        <v>0</v>
      </c>
      <c r="N36" s="13">
        <f t="shared" si="29"/>
        <v>0</v>
      </c>
      <c r="O36" s="13">
        <f t="shared" si="29"/>
        <v>0</v>
      </c>
      <c r="P36" s="13">
        <f t="shared" si="29"/>
        <v>0</v>
      </c>
      <c r="Q36" s="13">
        <f t="shared" si="29"/>
        <v>0</v>
      </c>
      <c r="R36" s="13">
        <f t="shared" si="29"/>
        <v>0</v>
      </c>
      <c r="S36" s="13">
        <f t="shared" si="29"/>
        <v>0</v>
      </c>
      <c r="T36" s="14">
        <f t="shared" si="29"/>
        <v>0</v>
      </c>
      <c r="U36" s="13"/>
      <c r="V36" s="13">
        <f t="shared" si="19"/>
        <v>0</v>
      </c>
      <c r="W36" s="13">
        <f t="shared" si="19"/>
        <v>0</v>
      </c>
      <c r="X36" s="13">
        <f t="shared" si="19"/>
        <v>0</v>
      </c>
      <c r="Y36" s="14">
        <f t="shared" si="19"/>
        <v>0</v>
      </c>
      <c r="Z36" s="13"/>
      <c r="AA36" s="13">
        <f t="shared" si="24"/>
        <v>0</v>
      </c>
      <c r="AB36" s="13">
        <f t="shared" si="25"/>
        <v>0</v>
      </c>
      <c r="AC36" s="13">
        <f t="shared" si="20"/>
        <v>0</v>
      </c>
      <c r="AD36" s="13">
        <f t="shared" si="20"/>
        <v>0</v>
      </c>
      <c r="AE36" s="13">
        <f t="shared" si="20"/>
        <v>0</v>
      </c>
      <c r="AG36" s="76">
        <f>'A1'!I31</f>
        <v>0.01</v>
      </c>
      <c r="AI36" s="729">
        <f t="shared" si="21"/>
        <v>0</v>
      </c>
      <c r="AJ36" s="729">
        <f t="shared" si="22"/>
        <v>0</v>
      </c>
      <c r="AK36" s="729">
        <f t="shared" si="22"/>
        <v>0</v>
      </c>
      <c r="AL36" s="729">
        <f t="shared" si="22"/>
        <v>0</v>
      </c>
    </row>
    <row r="37" spans="3:44" x14ac:dyDescent="0.25">
      <c r="D37" s="81" t="str">
        <f>D25</f>
        <v>AKI</v>
      </c>
      <c r="E37" s="81"/>
      <c r="G37" s="371">
        <f>'A1'!AJ24</f>
        <v>0</v>
      </c>
      <c r="H37" s="76"/>
      <c r="I37" s="13">
        <f t="shared" ref="I37:T37" si="30">I25*$G37/1000</f>
        <v>0</v>
      </c>
      <c r="J37" s="13">
        <f t="shared" si="30"/>
        <v>0</v>
      </c>
      <c r="K37" s="13">
        <f t="shared" si="30"/>
        <v>0</v>
      </c>
      <c r="L37" s="13">
        <f t="shared" si="30"/>
        <v>0</v>
      </c>
      <c r="M37" s="13">
        <f t="shared" si="30"/>
        <v>0</v>
      </c>
      <c r="N37" s="13">
        <f t="shared" si="30"/>
        <v>0</v>
      </c>
      <c r="O37" s="13">
        <f t="shared" si="30"/>
        <v>0</v>
      </c>
      <c r="P37" s="13">
        <f t="shared" si="30"/>
        <v>0</v>
      </c>
      <c r="Q37" s="13">
        <f t="shared" si="30"/>
        <v>0</v>
      </c>
      <c r="R37" s="13">
        <f t="shared" si="30"/>
        <v>0</v>
      </c>
      <c r="S37" s="13">
        <f t="shared" si="30"/>
        <v>0</v>
      </c>
      <c r="T37" s="14">
        <f t="shared" si="30"/>
        <v>0</v>
      </c>
      <c r="U37" s="13"/>
      <c r="V37" s="13">
        <f t="shared" si="19"/>
        <v>0</v>
      </c>
      <c r="W37" s="13">
        <f t="shared" si="19"/>
        <v>0</v>
      </c>
      <c r="X37" s="13">
        <f t="shared" si="19"/>
        <v>0</v>
      </c>
      <c r="Y37" s="14">
        <f t="shared" si="19"/>
        <v>0</v>
      </c>
      <c r="Z37" s="13"/>
      <c r="AA37" s="13">
        <f t="shared" si="24"/>
        <v>0</v>
      </c>
      <c r="AB37" s="13">
        <f t="shared" si="25"/>
        <v>0</v>
      </c>
      <c r="AC37" s="13">
        <f t="shared" si="20"/>
        <v>0</v>
      </c>
      <c r="AD37" s="13">
        <f t="shared" si="20"/>
        <v>0</v>
      </c>
      <c r="AE37" s="13">
        <f t="shared" si="20"/>
        <v>0</v>
      </c>
      <c r="AG37" s="76">
        <f>'A1'!I32</f>
        <v>0.01</v>
      </c>
      <c r="AI37" s="729">
        <f t="shared" si="21"/>
        <v>0</v>
      </c>
      <c r="AJ37" s="729">
        <f t="shared" si="22"/>
        <v>0</v>
      </c>
      <c r="AK37" s="729">
        <f t="shared" si="22"/>
        <v>0</v>
      </c>
      <c r="AL37" s="729">
        <f t="shared" si="22"/>
        <v>0</v>
      </c>
    </row>
    <row r="38" spans="3:44" ht="15.75" thickBot="1" x14ac:dyDescent="0.3">
      <c r="C38" s="687" t="s">
        <v>105</v>
      </c>
      <c r="D38" s="733"/>
      <c r="E38" s="733"/>
      <c r="F38" s="687"/>
      <c r="G38" s="734"/>
      <c r="H38" s="687"/>
      <c r="I38" s="689">
        <f>SUM(I31:I37)</f>
        <v>39.742823013498814</v>
      </c>
      <c r="J38" s="689">
        <f t="shared" ref="J38:T38" si="31">SUM(J31:J37)</f>
        <v>39.807876843876898</v>
      </c>
      <c r="K38" s="689">
        <f t="shared" si="31"/>
        <v>39.938197473945571</v>
      </c>
      <c r="L38" s="689">
        <f t="shared" si="31"/>
        <v>40.068944739845342</v>
      </c>
      <c r="M38" s="689">
        <f t="shared" si="31"/>
        <v>40.200120038270896</v>
      </c>
      <c r="N38" s="689">
        <f t="shared" si="31"/>
        <v>40.331724770489366</v>
      </c>
      <c r="O38" s="689">
        <f t="shared" si="31"/>
        <v>40.463760342355208</v>
      </c>
      <c r="P38" s="689">
        <f t="shared" si="31"/>
        <v>40.596228164325332</v>
      </c>
      <c r="Q38" s="689">
        <f t="shared" si="31"/>
        <v>40.729129651474111</v>
      </c>
      <c r="R38" s="689">
        <f t="shared" si="31"/>
        <v>40.862466223508477</v>
      </c>
      <c r="S38" s="689">
        <f t="shared" si="31"/>
        <v>40.996239304783138</v>
      </c>
      <c r="T38" s="735">
        <f t="shared" si="31"/>
        <v>41.130450324315753</v>
      </c>
      <c r="U38" s="689"/>
      <c r="V38" s="689">
        <f>SUM(V31:V37)</f>
        <v>125.29703493184007</v>
      </c>
      <c r="W38" s="689">
        <f>SUM(W31:W37)</f>
        <v>126.23325188027231</v>
      </c>
      <c r="X38" s="689">
        <f>SUM(X31:X37)</f>
        <v>127.16946882870445</v>
      </c>
      <c r="Y38" s="735">
        <f>SUM(Y31:Y37)</f>
        <v>128.10568577713664</v>
      </c>
      <c r="Z38" s="689"/>
      <c r="AA38" s="689">
        <f>SUM(AA31:AA37)</f>
        <v>484.86796089068889</v>
      </c>
      <c r="AB38" s="689">
        <f>SUM(AB31:AB37)</f>
        <v>506.80544141795343</v>
      </c>
      <c r="AC38" s="689">
        <f>SUM(AC31:AC37)</f>
        <v>527.22970070709698</v>
      </c>
      <c r="AD38" s="689">
        <f>SUM(AD31:AD37)</f>
        <v>548.47705764559294</v>
      </c>
      <c r="AE38" s="689">
        <f>SUM(AE31:AE37)</f>
        <v>570.58068306871041</v>
      </c>
      <c r="AO38" s="381">
        <f>SUM(I38:K38)</f>
        <v>119.48889733132128</v>
      </c>
      <c r="AP38" s="381">
        <f>SUM(L38:N38)</f>
        <v>120.6007895486056</v>
      </c>
      <c r="AQ38" s="381">
        <f>SUM(O38:Q38)</f>
        <v>121.78911815815465</v>
      </c>
      <c r="AR38" s="381">
        <f>SUM(R38:T38)</f>
        <v>122.98915585260735</v>
      </c>
    </row>
    <row r="39" spans="3:44" ht="15.75" thickTop="1" x14ac:dyDescent="0.25">
      <c r="I39" s="82"/>
      <c r="U39" s="13"/>
    </row>
    <row r="41" spans="3:44" x14ac:dyDescent="0.25">
      <c r="AA41" s="381"/>
      <c r="AB41" s="381"/>
      <c r="AC41" s="381"/>
      <c r="AD41" s="381"/>
      <c r="AE41" s="381"/>
    </row>
  </sheetData>
  <printOptions horizontalCentered="1"/>
  <pageMargins left="0.5" right="0.5" top="0.75" bottom="0.75" header="0.3" footer="0.3"/>
  <pageSetup scale="59" orientation="landscape" r:id="rId1"/>
  <ignoredErrors>
    <ignoredError sqref="D12:AG12 D10:H11 AI11:AN11 AH1:AR9 AO38:AR38 U11 A2:AE4 J7:T7 C17 D35:AF37 D34:F34 AH34:AN34 D40:AN40 D38:AF38 AH38:AN38 H34:AF34 D33:AF33 AH33:AN33 AH35:AN37 D15:AG15 D13:AG13 AM13:AN13 AI12:AN12 D14:AG14 AM14:AN14 U10 Z10:AG10 D18:AN26 D16:AG16 AI16:AN16 AL15:AN15 Z11:AG11 AM10:AN10 D28:AN32 D27:AE27 AM27:AN27 D39:H39 J39:AN39 D17:H17 J17:AN17" unlockedFormula="1"/>
  </ignoredError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>
    <tabColor theme="9" tint="-0.249977111117893"/>
    <pageSetUpPr fitToPage="1"/>
  </sheetPr>
  <dimension ref="A1:AA114"/>
  <sheetViews>
    <sheetView showGridLines="0" view="pageBreakPreview" zoomScale="80" zoomScaleNormal="132" zoomScaleSheetLayoutView="80" workbookViewId="0"/>
  </sheetViews>
  <sheetFormatPr defaultColWidth="8.5703125" defaultRowHeight="15" x14ac:dyDescent="0.25"/>
  <cols>
    <col min="1" max="1" width="1.5703125" style="1" customWidth="1"/>
    <col min="2" max="3" width="3" style="1" customWidth="1"/>
    <col min="4" max="4" width="17.5703125" style="1" customWidth="1"/>
    <col min="5" max="7" width="12.5703125" style="1" customWidth="1"/>
    <col min="8" max="8" width="12.5703125" style="83" customWidth="1"/>
    <col min="9" max="9" width="12.5703125" style="1" customWidth="1"/>
    <col min="10" max="10" width="4.42578125" style="1" customWidth="1"/>
    <col min="11" max="15" width="12.5703125" style="1" customWidth="1"/>
    <col min="16" max="16384" width="8.5703125" style="1"/>
  </cols>
  <sheetData>
    <row r="1" spans="1:15" ht="6" customHeight="1" thickBot="1" x14ac:dyDescent="0.3">
      <c r="B1" s="85"/>
      <c r="C1" s="85"/>
      <c r="D1" s="86"/>
      <c r="E1" s="85"/>
      <c r="F1" s="85"/>
      <c r="G1" s="85"/>
      <c r="H1" s="383"/>
      <c r="I1" s="85"/>
      <c r="J1" s="85"/>
      <c r="K1" s="85"/>
      <c r="L1" s="85"/>
      <c r="M1" s="85"/>
      <c r="N1" s="85"/>
      <c r="O1" s="85"/>
    </row>
    <row r="2" spans="1:15" ht="16.5" thickTop="1" x14ac:dyDescent="0.25">
      <c r="B2" s="110" t="str">
        <f>MainOutline!B2</f>
        <v>WB Santa Cruz</v>
      </c>
      <c r="C2" s="110"/>
      <c r="D2" s="111"/>
      <c r="E2" s="508" t="str">
        <f>'A1'!$C$90</f>
        <v>Acquisition of an existing facility</v>
      </c>
      <c r="F2" s="111"/>
      <c r="G2" s="111"/>
      <c r="H2" s="385"/>
      <c r="I2" s="111"/>
      <c r="J2" s="111"/>
      <c r="K2" s="111"/>
      <c r="L2" s="111"/>
      <c r="M2" s="111"/>
      <c r="N2" s="111"/>
      <c r="O2" s="1409">
        <f>$A3</f>
        <v>36</v>
      </c>
    </row>
    <row r="3" spans="1:15" ht="15.75" x14ac:dyDescent="0.25">
      <c r="A3" s="123">
        <f>MainOutline!B51</f>
        <v>36</v>
      </c>
      <c r="B3" s="102" t="str">
        <f>MainOutline!C51</f>
        <v>Appendix C6</v>
      </c>
      <c r="C3" s="102"/>
      <c r="D3" s="89"/>
      <c r="E3" s="89"/>
      <c r="F3" s="89"/>
      <c r="G3" s="1157" t="s">
        <v>924</v>
      </c>
      <c r="H3" s="1158" t="str">
        <f>IF(Q21=0, "Not Used", 'A1'!F90)</f>
        <v>Not Used</v>
      </c>
      <c r="I3" s="89"/>
      <c r="J3" s="89"/>
      <c r="K3" s="89"/>
      <c r="L3" s="89"/>
      <c r="M3" s="89"/>
      <c r="N3" s="89"/>
      <c r="O3" s="89"/>
    </row>
    <row r="4" spans="1:15" ht="16.5" thickBot="1" x14ac:dyDescent="0.3">
      <c r="B4" s="104" t="s">
        <v>890</v>
      </c>
      <c r="C4" s="104"/>
      <c r="D4" s="97"/>
      <c r="E4" s="97"/>
      <c r="F4" s="97"/>
      <c r="G4" s="97"/>
      <c r="H4" s="387"/>
      <c r="I4" s="97"/>
      <c r="J4" s="97"/>
      <c r="K4" s="97"/>
      <c r="L4" s="97"/>
      <c r="M4" s="97"/>
      <c r="N4" s="97"/>
      <c r="O4" s="388"/>
    </row>
    <row r="5" spans="1:15" ht="15.75" thickTop="1" x14ac:dyDescent="0.25">
      <c r="E5" s="1371">
        <f>'A1'!AG9</f>
        <v>0</v>
      </c>
      <c r="F5" s="1371">
        <f>'A1'!AH9</f>
        <v>0</v>
      </c>
      <c r="G5" s="1371">
        <f>'A1'!AI9</f>
        <v>1</v>
      </c>
      <c r="H5" s="1371">
        <f>'A1'!AJ9</f>
        <v>1</v>
      </c>
    </row>
    <row r="6" spans="1:15" ht="17.25" x14ac:dyDescent="0.4">
      <c r="E6" s="340" t="s">
        <v>891</v>
      </c>
      <c r="F6" s="633"/>
      <c r="G6" s="633"/>
      <c r="H6" s="633"/>
      <c r="J6" s="340" t="s">
        <v>895</v>
      </c>
      <c r="K6" s="340"/>
      <c r="L6" s="633"/>
      <c r="M6" s="633"/>
      <c r="N6" s="633"/>
    </row>
    <row r="7" spans="1:15" s="291" customFormat="1" ht="17.25" x14ac:dyDescent="0.4">
      <c r="C7" s="1"/>
      <c r="D7" s="1"/>
      <c r="E7" s="633" t="str">
        <f>'A1'!E8</f>
        <v>Hemo Dialysis</v>
      </c>
      <c r="F7" s="633"/>
      <c r="G7" s="633" t="str">
        <f>'A1'!G8</f>
        <v>Home Dialysis</v>
      </c>
      <c r="H7" s="633"/>
      <c r="I7" s="1"/>
      <c r="J7" s="1"/>
      <c r="K7" s="633" t="str">
        <f>E7</f>
        <v>Hemo Dialysis</v>
      </c>
      <c r="L7" s="633"/>
      <c r="M7" s="633" t="str">
        <f>G7</f>
        <v>Home Dialysis</v>
      </c>
      <c r="N7" s="633"/>
    </row>
    <row r="8" spans="1:15" s="511" customFormat="1" ht="17.25" x14ac:dyDescent="0.4">
      <c r="B8" s="529"/>
      <c r="C8" s="291"/>
      <c r="D8" s="291"/>
      <c r="E8" s="291" t="str">
        <f>'A1'!E9</f>
        <v>In Center</v>
      </c>
      <c r="F8" s="291" t="str">
        <f>'A1'!F9</f>
        <v>Nocturnal</v>
      </c>
      <c r="G8" s="291" t="str">
        <f>'A1'!G9</f>
        <v>Peritoneal</v>
      </c>
      <c r="H8" s="291" t="str">
        <f>'A1'!H9</f>
        <v>Home HD</v>
      </c>
      <c r="I8" s="291"/>
      <c r="J8" s="291"/>
      <c r="K8" s="291" t="str">
        <f>E8</f>
        <v>In Center</v>
      </c>
      <c r="L8" s="291" t="str">
        <f>F8</f>
        <v>Nocturnal</v>
      </c>
      <c r="M8" s="291" t="str">
        <f>G8</f>
        <v>Peritoneal</v>
      </c>
      <c r="N8" s="291" t="str">
        <f>H8</f>
        <v>Home HD</v>
      </c>
      <c r="O8" s="751"/>
    </row>
    <row r="9" spans="1:15" x14ac:dyDescent="0.25">
      <c r="B9" s="528"/>
      <c r="C9" s="173"/>
      <c r="D9" s="83" t="str">
        <f>'A1'!D25</f>
        <v>Commercial</v>
      </c>
      <c r="E9" s="1081">
        <f>SUM(E10:E12)</f>
        <v>0</v>
      </c>
      <c r="F9" s="1081">
        <f>SUM(F10:F12)</f>
        <v>0</v>
      </c>
      <c r="G9" s="1081">
        <f>SUM(G10:G12)</f>
        <v>0.20812125957827621</v>
      </c>
      <c r="H9" s="1081">
        <f>SUM(H10:H12)</f>
        <v>1.6008537886872998E-2</v>
      </c>
      <c r="I9" s="753"/>
      <c r="J9" s="1083"/>
      <c r="K9" s="543"/>
      <c r="L9" s="543"/>
      <c r="M9" s="543"/>
      <c r="N9" s="543"/>
      <c r="O9" s="753"/>
    </row>
    <row r="10" spans="1:15" x14ac:dyDescent="0.25">
      <c r="B10" s="528"/>
      <c r="D10" s="638" t="str">
        <f>'A1'!D26</f>
        <v>Non-contracted</v>
      </c>
      <c r="E10" s="543">
        <f>'A1'!AG33*E$5</f>
        <v>0</v>
      </c>
      <c r="F10" s="543">
        <f>'A1'!AH33*F$5</f>
        <v>0</v>
      </c>
      <c r="G10" s="543">
        <f>'A1'!AI33*G$5</f>
        <v>2.0415012025281055E-2</v>
      </c>
      <c r="H10" s="543">
        <f>'A1'!AJ33*H$5</f>
        <v>0</v>
      </c>
      <c r="I10" s="753"/>
      <c r="J10" s="1718" t="s">
        <v>892</v>
      </c>
      <c r="K10" s="1087">
        <f t="shared" ref="K10:N12" si="0">IF(ISNUMBER(E10/E$9),E10/E$9,0)</f>
        <v>0</v>
      </c>
      <c r="L10" s="1087">
        <f t="shared" si="0"/>
        <v>0</v>
      </c>
      <c r="M10" s="1087">
        <f t="shared" si="0"/>
        <v>9.8091910776672925E-2</v>
      </c>
      <c r="N10" s="1088">
        <f t="shared" si="0"/>
        <v>0</v>
      </c>
      <c r="O10" s="753"/>
    </row>
    <row r="11" spans="1:15" x14ac:dyDescent="0.25">
      <c r="B11" s="528"/>
      <c r="D11" s="638" t="str">
        <f>'A1'!D27</f>
        <v>Contracted</v>
      </c>
      <c r="E11" s="543">
        <f>'A1'!AG34*E$5</f>
        <v>0</v>
      </c>
      <c r="F11" s="543">
        <f>'A1'!AH34*F$5</f>
        <v>0</v>
      </c>
      <c r="G11" s="543">
        <f>'A1'!AI34*G$5</f>
        <v>0.17154203255215617</v>
      </c>
      <c r="H11" s="543">
        <f>'A1'!AJ34*H$5</f>
        <v>0</v>
      </c>
      <c r="I11" s="753"/>
      <c r="J11" s="1719"/>
      <c r="K11" s="543">
        <f t="shared" si="0"/>
        <v>0</v>
      </c>
      <c r="L11" s="543">
        <f t="shared" si="0"/>
        <v>0</v>
      </c>
      <c r="M11" s="543">
        <f t="shared" si="0"/>
        <v>0.82424079548508455</v>
      </c>
      <c r="N11" s="544">
        <f t="shared" si="0"/>
        <v>0</v>
      </c>
      <c r="O11" s="753"/>
    </row>
    <row r="12" spans="1:15" x14ac:dyDescent="0.25">
      <c r="B12" s="528"/>
      <c r="D12" s="638" t="str">
        <f>'A1'!D28</f>
        <v>KP</v>
      </c>
      <c r="E12" s="543">
        <f>'A1'!AG35*E$5</f>
        <v>0</v>
      </c>
      <c r="F12" s="543">
        <f>'A1'!AH35*F$5</f>
        <v>0</v>
      </c>
      <c r="G12" s="543">
        <f>'A1'!AI35*G$5</f>
        <v>1.6164215000838974E-2</v>
      </c>
      <c r="H12" s="543">
        <f>'A1'!AJ35*H$5</f>
        <v>1.6008537886872998E-2</v>
      </c>
      <c r="I12" s="753"/>
      <c r="J12" s="1720"/>
      <c r="K12" s="546">
        <f t="shared" si="0"/>
        <v>0</v>
      </c>
      <c r="L12" s="546">
        <f t="shared" si="0"/>
        <v>0</v>
      </c>
      <c r="M12" s="546">
        <f t="shared" si="0"/>
        <v>7.766729373824241E-2</v>
      </c>
      <c r="N12" s="547">
        <f t="shared" si="0"/>
        <v>1</v>
      </c>
    </row>
    <row r="13" spans="1:15" x14ac:dyDescent="0.25">
      <c r="B13" s="528"/>
      <c r="D13" s="638"/>
      <c r="E13" s="543"/>
      <c r="F13" s="543"/>
      <c r="G13" s="543"/>
      <c r="H13" s="543"/>
      <c r="I13" s="753"/>
      <c r="J13" s="1093"/>
      <c r="K13" s="545"/>
      <c r="L13" s="545"/>
      <c r="M13" s="545"/>
      <c r="N13" s="545"/>
    </row>
    <row r="14" spans="1:15" x14ac:dyDescent="0.25">
      <c r="B14" s="528"/>
      <c r="D14" s="83" t="s">
        <v>894</v>
      </c>
      <c r="E14" s="1081">
        <f>1-E9</f>
        <v>1</v>
      </c>
      <c r="F14" s="1081">
        <f>1-F9</f>
        <v>1</v>
      </c>
      <c r="G14" s="1081">
        <f>1-G9</f>
        <v>0.79187874042172379</v>
      </c>
      <c r="H14" s="1081">
        <f>1-H9</f>
        <v>0.98399146211312705</v>
      </c>
      <c r="I14" s="753"/>
      <c r="J14" s="1093"/>
      <c r="K14" s="545"/>
      <c r="L14" s="545"/>
      <c r="M14" s="545"/>
      <c r="N14" s="545"/>
    </row>
    <row r="15" spans="1:15" ht="14.1" customHeight="1" x14ac:dyDescent="0.25">
      <c r="B15" s="528"/>
      <c r="D15" s="638" t="str">
        <f>'A1'!D29</f>
        <v>Medicare</v>
      </c>
      <c r="E15" s="543">
        <f>'A1'!AG36*E$5</f>
        <v>0</v>
      </c>
      <c r="F15" s="543">
        <f>'A1'!AH36*F$5</f>
        <v>0</v>
      </c>
      <c r="G15" s="543">
        <f>'A1'!AI36*G$5</f>
        <v>0.5187091000615246</v>
      </c>
      <c r="H15" s="543">
        <f>'A1'!AJ36*H$5</f>
        <v>0.96584845250800422</v>
      </c>
      <c r="I15" s="753"/>
      <c r="J15" s="1718" t="s">
        <v>893</v>
      </c>
      <c r="K15" s="1087">
        <f t="shared" ref="K15:N18" si="1">E15/E$14</f>
        <v>0</v>
      </c>
      <c r="L15" s="1087">
        <f t="shared" si="1"/>
        <v>0</v>
      </c>
      <c r="M15" s="1087">
        <f t="shared" si="1"/>
        <v>0.65503602203701072</v>
      </c>
      <c r="N15" s="1088">
        <f t="shared" si="1"/>
        <v>0.98156182212581333</v>
      </c>
    </row>
    <row r="16" spans="1:15" x14ac:dyDescent="0.25">
      <c r="B16" s="528"/>
      <c r="D16" s="638" t="str">
        <f>'A1'!D30</f>
        <v>Medicaid</v>
      </c>
      <c r="E16" s="543">
        <f>'A1'!AG37*E$5</f>
        <v>0</v>
      </c>
      <c r="F16" s="543">
        <f>'A1'!AH37*F$5</f>
        <v>0</v>
      </c>
      <c r="G16" s="543">
        <f>'A1'!AI37*G$5</f>
        <v>0.21505677051289218</v>
      </c>
      <c r="H16" s="543">
        <f>'A1'!AJ37*H$5</f>
        <v>1.8143009605122731E-2</v>
      </c>
      <c r="I16" s="753"/>
      <c r="J16" s="1719"/>
      <c r="K16" s="543">
        <f t="shared" si="1"/>
        <v>0</v>
      </c>
      <c r="L16" s="543">
        <f t="shared" si="1"/>
        <v>0</v>
      </c>
      <c r="M16" s="543">
        <f t="shared" si="1"/>
        <v>0.27157790648396662</v>
      </c>
      <c r="N16" s="544">
        <f t="shared" si="1"/>
        <v>1.843817787418655E-2</v>
      </c>
    </row>
    <row r="17" spans="2:27" x14ac:dyDescent="0.25">
      <c r="B17" s="528"/>
      <c r="D17" s="638" t="str">
        <f>'A1'!D31</f>
        <v>Other</v>
      </c>
      <c r="E17" s="543">
        <f>'A1'!AG38*E$5</f>
        <v>0</v>
      </c>
      <c r="F17" s="543">
        <f>'A1'!AH38*F$5</f>
        <v>0</v>
      </c>
      <c r="G17" s="543">
        <f>'A1'!AI38*G$5</f>
        <v>5.8112869847306896E-2</v>
      </c>
      <c r="H17" s="543">
        <f>'A1'!AJ38*H$5</f>
        <v>0</v>
      </c>
      <c r="I17" s="753"/>
      <c r="J17" s="1719"/>
      <c r="K17" s="543">
        <f t="shared" si="1"/>
        <v>0</v>
      </c>
      <c r="L17" s="543">
        <f t="shared" si="1"/>
        <v>0</v>
      </c>
      <c r="M17" s="543">
        <f t="shared" si="1"/>
        <v>7.3386071479022458E-2</v>
      </c>
      <c r="N17" s="544">
        <f t="shared" si="1"/>
        <v>0</v>
      </c>
      <c r="O17" s="753"/>
    </row>
    <row r="18" spans="2:27" x14ac:dyDescent="0.25">
      <c r="B18" s="528"/>
      <c r="D18" s="638" t="str">
        <f>'A1'!D32</f>
        <v>AKI</v>
      </c>
      <c r="E18" s="543">
        <f>'A1'!AG39*E$5</f>
        <v>0</v>
      </c>
      <c r="F18" s="543">
        <f>'A1'!AH39*F$5</f>
        <v>0</v>
      </c>
      <c r="G18" s="543">
        <f>'A1'!AI39*G$5</f>
        <v>0</v>
      </c>
      <c r="H18" s="543">
        <f>'A1'!AJ39*H$5</f>
        <v>0</v>
      </c>
      <c r="I18" s="753"/>
      <c r="J18" s="1720"/>
      <c r="K18" s="546">
        <f t="shared" si="1"/>
        <v>0</v>
      </c>
      <c r="L18" s="546">
        <f t="shared" si="1"/>
        <v>0</v>
      </c>
      <c r="M18" s="546">
        <f t="shared" si="1"/>
        <v>0</v>
      </c>
      <c r="N18" s="547">
        <f t="shared" si="1"/>
        <v>0</v>
      </c>
      <c r="O18" s="753"/>
    </row>
    <row r="19" spans="2:27" x14ac:dyDescent="0.25">
      <c r="B19" s="528"/>
      <c r="D19" s="638"/>
      <c r="E19" s="543"/>
      <c r="F19" s="543"/>
      <c r="G19" s="543"/>
      <c r="H19" s="543"/>
      <c r="I19" s="753"/>
      <c r="J19" s="1086"/>
      <c r="K19" s="543"/>
      <c r="L19" s="543"/>
      <c r="M19" s="543"/>
      <c r="N19" s="543"/>
      <c r="O19" s="753"/>
    </row>
    <row r="20" spans="2:27" s="516" customFormat="1" x14ac:dyDescent="0.25">
      <c r="C20" s="1"/>
      <c r="D20" s="83" t="str">
        <f>'A1'!D33</f>
        <v>Total</v>
      </c>
      <c r="E20" s="753">
        <f>E9+E14</f>
        <v>1</v>
      </c>
      <c r="F20" s="753">
        <f>F9+F14</f>
        <v>1</v>
      </c>
      <c r="G20" s="753">
        <f>G9+G14</f>
        <v>1</v>
      </c>
      <c r="H20" s="753">
        <f>H9+H14</f>
        <v>1</v>
      </c>
      <c r="I20" s="753"/>
      <c r="J20" s="753"/>
      <c r="K20" s="753"/>
      <c r="L20" s="753"/>
      <c r="M20" s="753"/>
      <c r="N20" s="753"/>
      <c r="O20" s="754"/>
      <c r="Q20" s="516" t="s">
        <v>963</v>
      </c>
    </row>
    <row r="21" spans="2:27" x14ac:dyDescent="0.25">
      <c r="B21" s="528"/>
      <c r="C21" s="1082"/>
      <c r="D21" s="1082"/>
      <c r="E21" s="754"/>
      <c r="F21" s="754"/>
      <c r="G21" s="754"/>
      <c r="H21" s="860"/>
      <c r="I21" s="753"/>
      <c r="J21" s="754"/>
      <c r="O21" s="753"/>
      <c r="Q21" s="1">
        <f>IF(Q25+W25+Q40+W40&gt;0,1,0)</f>
        <v>0</v>
      </c>
    </row>
    <row r="22" spans="2:27" ht="15.75" thickBot="1" x14ac:dyDescent="0.3">
      <c r="B22" s="528"/>
      <c r="E22" s="528"/>
      <c r="H22" s="1"/>
      <c r="J22" s="519"/>
      <c r="K22" s="519"/>
      <c r="L22" s="519"/>
      <c r="M22" s="519"/>
      <c r="N22" s="519"/>
      <c r="O22" s="519"/>
    </row>
    <row r="23" spans="2:27" ht="16.5" thickBot="1" x14ac:dyDescent="0.3">
      <c r="B23" s="1089" t="str">
        <f>E7</f>
        <v>Hemo Dialysis</v>
      </c>
      <c r="C23" s="1090"/>
      <c r="D23" s="1091"/>
      <c r="E23" s="1146"/>
      <c r="F23" s="1146"/>
      <c r="G23" s="1146"/>
      <c r="H23" s="1146"/>
      <c r="I23" s="1146"/>
      <c r="J23" s="1147"/>
      <c r="K23" s="1147"/>
      <c r="L23" s="1146"/>
      <c r="M23" s="1146"/>
      <c r="N23" s="1148"/>
      <c r="O23" s="1148"/>
    </row>
    <row r="24" spans="2:27" s="106" customFormat="1" ht="16.5" x14ac:dyDescent="0.35">
      <c r="D24" s="534"/>
      <c r="E24" s="535" t="str">
        <f>E8</f>
        <v>In Center</v>
      </c>
      <c r="F24" s="340"/>
      <c r="G24" s="340"/>
      <c r="H24" s="340"/>
      <c r="I24" s="340"/>
      <c r="J24" s="1149"/>
      <c r="K24" s="535" t="str">
        <f>F8</f>
        <v>Nocturnal</v>
      </c>
      <c r="L24" s="340"/>
      <c r="M24" s="340"/>
      <c r="N24" s="340"/>
      <c r="O24" s="340"/>
      <c r="Q24" s="1254" t="str">
        <f>E24</f>
        <v>In Center</v>
      </c>
      <c r="W24" s="1254" t="str">
        <f>K24</f>
        <v>Nocturnal</v>
      </c>
    </row>
    <row r="25" spans="2:27" s="537" customFormat="1" ht="17.25" x14ac:dyDescent="0.4">
      <c r="D25" s="569"/>
      <c r="E25" s="101" t="s">
        <v>116</v>
      </c>
      <c r="F25" s="101" t="s">
        <v>90</v>
      </c>
      <c r="G25" s="101" t="s">
        <v>91</v>
      </c>
      <c r="H25" s="101" t="s">
        <v>92</v>
      </c>
      <c r="I25" s="101" t="s">
        <v>93</v>
      </c>
      <c r="J25" s="1150"/>
      <c r="K25" s="101" t="str">
        <f>E25</f>
        <v>Year 1</v>
      </c>
      <c r="L25" s="101" t="str">
        <f>F25</f>
        <v>Year 2</v>
      </c>
      <c r="M25" s="101" t="str">
        <f>G25</f>
        <v>Year 3</v>
      </c>
      <c r="N25" s="101" t="str">
        <f>H25</f>
        <v>Year 4</v>
      </c>
      <c r="O25" s="101" t="str">
        <f>I25</f>
        <v>Year 5</v>
      </c>
      <c r="Q25" s="1255">
        <f>IF(SUM(Q27:U27)*E5&gt;0,1,0)</f>
        <v>0</v>
      </c>
      <c r="R25" s="1256"/>
      <c r="S25" s="1256"/>
      <c r="T25" s="1256"/>
      <c r="U25" s="1256"/>
      <c r="V25" s="1256"/>
      <c r="W25" s="1255">
        <f>IF(SUM(W27:AA27)*F5&gt;0,1,0)</f>
        <v>0</v>
      </c>
    </row>
    <row r="26" spans="2:27" s="528" customFormat="1" x14ac:dyDescent="0.25">
      <c r="C26" s="528" t="s">
        <v>896</v>
      </c>
      <c r="E26" s="543"/>
      <c r="F26" s="543">
        <f>'A1'!I47</f>
        <v>0</v>
      </c>
      <c r="G26" s="1092">
        <f>'A1'!I48</f>
        <v>0</v>
      </c>
      <c r="H26" s="1092">
        <f>'A1'!I49</f>
        <v>0</v>
      </c>
      <c r="I26" s="1092">
        <f>'A1'!I50</f>
        <v>0</v>
      </c>
      <c r="J26" s="1151"/>
      <c r="K26" s="543"/>
      <c r="L26" s="543">
        <f>F26</f>
        <v>0</v>
      </c>
      <c r="M26" s="543">
        <f>G26</f>
        <v>0</v>
      </c>
      <c r="N26" s="543">
        <f>H26</f>
        <v>0</v>
      </c>
      <c r="O26" s="543">
        <f>I26</f>
        <v>0</v>
      </c>
      <c r="Q26" s="575"/>
      <c r="R26" s="575"/>
      <c r="S26" s="575"/>
      <c r="T26" s="575"/>
      <c r="U26" s="575"/>
      <c r="V26" s="575"/>
      <c r="W26" s="575"/>
    </row>
    <row r="27" spans="2:27" s="528" customFormat="1" x14ac:dyDescent="0.25">
      <c r="C27" s="1085" t="str">
        <f>D9</f>
        <v>Commercial</v>
      </c>
      <c r="D27" s="1085"/>
      <c r="E27" s="1253">
        <f>E9+'A1'!$G$90</f>
        <v>0</v>
      </c>
      <c r="F27" s="546">
        <f>IF($E27=0,0,E27+F26)</f>
        <v>0</v>
      </c>
      <c r="G27" s="546">
        <f>IF($E27=0,0,F27+G26)</f>
        <v>0</v>
      </c>
      <c r="H27" s="546">
        <f>IF($E27=0,0,G27+H26)</f>
        <v>0</v>
      </c>
      <c r="I27" s="546">
        <f>IF($E27=0,0,H27+I26)</f>
        <v>0</v>
      </c>
      <c r="J27" s="1152"/>
      <c r="K27" s="1159">
        <f>F9+'A1'!$G$90</f>
        <v>0</v>
      </c>
      <c r="L27" s="546">
        <f>IF($K27=0,0,K27+L26)</f>
        <v>0</v>
      </c>
      <c r="M27" s="546">
        <f>IF($K27=0,0,L27+M26)</f>
        <v>0</v>
      </c>
      <c r="N27" s="546">
        <f>IF($K27=0,0,M27+N26)</f>
        <v>0</v>
      </c>
      <c r="O27" s="546">
        <f>IF($K27=0,0,N27+O26)</f>
        <v>0</v>
      </c>
      <c r="Q27" s="575">
        <f>IF(OR(E27&gt;1,E27&lt;0),1,0)</f>
        <v>0</v>
      </c>
      <c r="R27" s="575">
        <f>IF(OR(F27&gt;1,F27&lt;0),1,0)</f>
        <v>0</v>
      </c>
      <c r="S27" s="575">
        <f>IF(OR(G27&gt;1,G27&lt;0),1,0)</f>
        <v>0</v>
      </c>
      <c r="T27" s="575">
        <f>IF(OR(H27&gt;1,H27&lt;0),1,0)</f>
        <v>0</v>
      </c>
      <c r="U27" s="575">
        <f>IF(OR(I27&gt;1,I27&lt;0),1,0)</f>
        <v>0</v>
      </c>
      <c r="V27" s="575"/>
      <c r="W27" s="575">
        <f>IF(OR(K27&gt;1,K27&lt;0),1,0)</f>
        <v>0</v>
      </c>
      <c r="X27" s="528">
        <f>IF(OR(L27&gt;1,L27&lt;0),1,0)</f>
        <v>0</v>
      </c>
      <c r="Y27" s="528">
        <f>IF(OR(M27&gt;1,M27&lt;0),1,0)</f>
        <v>0</v>
      </c>
      <c r="Z27" s="528">
        <f>IF(OR(N27&gt;1,N27&lt;0),1,0)</f>
        <v>0</v>
      </c>
      <c r="AA27" s="528">
        <f>IF(OR(O27&gt;1,O27&lt;0),1,0)</f>
        <v>0</v>
      </c>
    </row>
    <row r="28" spans="2:27" s="528" customFormat="1" x14ac:dyDescent="0.25">
      <c r="C28" s="541" t="str">
        <f>D10</f>
        <v>Non-contracted</v>
      </c>
      <c r="D28" s="541"/>
      <c r="E28" s="543">
        <f>E$27*$K10</f>
        <v>0</v>
      </c>
      <c r="F28" s="543">
        <f t="shared" ref="F28:I30" si="2">F$27*$K10</f>
        <v>0</v>
      </c>
      <c r="G28" s="543">
        <f t="shared" si="2"/>
        <v>0</v>
      </c>
      <c r="H28" s="543">
        <f t="shared" si="2"/>
        <v>0</v>
      </c>
      <c r="I28" s="543">
        <f t="shared" si="2"/>
        <v>0</v>
      </c>
      <c r="J28" s="1151"/>
      <c r="K28" s="543">
        <f>K$27*$L10</f>
        <v>0</v>
      </c>
      <c r="L28" s="543">
        <f t="shared" ref="L28:O30" si="3">L$27*$L10</f>
        <v>0</v>
      </c>
      <c r="M28" s="543">
        <f t="shared" si="3"/>
        <v>0</v>
      </c>
      <c r="N28" s="543">
        <f t="shared" si="3"/>
        <v>0</v>
      </c>
      <c r="O28" s="543">
        <f t="shared" si="3"/>
        <v>0</v>
      </c>
      <c r="Q28" s="575"/>
      <c r="R28" s="575"/>
      <c r="S28" s="575"/>
      <c r="T28" s="575"/>
      <c r="U28" s="575"/>
      <c r="V28" s="575"/>
      <c r="W28" s="575"/>
    </row>
    <row r="29" spans="2:27" s="528" customFormat="1" x14ac:dyDescent="0.25">
      <c r="C29" s="541" t="str">
        <f>D11</f>
        <v>Contracted</v>
      </c>
      <c r="D29" s="541"/>
      <c r="E29" s="543">
        <f>E$27*$K11</f>
        <v>0</v>
      </c>
      <c r="F29" s="543">
        <f t="shared" si="2"/>
        <v>0</v>
      </c>
      <c r="G29" s="543">
        <f t="shared" si="2"/>
        <v>0</v>
      </c>
      <c r="H29" s="543">
        <f t="shared" si="2"/>
        <v>0</v>
      </c>
      <c r="I29" s="543">
        <f t="shared" si="2"/>
        <v>0</v>
      </c>
      <c r="J29" s="1151"/>
      <c r="K29" s="543">
        <f>K$27*$L11</f>
        <v>0</v>
      </c>
      <c r="L29" s="543">
        <f t="shared" si="3"/>
        <v>0</v>
      </c>
      <c r="M29" s="543">
        <f t="shared" si="3"/>
        <v>0</v>
      </c>
      <c r="N29" s="543">
        <f t="shared" si="3"/>
        <v>0</v>
      </c>
      <c r="O29" s="543">
        <f t="shared" si="3"/>
        <v>0</v>
      </c>
      <c r="Q29" s="575"/>
      <c r="R29" s="575"/>
      <c r="S29" s="575"/>
      <c r="T29" s="575"/>
      <c r="U29" s="575"/>
      <c r="V29" s="575"/>
      <c r="W29" s="575"/>
    </row>
    <row r="30" spans="2:27" s="528" customFormat="1" x14ac:dyDescent="0.25">
      <c r="C30" s="1084" t="str">
        <f>D12</f>
        <v>KP</v>
      </c>
      <c r="D30" s="1084"/>
      <c r="E30" s="546">
        <f>E$27*$K12</f>
        <v>0</v>
      </c>
      <c r="F30" s="546">
        <f t="shared" si="2"/>
        <v>0</v>
      </c>
      <c r="G30" s="546">
        <f t="shared" si="2"/>
        <v>0</v>
      </c>
      <c r="H30" s="546">
        <f t="shared" si="2"/>
        <v>0</v>
      </c>
      <c r="I30" s="546">
        <f t="shared" si="2"/>
        <v>0</v>
      </c>
      <c r="J30" s="1152"/>
      <c r="K30" s="546">
        <f>K$27*$L12</f>
        <v>0</v>
      </c>
      <c r="L30" s="546">
        <f t="shared" si="3"/>
        <v>0</v>
      </c>
      <c r="M30" s="546">
        <f t="shared" si="3"/>
        <v>0</v>
      </c>
      <c r="N30" s="546">
        <f t="shared" si="3"/>
        <v>0</v>
      </c>
      <c r="O30" s="546">
        <f t="shared" si="3"/>
        <v>0</v>
      </c>
      <c r="Q30" s="575"/>
      <c r="R30" s="575"/>
      <c r="S30" s="575"/>
      <c r="T30" s="575"/>
      <c r="U30" s="575"/>
      <c r="V30" s="575"/>
      <c r="W30" s="575"/>
    </row>
    <row r="31" spans="2:27" s="528" customFormat="1" x14ac:dyDescent="0.25">
      <c r="C31" s="531" t="str">
        <f>D15</f>
        <v>Medicare</v>
      </c>
      <c r="D31" s="531"/>
      <c r="E31" s="543">
        <f>(1-E$27)*$K15</f>
        <v>0</v>
      </c>
      <c r="F31" s="543">
        <f t="shared" ref="F31:I34" si="4">(1-F$27)*$K15</f>
        <v>0</v>
      </c>
      <c r="G31" s="543">
        <f t="shared" si="4"/>
        <v>0</v>
      </c>
      <c r="H31" s="543">
        <f t="shared" si="4"/>
        <v>0</v>
      </c>
      <c r="I31" s="543">
        <f t="shared" si="4"/>
        <v>0</v>
      </c>
      <c r="J31" s="1151"/>
      <c r="K31" s="543">
        <f>(1-K$27)*$L15</f>
        <v>0</v>
      </c>
      <c r="L31" s="543">
        <f t="shared" ref="L31:O34" si="5">(1-L$27)*$L15</f>
        <v>0</v>
      </c>
      <c r="M31" s="543">
        <f t="shared" si="5"/>
        <v>0</v>
      </c>
      <c r="N31" s="543">
        <f t="shared" si="5"/>
        <v>0</v>
      </c>
      <c r="O31" s="543">
        <f t="shared" si="5"/>
        <v>0</v>
      </c>
      <c r="Q31" s="575"/>
      <c r="R31" s="575"/>
      <c r="S31" s="575"/>
      <c r="T31" s="575"/>
      <c r="U31" s="575"/>
      <c r="V31" s="575"/>
      <c r="W31" s="575"/>
    </row>
    <row r="32" spans="2:27" s="528" customFormat="1" x14ac:dyDescent="0.25">
      <c r="C32" s="531" t="str">
        <f>D16</f>
        <v>Medicaid</v>
      </c>
      <c r="D32" s="531"/>
      <c r="E32" s="543">
        <f>(1-E$27)*$K16</f>
        <v>0</v>
      </c>
      <c r="F32" s="543">
        <f t="shared" si="4"/>
        <v>0</v>
      </c>
      <c r="G32" s="543">
        <f t="shared" si="4"/>
        <v>0</v>
      </c>
      <c r="H32" s="543">
        <f t="shared" si="4"/>
        <v>0</v>
      </c>
      <c r="I32" s="543">
        <f t="shared" si="4"/>
        <v>0</v>
      </c>
      <c r="J32" s="1151"/>
      <c r="K32" s="543">
        <f>(1-K$27)*$L16</f>
        <v>0</v>
      </c>
      <c r="L32" s="543">
        <f t="shared" si="5"/>
        <v>0</v>
      </c>
      <c r="M32" s="543">
        <f t="shared" si="5"/>
        <v>0</v>
      </c>
      <c r="N32" s="543">
        <f t="shared" si="5"/>
        <v>0</v>
      </c>
      <c r="O32" s="543">
        <f t="shared" si="5"/>
        <v>0</v>
      </c>
      <c r="Q32" s="575"/>
      <c r="R32" s="575"/>
      <c r="S32" s="575"/>
      <c r="T32" s="575"/>
      <c r="U32" s="575"/>
      <c r="V32" s="575"/>
      <c r="W32" s="575"/>
    </row>
    <row r="33" spans="2:27" s="528" customFormat="1" x14ac:dyDescent="0.25">
      <c r="C33" s="531" t="str">
        <f>D17</f>
        <v>Other</v>
      </c>
      <c r="D33" s="531"/>
      <c r="E33" s="543">
        <f>(1-E$27)*$K17</f>
        <v>0</v>
      </c>
      <c r="F33" s="543">
        <f t="shared" si="4"/>
        <v>0</v>
      </c>
      <c r="G33" s="543">
        <f t="shared" si="4"/>
        <v>0</v>
      </c>
      <c r="H33" s="543">
        <f t="shared" si="4"/>
        <v>0</v>
      </c>
      <c r="I33" s="543">
        <f t="shared" si="4"/>
        <v>0</v>
      </c>
      <c r="J33" s="1151"/>
      <c r="K33" s="543">
        <f>(1-K$27)*$L17</f>
        <v>0</v>
      </c>
      <c r="L33" s="543">
        <f t="shared" si="5"/>
        <v>0</v>
      </c>
      <c r="M33" s="543">
        <f t="shared" si="5"/>
        <v>0</v>
      </c>
      <c r="N33" s="543">
        <f t="shared" si="5"/>
        <v>0</v>
      </c>
      <c r="O33" s="543">
        <f t="shared" si="5"/>
        <v>0</v>
      </c>
      <c r="Q33" s="575"/>
      <c r="R33" s="575"/>
      <c r="S33" s="575"/>
      <c r="T33" s="575"/>
      <c r="U33" s="575"/>
      <c r="V33" s="575"/>
      <c r="W33" s="575"/>
    </row>
    <row r="34" spans="2:27" s="528" customFormat="1" x14ac:dyDescent="0.25">
      <c r="C34" s="1085" t="str">
        <f>D18</f>
        <v>AKI</v>
      </c>
      <c r="D34" s="1085"/>
      <c r="E34" s="546">
        <f>(1-E$27)*$K18</f>
        <v>0</v>
      </c>
      <c r="F34" s="546">
        <f t="shared" si="4"/>
        <v>0</v>
      </c>
      <c r="G34" s="546">
        <f t="shared" si="4"/>
        <v>0</v>
      </c>
      <c r="H34" s="546">
        <f t="shared" si="4"/>
        <v>0</v>
      </c>
      <c r="I34" s="546">
        <f t="shared" si="4"/>
        <v>0</v>
      </c>
      <c r="J34" s="1153"/>
      <c r="K34" s="546">
        <f>(1-K$27)*$L18</f>
        <v>0</v>
      </c>
      <c r="L34" s="546">
        <f t="shared" si="5"/>
        <v>0</v>
      </c>
      <c r="M34" s="546">
        <f t="shared" si="5"/>
        <v>0</v>
      </c>
      <c r="N34" s="546">
        <f t="shared" si="5"/>
        <v>0</v>
      </c>
      <c r="O34" s="546">
        <f t="shared" si="5"/>
        <v>0</v>
      </c>
      <c r="Q34" s="575"/>
      <c r="R34" s="575"/>
      <c r="S34" s="575"/>
      <c r="T34" s="575"/>
      <c r="U34" s="575"/>
      <c r="V34" s="575"/>
      <c r="W34" s="575"/>
    </row>
    <row r="35" spans="2:27" s="528" customFormat="1" x14ac:dyDescent="0.25">
      <c r="C35" s="531" t="str">
        <f>D20</f>
        <v>Total</v>
      </c>
      <c r="D35" s="531"/>
      <c r="E35" s="543">
        <f>SUM(E28:E34)</f>
        <v>0</v>
      </c>
      <c r="F35" s="543">
        <f>SUM(F28:F34)</f>
        <v>0</v>
      </c>
      <c r="G35" s="543">
        <f>SUM(G28:G34)</f>
        <v>0</v>
      </c>
      <c r="H35" s="543">
        <f>SUM(H28:H34)</f>
        <v>0</v>
      </c>
      <c r="I35" s="543">
        <f>SUM(I28:I34)</f>
        <v>0</v>
      </c>
      <c r="J35" s="1151"/>
      <c r="K35" s="543">
        <f>SUM(K28:K34)</f>
        <v>0</v>
      </c>
      <c r="L35" s="543">
        <f>SUM(L28:L34)</f>
        <v>0</v>
      </c>
      <c r="M35" s="543">
        <f>SUM(M28:M34)</f>
        <v>0</v>
      </c>
      <c r="N35" s="543">
        <f>SUM(N28:N34)</f>
        <v>0</v>
      </c>
      <c r="O35" s="543">
        <f>SUM(O28:O34)</f>
        <v>0</v>
      </c>
      <c r="Q35" s="575"/>
      <c r="R35" s="575"/>
      <c r="S35" s="575"/>
      <c r="T35" s="575"/>
      <c r="U35" s="575"/>
      <c r="V35" s="575"/>
      <c r="W35" s="575"/>
    </row>
    <row r="36" spans="2:27" x14ac:dyDescent="0.25">
      <c r="B36" s="528"/>
      <c r="C36" s="531"/>
      <c r="D36" s="531"/>
      <c r="E36" s="572"/>
      <c r="F36" s="542"/>
      <c r="G36" s="542"/>
      <c r="H36" s="542"/>
      <c r="I36" s="542"/>
      <c r="J36" s="1154"/>
      <c r="K36" s="572"/>
      <c r="L36" s="572"/>
      <c r="M36" s="572"/>
      <c r="N36" s="572"/>
      <c r="O36" s="572"/>
      <c r="Q36" s="575"/>
      <c r="R36" s="575"/>
      <c r="S36" s="575"/>
      <c r="T36" s="575"/>
      <c r="U36" s="575"/>
      <c r="V36" s="575"/>
      <c r="W36" s="575"/>
    </row>
    <row r="37" spans="2:27" ht="15.75" thickBot="1" x14ac:dyDescent="0.3">
      <c r="B37" s="528"/>
      <c r="C37" s="528"/>
      <c r="D37" s="528"/>
      <c r="E37" s="529"/>
      <c r="F37" s="530"/>
      <c r="G37" s="528"/>
      <c r="H37" s="531"/>
      <c r="I37" s="528"/>
      <c r="J37" s="1147"/>
      <c r="K37" s="528"/>
      <c r="L37" s="528"/>
      <c r="M37" s="528"/>
      <c r="N37" s="528"/>
      <c r="O37" s="528"/>
      <c r="Q37" s="575"/>
      <c r="R37" s="575"/>
      <c r="S37" s="575"/>
      <c r="T37" s="575"/>
      <c r="U37" s="575"/>
      <c r="V37" s="575"/>
      <c r="W37" s="575"/>
    </row>
    <row r="38" spans="2:27" ht="16.5" thickBot="1" x14ac:dyDescent="0.3">
      <c r="B38" s="1089" t="str">
        <f>G7</f>
        <v>Home Dialysis</v>
      </c>
      <c r="C38" s="1090"/>
      <c r="D38" s="1091"/>
      <c r="E38" s="1147"/>
      <c r="F38" s="1147"/>
      <c r="G38" s="1147"/>
      <c r="H38" s="1156"/>
      <c r="I38" s="1147"/>
      <c r="J38" s="1147"/>
      <c r="K38" s="1147"/>
      <c r="L38" s="1148"/>
      <c r="M38" s="1148"/>
      <c r="N38" s="1148"/>
      <c r="O38" s="1148"/>
      <c r="Q38" s="575"/>
      <c r="R38" s="575"/>
      <c r="S38" s="575"/>
      <c r="T38" s="575"/>
      <c r="U38" s="575"/>
      <c r="V38" s="575"/>
      <c r="W38" s="575"/>
    </row>
    <row r="39" spans="2:27" s="106" customFormat="1" ht="16.5" x14ac:dyDescent="0.35">
      <c r="D39" s="534"/>
      <c r="E39" s="535" t="str">
        <f>G8</f>
        <v>Peritoneal</v>
      </c>
      <c r="F39" s="340"/>
      <c r="G39" s="340"/>
      <c r="H39" s="340"/>
      <c r="I39" s="340"/>
      <c r="J39" s="1149"/>
      <c r="K39" s="340" t="str">
        <f>N8</f>
        <v>Home HD</v>
      </c>
      <c r="L39" s="340"/>
      <c r="M39" s="340"/>
      <c r="N39" s="340"/>
      <c r="O39" s="340"/>
      <c r="Q39" s="1257" t="str">
        <f>E39</f>
        <v>Peritoneal</v>
      </c>
      <c r="R39" s="577"/>
      <c r="S39" s="577"/>
      <c r="T39" s="577"/>
      <c r="U39" s="577"/>
      <c r="V39" s="577"/>
      <c r="W39" s="1257" t="str">
        <f>K39</f>
        <v>Home HD</v>
      </c>
    </row>
    <row r="40" spans="2:27" s="537" customFormat="1" ht="17.25" x14ac:dyDescent="0.4">
      <c r="C40" s="538"/>
      <c r="D40" s="539"/>
      <c r="E40" s="101" t="s">
        <v>116</v>
      </c>
      <c r="F40" s="101" t="s">
        <v>90</v>
      </c>
      <c r="G40" s="101" t="s">
        <v>91</v>
      </c>
      <c r="H40" s="101" t="s">
        <v>92</v>
      </c>
      <c r="I40" s="101" t="s">
        <v>93</v>
      </c>
      <c r="J40" s="1150"/>
      <c r="K40" s="101" t="str">
        <f>E40</f>
        <v>Year 1</v>
      </c>
      <c r="L40" s="101" t="str">
        <f>F40</f>
        <v>Year 2</v>
      </c>
      <c r="M40" s="101" t="str">
        <f>G40</f>
        <v>Year 3</v>
      </c>
      <c r="N40" s="101" t="str">
        <f>H40</f>
        <v>Year 4</v>
      </c>
      <c r="O40" s="101" t="str">
        <f>I40</f>
        <v>Year 5</v>
      </c>
      <c r="Q40" s="1255">
        <f>IF(SUM(Q42:U42)*G5&gt;0,1,0)</f>
        <v>0</v>
      </c>
      <c r="R40" s="1256"/>
      <c r="S40" s="1256"/>
      <c r="T40" s="1256"/>
      <c r="U40" s="1256"/>
      <c r="V40" s="1256"/>
      <c r="W40" s="1255">
        <f>IF(SUM(W42:AA42)*H5&gt;0,1,0)</f>
        <v>0</v>
      </c>
    </row>
    <row r="41" spans="2:27" s="528" customFormat="1" x14ac:dyDescent="0.25">
      <c r="C41" s="531" t="str">
        <f t="shared" ref="C41:C50" si="6">C26</f>
        <v xml:space="preserve">Growth in Commercial </v>
      </c>
      <c r="E41" s="543"/>
      <c r="F41" s="543">
        <f>F26</f>
        <v>0</v>
      </c>
      <c r="G41" s="543">
        <f>G26</f>
        <v>0</v>
      </c>
      <c r="H41" s="543">
        <f>H26</f>
        <v>0</v>
      </c>
      <c r="I41" s="543">
        <f>I26</f>
        <v>0</v>
      </c>
      <c r="J41" s="1151"/>
      <c r="K41" s="543"/>
      <c r="L41" s="543">
        <f>L26</f>
        <v>0</v>
      </c>
      <c r="M41" s="543">
        <f>M26</f>
        <v>0</v>
      </c>
      <c r="N41" s="543">
        <f>N26</f>
        <v>0</v>
      </c>
      <c r="O41" s="543">
        <f>O26</f>
        <v>0</v>
      </c>
    </row>
    <row r="42" spans="2:27" s="528" customFormat="1" x14ac:dyDescent="0.25">
      <c r="C42" s="1085" t="str">
        <f t="shared" si="6"/>
        <v>Commercial</v>
      </c>
      <c r="D42" s="1085"/>
      <c r="E42" s="1159">
        <f>G9+'A1'!$G$90</f>
        <v>0.20812125957827621</v>
      </c>
      <c r="F42" s="546">
        <f>IF($E42=0,0,E42+F41)</f>
        <v>0.20812125957827621</v>
      </c>
      <c r="G42" s="546">
        <f>IF($E42=0,0,F42+G41)</f>
        <v>0.20812125957827621</v>
      </c>
      <c r="H42" s="546">
        <f>IF($E42=0,0,G42+H41)</f>
        <v>0.20812125957827621</v>
      </c>
      <c r="I42" s="546">
        <f>IF($E42=0,0,H42+I41)</f>
        <v>0.20812125957827621</v>
      </c>
      <c r="J42" s="1152"/>
      <c r="K42" s="1159">
        <f>H9+'A1'!$G$90</f>
        <v>1.6008537886872998E-2</v>
      </c>
      <c r="L42" s="546">
        <f>IF($K42=0,0,K42+L41)</f>
        <v>1.6008537886872998E-2</v>
      </c>
      <c r="M42" s="546">
        <f>IF($K42=0,0,L42+M41)</f>
        <v>1.6008537886872998E-2</v>
      </c>
      <c r="N42" s="546">
        <f>IF($K42=0,0,M42+N41)</f>
        <v>1.6008537886872998E-2</v>
      </c>
      <c r="O42" s="546">
        <f>IF($K42=0,0,N42+O41)</f>
        <v>1.6008537886872998E-2</v>
      </c>
      <c r="Q42" s="528">
        <f>IF(OR(E42&gt;1,E42&lt;0),1,0)</f>
        <v>0</v>
      </c>
      <c r="R42" s="528">
        <f>IF(OR(F42&gt;1,F42&lt;0),1,0)</f>
        <v>0</v>
      </c>
      <c r="S42" s="528">
        <f>IF(OR(G42&gt;1,G42&lt;0),1,0)</f>
        <v>0</v>
      </c>
      <c r="T42" s="528">
        <f>IF(OR(H42&gt;1,H42&lt;0),1,0)</f>
        <v>0</v>
      </c>
      <c r="U42" s="528">
        <f>IF(OR(I42&gt;1,I42&lt;0),1,0)</f>
        <v>0</v>
      </c>
      <c r="W42" s="528">
        <f>IF(OR(K42&gt;1,K42&lt;0),1,0)</f>
        <v>0</v>
      </c>
      <c r="X42" s="528">
        <f>IF(OR(L42&gt;1,L42&lt;0),1,0)</f>
        <v>0</v>
      </c>
      <c r="Y42" s="528">
        <f>IF(OR(M42&gt;1,M42&lt;0),1,0)</f>
        <v>0</v>
      </c>
      <c r="Z42" s="528">
        <f>IF(OR(N42&gt;1,N42&lt;0),1,0)</f>
        <v>0</v>
      </c>
      <c r="AA42" s="528">
        <f>IF(OR(O42&gt;1,O42&lt;0),1,0)</f>
        <v>0</v>
      </c>
    </row>
    <row r="43" spans="2:27" s="528" customFormat="1" x14ac:dyDescent="0.25">
      <c r="C43" s="541" t="str">
        <f t="shared" si="6"/>
        <v>Non-contracted</v>
      </c>
      <c r="D43" s="541"/>
      <c r="E43" s="543">
        <f>E$42*$M10</f>
        <v>2.0415012025281055E-2</v>
      </c>
      <c r="F43" s="543">
        <f t="shared" ref="F43:I45" si="7">F$42*$M10</f>
        <v>2.0415012025281055E-2</v>
      </c>
      <c r="G43" s="543">
        <f t="shared" si="7"/>
        <v>2.0415012025281055E-2</v>
      </c>
      <c r="H43" s="543">
        <f t="shared" si="7"/>
        <v>2.0415012025281055E-2</v>
      </c>
      <c r="I43" s="543">
        <f t="shared" si="7"/>
        <v>2.0415012025281055E-2</v>
      </c>
      <c r="J43" s="1151"/>
      <c r="K43" s="543">
        <f>K$42*$N10</f>
        <v>0</v>
      </c>
      <c r="L43" s="543">
        <f t="shared" ref="L43:O45" si="8">L$42*$N10</f>
        <v>0</v>
      </c>
      <c r="M43" s="543">
        <f t="shared" si="8"/>
        <v>0</v>
      </c>
      <c r="N43" s="543">
        <f>N$42*$N10</f>
        <v>0</v>
      </c>
      <c r="O43" s="543">
        <f t="shared" si="8"/>
        <v>0</v>
      </c>
    </row>
    <row r="44" spans="2:27" s="528" customFormat="1" x14ac:dyDescent="0.25">
      <c r="C44" s="541" t="str">
        <f t="shared" si="6"/>
        <v>Contracted</v>
      </c>
      <c r="D44" s="541"/>
      <c r="E44" s="543">
        <f>E$42*$M11</f>
        <v>0.17154203255215617</v>
      </c>
      <c r="F44" s="543">
        <f t="shared" si="7"/>
        <v>0.17154203255215617</v>
      </c>
      <c r="G44" s="543">
        <f t="shared" si="7"/>
        <v>0.17154203255215617</v>
      </c>
      <c r="H44" s="543">
        <f t="shared" si="7"/>
        <v>0.17154203255215617</v>
      </c>
      <c r="I44" s="543">
        <f t="shared" si="7"/>
        <v>0.17154203255215617</v>
      </c>
      <c r="J44" s="1151"/>
      <c r="K44" s="543">
        <f>K$42*$N11</f>
        <v>0</v>
      </c>
      <c r="L44" s="543">
        <f t="shared" si="8"/>
        <v>0</v>
      </c>
      <c r="M44" s="543">
        <f t="shared" si="8"/>
        <v>0</v>
      </c>
      <c r="N44" s="543">
        <f t="shared" si="8"/>
        <v>0</v>
      </c>
      <c r="O44" s="543">
        <f t="shared" si="8"/>
        <v>0</v>
      </c>
    </row>
    <row r="45" spans="2:27" s="528" customFormat="1" x14ac:dyDescent="0.25">
      <c r="C45" s="1084" t="str">
        <f t="shared" si="6"/>
        <v>KP</v>
      </c>
      <c r="D45" s="1084"/>
      <c r="E45" s="546">
        <f>E$42*$M12</f>
        <v>1.6164215000838974E-2</v>
      </c>
      <c r="F45" s="546">
        <f t="shared" si="7"/>
        <v>1.6164215000838974E-2</v>
      </c>
      <c r="G45" s="546">
        <f t="shared" si="7"/>
        <v>1.6164215000838974E-2</v>
      </c>
      <c r="H45" s="546">
        <f t="shared" si="7"/>
        <v>1.6164215000838974E-2</v>
      </c>
      <c r="I45" s="546">
        <f t="shared" si="7"/>
        <v>1.6164215000838974E-2</v>
      </c>
      <c r="J45" s="1152"/>
      <c r="K45" s="546">
        <f>K$42*$N12</f>
        <v>1.6008537886872998E-2</v>
      </c>
      <c r="L45" s="546">
        <f t="shared" si="8"/>
        <v>1.6008537886872998E-2</v>
      </c>
      <c r="M45" s="546">
        <f t="shared" si="8"/>
        <v>1.6008537886872998E-2</v>
      </c>
      <c r="N45" s="546">
        <f t="shared" si="8"/>
        <v>1.6008537886872998E-2</v>
      </c>
      <c r="O45" s="546">
        <f t="shared" si="8"/>
        <v>1.6008537886872998E-2</v>
      </c>
    </row>
    <row r="46" spans="2:27" s="528" customFormat="1" x14ac:dyDescent="0.25">
      <c r="C46" s="531" t="str">
        <f t="shared" si="6"/>
        <v>Medicare</v>
      </c>
      <c r="D46" s="531"/>
      <c r="E46" s="543">
        <f t="shared" ref="E46:I49" si="9">(1-E$42)*$M15</f>
        <v>0.5187091000615246</v>
      </c>
      <c r="F46" s="543">
        <f t="shared" si="9"/>
        <v>0.5187091000615246</v>
      </c>
      <c r="G46" s="543">
        <f t="shared" si="9"/>
        <v>0.5187091000615246</v>
      </c>
      <c r="H46" s="543">
        <f t="shared" si="9"/>
        <v>0.5187091000615246</v>
      </c>
      <c r="I46" s="543">
        <f t="shared" si="9"/>
        <v>0.5187091000615246</v>
      </c>
      <c r="J46" s="1151"/>
      <c r="K46" s="543">
        <f>(1-K$42)*$N15</f>
        <v>0.96584845250800422</v>
      </c>
      <c r="L46" s="543">
        <f>(1-L$42)*$N15</f>
        <v>0.96584845250800422</v>
      </c>
      <c r="M46" s="543">
        <f>(1-M$42)*$N15</f>
        <v>0.96584845250800422</v>
      </c>
      <c r="N46" s="543">
        <f>(1-N$42)*$N15</f>
        <v>0.96584845250800422</v>
      </c>
      <c r="O46" s="543">
        <f>(1-O$42)*$N15</f>
        <v>0.96584845250800422</v>
      </c>
    </row>
    <row r="47" spans="2:27" s="528" customFormat="1" x14ac:dyDescent="0.25">
      <c r="C47" s="531" t="str">
        <f t="shared" si="6"/>
        <v>Medicaid</v>
      </c>
      <c r="D47" s="531"/>
      <c r="E47" s="543">
        <f t="shared" si="9"/>
        <v>0.21505677051289218</v>
      </c>
      <c r="F47" s="543">
        <f t="shared" si="9"/>
        <v>0.21505677051289218</v>
      </c>
      <c r="G47" s="543">
        <f t="shared" si="9"/>
        <v>0.21505677051289218</v>
      </c>
      <c r="H47" s="543">
        <f t="shared" si="9"/>
        <v>0.21505677051289218</v>
      </c>
      <c r="I47" s="543">
        <f t="shared" si="9"/>
        <v>0.21505677051289218</v>
      </c>
      <c r="J47" s="1151"/>
      <c r="K47" s="543">
        <f>(1-K$42)*$N16</f>
        <v>1.8143009605122731E-2</v>
      </c>
      <c r="L47" s="543">
        <f t="shared" ref="L47:O49" si="10">(1-L$42)*$N16</f>
        <v>1.8143009605122731E-2</v>
      </c>
      <c r="M47" s="543">
        <f t="shared" si="10"/>
        <v>1.8143009605122731E-2</v>
      </c>
      <c r="N47" s="543">
        <f t="shared" si="10"/>
        <v>1.8143009605122731E-2</v>
      </c>
      <c r="O47" s="543">
        <f t="shared" si="10"/>
        <v>1.8143009605122731E-2</v>
      </c>
    </row>
    <row r="48" spans="2:27" s="528" customFormat="1" x14ac:dyDescent="0.25">
      <c r="C48" s="531" t="str">
        <f t="shared" si="6"/>
        <v>Other</v>
      </c>
      <c r="D48" s="531"/>
      <c r="E48" s="543">
        <f t="shared" si="9"/>
        <v>5.8112869847306896E-2</v>
      </c>
      <c r="F48" s="543">
        <f t="shared" si="9"/>
        <v>5.8112869847306896E-2</v>
      </c>
      <c r="G48" s="543">
        <f t="shared" si="9"/>
        <v>5.8112869847306896E-2</v>
      </c>
      <c r="H48" s="543">
        <f t="shared" si="9"/>
        <v>5.8112869847306896E-2</v>
      </c>
      <c r="I48" s="543">
        <f t="shared" si="9"/>
        <v>5.8112869847306896E-2</v>
      </c>
      <c r="J48" s="1151"/>
      <c r="K48" s="543">
        <f>(1-K$42)*$N17</f>
        <v>0</v>
      </c>
      <c r="L48" s="543">
        <f t="shared" si="10"/>
        <v>0</v>
      </c>
      <c r="M48" s="543">
        <f t="shared" si="10"/>
        <v>0</v>
      </c>
      <c r="N48" s="543">
        <f t="shared" si="10"/>
        <v>0</v>
      </c>
      <c r="O48" s="543">
        <f t="shared" si="10"/>
        <v>0</v>
      </c>
    </row>
    <row r="49" spans="2:15" s="528" customFormat="1" x14ac:dyDescent="0.25">
      <c r="C49" s="1085" t="str">
        <f t="shared" si="6"/>
        <v>AKI</v>
      </c>
      <c r="D49" s="1085"/>
      <c r="E49" s="546">
        <f t="shared" si="9"/>
        <v>0</v>
      </c>
      <c r="F49" s="546">
        <f t="shared" si="9"/>
        <v>0</v>
      </c>
      <c r="G49" s="546">
        <f t="shared" si="9"/>
        <v>0</v>
      </c>
      <c r="H49" s="546">
        <f t="shared" si="9"/>
        <v>0</v>
      </c>
      <c r="I49" s="546">
        <f t="shared" si="9"/>
        <v>0</v>
      </c>
      <c r="J49" s="1152"/>
      <c r="K49" s="546">
        <f>(1-K$42)*$N18</f>
        <v>0</v>
      </c>
      <c r="L49" s="546">
        <f t="shared" si="10"/>
        <v>0</v>
      </c>
      <c r="M49" s="546">
        <f t="shared" si="10"/>
        <v>0</v>
      </c>
      <c r="N49" s="546">
        <f t="shared" si="10"/>
        <v>0</v>
      </c>
      <c r="O49" s="546">
        <f t="shared" si="10"/>
        <v>0</v>
      </c>
    </row>
    <row r="50" spans="2:15" s="528" customFormat="1" x14ac:dyDescent="0.25">
      <c r="C50" s="531" t="str">
        <f t="shared" si="6"/>
        <v>Total</v>
      </c>
      <c r="D50" s="531"/>
      <c r="E50" s="543">
        <f>SUM(E43:E49)</f>
        <v>0.99999999999999989</v>
      </c>
      <c r="F50" s="543">
        <f>SUM(F43:F49)</f>
        <v>0.99999999999999989</v>
      </c>
      <c r="G50" s="543">
        <f>SUM(G43:G49)</f>
        <v>0.99999999999999989</v>
      </c>
      <c r="H50" s="543">
        <f>SUM(H43:H49)</f>
        <v>0.99999999999999989</v>
      </c>
      <c r="I50" s="543">
        <f>SUM(I43:I49)</f>
        <v>0.99999999999999989</v>
      </c>
      <c r="J50" s="1151"/>
      <c r="K50" s="543">
        <f>SUM(K43:K49)</f>
        <v>0.99999999999999989</v>
      </c>
      <c r="L50" s="543">
        <f>SUM(L43:L49)</f>
        <v>0.99999999999999989</v>
      </c>
      <c r="M50" s="543">
        <f>SUM(M43:M49)</f>
        <v>0.99999999999999989</v>
      </c>
      <c r="N50" s="543">
        <f>SUM(N43:N49)</f>
        <v>0.99999999999999989</v>
      </c>
      <c r="O50" s="543">
        <f>SUM(O43:O49)</f>
        <v>0.99999999999999989</v>
      </c>
    </row>
    <row r="51" spans="2:15" x14ac:dyDescent="0.25">
      <c r="B51" s="528"/>
      <c r="C51" s="531"/>
      <c r="D51" s="548"/>
      <c r="E51" s="753"/>
      <c r="F51" s="753"/>
      <c r="G51" s="753"/>
      <c r="H51" s="1080"/>
      <c r="I51" s="753"/>
      <c r="J51" s="1155"/>
      <c r="K51" s="753"/>
      <c r="L51" s="753"/>
      <c r="M51" s="753"/>
      <c r="N51" s="753"/>
      <c r="O51" s="753"/>
    </row>
    <row r="52" spans="2:15" x14ac:dyDescent="0.25">
      <c r="B52" s="528"/>
      <c r="C52" s="528"/>
      <c r="D52" s="528"/>
      <c r="E52" s="528"/>
      <c r="F52" s="528"/>
      <c r="G52" s="528"/>
      <c r="H52" s="531"/>
      <c r="I52" s="528"/>
      <c r="J52" s="528"/>
      <c r="K52" s="528"/>
      <c r="L52" s="528"/>
      <c r="M52" s="528"/>
      <c r="N52" s="528"/>
      <c r="O52" s="528"/>
    </row>
    <row r="53" spans="2:15" x14ac:dyDescent="0.25">
      <c r="B53" s="528"/>
      <c r="C53" s="528"/>
      <c r="D53" s="528"/>
      <c r="E53" s="528"/>
      <c r="F53" s="528"/>
      <c r="G53" s="528"/>
      <c r="H53" s="531"/>
      <c r="I53" s="528"/>
      <c r="J53" s="528"/>
      <c r="K53" s="528"/>
      <c r="L53" s="528"/>
      <c r="M53" s="528"/>
      <c r="N53" s="528"/>
      <c r="O53" s="528"/>
    </row>
    <row r="54" spans="2:15" x14ac:dyDescent="0.25">
      <c r="B54" s="528"/>
      <c r="C54" s="528"/>
      <c r="D54" s="528"/>
      <c r="E54" s="528"/>
      <c r="F54" s="528"/>
      <c r="G54" s="528"/>
      <c r="H54" s="531"/>
      <c r="I54" s="528"/>
      <c r="J54" s="528"/>
      <c r="K54" s="528"/>
      <c r="L54" s="528"/>
      <c r="M54" s="528"/>
      <c r="N54" s="528"/>
      <c r="O54" s="528"/>
    </row>
    <row r="55" spans="2:15" x14ac:dyDescent="0.25">
      <c r="B55" s="528"/>
      <c r="C55" s="528"/>
      <c r="D55" s="528"/>
      <c r="E55" s="528"/>
      <c r="F55" s="528"/>
      <c r="G55" s="528"/>
      <c r="H55" s="531"/>
      <c r="I55" s="528"/>
      <c r="J55" s="528"/>
      <c r="K55" s="528"/>
      <c r="L55" s="528"/>
      <c r="M55" s="528"/>
      <c r="N55" s="528"/>
      <c r="O55" s="528"/>
    </row>
    <row r="56" spans="2:15" x14ac:dyDescent="0.25">
      <c r="B56" s="528"/>
      <c r="C56" s="528"/>
      <c r="D56" s="528"/>
      <c r="E56" s="528"/>
      <c r="F56" s="528"/>
      <c r="G56" s="528"/>
      <c r="H56" s="531"/>
      <c r="I56" s="528"/>
      <c r="J56" s="528"/>
      <c r="K56" s="528"/>
      <c r="L56" s="528"/>
      <c r="M56" s="528"/>
      <c r="N56" s="528"/>
      <c r="O56" s="528"/>
    </row>
    <row r="57" spans="2:15" x14ac:dyDescent="0.25">
      <c r="B57" s="528"/>
      <c r="C57" s="528"/>
      <c r="D57" s="528"/>
      <c r="E57" s="528"/>
      <c r="F57" s="528"/>
      <c r="G57" s="528"/>
      <c r="H57" s="531"/>
      <c r="I57" s="528"/>
      <c r="J57" s="528"/>
      <c r="K57" s="528"/>
      <c r="L57" s="528"/>
      <c r="M57" s="528"/>
      <c r="N57" s="528"/>
      <c r="O57" s="528"/>
    </row>
    <row r="58" spans="2:15" x14ac:dyDescent="0.25">
      <c r="B58" s="528"/>
      <c r="C58" s="528"/>
      <c r="D58" s="528"/>
      <c r="E58" s="528"/>
      <c r="F58" s="528"/>
      <c r="G58" s="528"/>
      <c r="H58" s="531"/>
      <c r="I58" s="528"/>
      <c r="J58" s="528"/>
      <c r="K58" s="528"/>
      <c r="L58" s="528"/>
      <c r="M58" s="528"/>
      <c r="N58" s="528"/>
      <c r="O58" s="528"/>
    </row>
    <row r="59" spans="2:15" x14ac:dyDescent="0.25">
      <c r="B59" s="528"/>
      <c r="C59" s="528"/>
      <c r="D59" s="528"/>
      <c r="E59" s="528"/>
      <c r="F59" s="528"/>
      <c r="G59" s="528"/>
      <c r="H59" s="531"/>
      <c r="I59" s="528"/>
      <c r="J59" s="528"/>
      <c r="K59" s="528"/>
      <c r="L59" s="528"/>
      <c r="M59" s="528"/>
      <c r="N59" s="528"/>
      <c r="O59" s="528"/>
    </row>
    <row r="60" spans="2:15" x14ac:dyDescent="0.25">
      <c r="B60" s="528"/>
      <c r="C60" s="528"/>
      <c r="D60" s="528"/>
      <c r="E60" s="528"/>
      <c r="F60" s="528"/>
      <c r="G60" s="528"/>
      <c r="H60" s="531"/>
      <c r="I60" s="528"/>
      <c r="J60" s="528"/>
      <c r="K60" s="528"/>
      <c r="L60" s="528"/>
      <c r="M60" s="528"/>
      <c r="N60" s="528"/>
      <c r="O60" s="528"/>
    </row>
    <row r="61" spans="2:15" x14ac:dyDescent="0.25">
      <c r="B61" s="528"/>
      <c r="C61" s="528"/>
      <c r="D61" s="528"/>
      <c r="E61" s="528"/>
      <c r="F61" s="528"/>
      <c r="G61" s="528"/>
      <c r="H61" s="531"/>
      <c r="I61" s="528"/>
      <c r="J61" s="528"/>
      <c r="K61" s="528"/>
      <c r="L61" s="528"/>
      <c r="M61" s="528"/>
      <c r="N61" s="528"/>
      <c r="O61" s="528"/>
    </row>
    <row r="62" spans="2:15" x14ac:dyDescent="0.25">
      <c r="B62" s="528"/>
      <c r="C62" s="528"/>
      <c r="D62" s="528"/>
      <c r="E62" s="528"/>
      <c r="F62" s="528"/>
      <c r="G62" s="528"/>
      <c r="H62" s="531"/>
      <c r="I62" s="528"/>
      <c r="J62" s="528"/>
      <c r="K62" s="528"/>
      <c r="L62" s="528"/>
      <c r="M62" s="528"/>
      <c r="N62" s="528"/>
      <c r="O62" s="528"/>
    </row>
    <row r="63" spans="2:15" x14ac:dyDescent="0.25">
      <c r="B63" s="528"/>
      <c r="C63" s="528"/>
      <c r="D63" s="528"/>
      <c r="E63" s="528"/>
      <c r="F63" s="528"/>
      <c r="G63" s="528"/>
      <c r="H63" s="531"/>
      <c r="I63" s="528"/>
      <c r="J63" s="528"/>
      <c r="K63" s="528"/>
      <c r="L63" s="528"/>
      <c r="M63" s="528"/>
      <c r="N63" s="528"/>
      <c r="O63" s="528"/>
    </row>
    <row r="64" spans="2:15" x14ac:dyDescent="0.25">
      <c r="B64" s="528"/>
      <c r="C64" s="528"/>
      <c r="D64" s="528"/>
      <c r="E64" s="528"/>
      <c r="F64" s="528"/>
      <c r="G64" s="528"/>
      <c r="H64" s="531"/>
      <c r="I64" s="528"/>
      <c r="J64" s="528"/>
      <c r="K64" s="528"/>
      <c r="L64" s="528"/>
      <c r="M64" s="528"/>
      <c r="N64" s="528"/>
      <c r="O64" s="528"/>
    </row>
    <row r="65" spans="2:15" x14ac:dyDescent="0.25">
      <c r="B65" s="528"/>
      <c r="C65" s="528"/>
      <c r="D65" s="528"/>
      <c r="E65" s="528"/>
      <c r="F65" s="528"/>
      <c r="G65" s="528"/>
      <c r="H65" s="531"/>
      <c r="I65" s="528"/>
      <c r="J65" s="528"/>
      <c r="K65" s="528"/>
      <c r="L65" s="528"/>
      <c r="M65" s="528"/>
      <c r="N65" s="528"/>
      <c r="O65" s="528"/>
    </row>
    <row r="66" spans="2:15" x14ac:dyDescent="0.25">
      <c r="B66" s="528"/>
      <c r="C66" s="528"/>
      <c r="D66" s="528"/>
      <c r="E66" s="528"/>
      <c r="F66" s="528"/>
      <c r="G66" s="528"/>
      <c r="H66" s="531"/>
      <c r="I66" s="528"/>
      <c r="J66" s="528"/>
      <c r="K66" s="528"/>
      <c r="L66" s="528"/>
      <c r="M66" s="528"/>
      <c r="N66" s="528"/>
      <c r="O66" s="528"/>
    </row>
    <row r="67" spans="2:15" x14ac:dyDescent="0.25">
      <c r="B67" s="528"/>
      <c r="C67" s="528"/>
      <c r="D67" s="528"/>
      <c r="E67" s="528"/>
      <c r="F67" s="528"/>
      <c r="G67" s="528"/>
      <c r="H67" s="531"/>
      <c r="I67" s="528"/>
      <c r="J67" s="528"/>
      <c r="K67" s="528"/>
      <c r="L67" s="528"/>
      <c r="M67" s="528"/>
      <c r="N67" s="528"/>
      <c r="O67" s="528"/>
    </row>
    <row r="68" spans="2:15" x14ac:dyDescent="0.25">
      <c r="B68" s="528"/>
      <c r="C68" s="528"/>
      <c r="D68" s="528"/>
      <c r="E68" s="528"/>
      <c r="F68" s="528"/>
      <c r="G68" s="528"/>
      <c r="H68" s="531"/>
      <c r="I68" s="528"/>
      <c r="J68" s="528"/>
      <c r="K68" s="528"/>
      <c r="L68" s="528"/>
      <c r="M68" s="528"/>
      <c r="N68" s="528"/>
      <c r="O68" s="528"/>
    </row>
    <row r="69" spans="2:15" x14ac:dyDescent="0.25">
      <c r="B69" s="528"/>
      <c r="C69" s="528"/>
      <c r="D69" s="528"/>
      <c r="E69" s="528"/>
      <c r="F69" s="528"/>
      <c r="G69" s="528"/>
      <c r="H69" s="531"/>
      <c r="I69" s="528"/>
      <c r="J69" s="528"/>
      <c r="K69" s="528"/>
      <c r="L69" s="528"/>
      <c r="M69" s="528"/>
      <c r="N69" s="528"/>
      <c r="O69" s="528"/>
    </row>
    <row r="70" spans="2:15" x14ac:dyDescent="0.25">
      <c r="B70" s="528"/>
      <c r="C70" s="528"/>
      <c r="D70" s="528"/>
      <c r="E70" s="528"/>
      <c r="F70" s="528"/>
      <c r="G70" s="528"/>
      <c r="H70" s="531"/>
      <c r="I70" s="528"/>
      <c r="J70" s="528"/>
      <c r="K70" s="528"/>
      <c r="L70" s="528"/>
      <c r="M70" s="528"/>
      <c r="N70" s="528"/>
      <c r="O70" s="528"/>
    </row>
    <row r="71" spans="2:15" x14ac:dyDescent="0.25">
      <c r="B71" s="528"/>
      <c r="C71" s="528"/>
      <c r="D71" s="528"/>
      <c r="E71" s="528"/>
      <c r="F71" s="528"/>
      <c r="G71" s="528"/>
      <c r="H71" s="531"/>
      <c r="I71" s="528"/>
      <c r="J71" s="528"/>
      <c r="K71" s="528"/>
      <c r="L71" s="528"/>
      <c r="M71" s="528"/>
      <c r="N71" s="528"/>
      <c r="O71" s="528"/>
    </row>
    <row r="72" spans="2:15" x14ac:dyDescent="0.25">
      <c r="B72" s="528"/>
      <c r="C72" s="528"/>
      <c r="D72" s="528"/>
      <c r="E72" s="528"/>
      <c r="F72" s="528"/>
      <c r="G72" s="528"/>
      <c r="H72" s="531"/>
      <c r="I72" s="528"/>
      <c r="J72" s="528"/>
      <c r="K72" s="528"/>
      <c r="L72" s="528"/>
      <c r="M72" s="528"/>
      <c r="N72" s="528"/>
      <c r="O72" s="528"/>
    </row>
    <row r="73" spans="2:15" x14ac:dyDescent="0.25">
      <c r="B73" s="528"/>
      <c r="C73" s="528"/>
      <c r="D73" s="528"/>
      <c r="E73" s="528"/>
      <c r="F73" s="528"/>
      <c r="G73" s="528"/>
      <c r="H73" s="531"/>
      <c r="I73" s="528"/>
      <c r="J73" s="528"/>
      <c r="K73" s="528"/>
      <c r="L73" s="528"/>
      <c r="M73" s="528"/>
      <c r="N73" s="528"/>
      <c r="O73" s="528"/>
    </row>
    <row r="74" spans="2:15" x14ac:dyDescent="0.25">
      <c r="B74" s="528"/>
      <c r="C74" s="528"/>
      <c r="D74" s="528"/>
      <c r="E74" s="528"/>
      <c r="F74" s="528"/>
      <c r="G74" s="528"/>
      <c r="H74" s="531"/>
      <c r="I74" s="528"/>
      <c r="J74" s="528"/>
      <c r="K74" s="528"/>
      <c r="L74" s="528"/>
      <c r="M74" s="528"/>
      <c r="N74" s="528"/>
      <c r="O74" s="528"/>
    </row>
    <row r="75" spans="2:15" x14ac:dyDescent="0.25">
      <c r="B75" s="528"/>
      <c r="C75" s="528"/>
      <c r="D75" s="528"/>
      <c r="E75" s="528"/>
      <c r="F75" s="528"/>
      <c r="G75" s="528"/>
      <c r="H75" s="531"/>
      <c r="I75" s="528"/>
      <c r="J75" s="528"/>
      <c r="K75" s="528"/>
      <c r="L75" s="528"/>
      <c r="M75" s="528"/>
      <c r="N75" s="528"/>
      <c r="O75" s="528"/>
    </row>
    <row r="76" spans="2:15" x14ac:dyDescent="0.25">
      <c r="B76" s="528"/>
      <c r="C76" s="528"/>
      <c r="D76" s="528"/>
      <c r="E76" s="528"/>
      <c r="F76" s="528"/>
      <c r="G76" s="528"/>
      <c r="H76" s="531"/>
      <c r="I76" s="528"/>
      <c r="J76" s="528"/>
      <c r="K76" s="528"/>
      <c r="L76" s="528"/>
      <c r="M76" s="528"/>
      <c r="N76" s="528"/>
      <c r="O76" s="528"/>
    </row>
    <row r="77" spans="2:15" x14ac:dyDescent="0.25">
      <c r="B77" s="528"/>
      <c r="C77" s="528"/>
      <c r="D77" s="528"/>
      <c r="E77" s="528"/>
      <c r="F77" s="528"/>
      <c r="G77" s="528"/>
      <c r="H77" s="531"/>
      <c r="I77" s="528"/>
      <c r="J77" s="528"/>
      <c r="K77" s="528"/>
      <c r="L77" s="528"/>
      <c r="M77" s="528"/>
      <c r="N77" s="528"/>
      <c r="O77" s="528"/>
    </row>
    <row r="78" spans="2:15" x14ac:dyDescent="0.25">
      <c r="B78" s="528"/>
      <c r="C78" s="528"/>
      <c r="D78" s="528"/>
      <c r="E78" s="528"/>
      <c r="F78" s="528"/>
      <c r="G78" s="528"/>
      <c r="H78" s="531"/>
      <c r="I78" s="528"/>
      <c r="J78" s="528"/>
      <c r="K78" s="528"/>
      <c r="L78" s="528"/>
      <c r="M78" s="528"/>
      <c r="N78" s="528"/>
      <c r="O78" s="528"/>
    </row>
    <row r="79" spans="2:15" x14ac:dyDescent="0.25">
      <c r="B79" s="528"/>
      <c r="C79" s="528"/>
      <c r="D79" s="528"/>
      <c r="E79" s="528"/>
      <c r="F79" s="528"/>
      <c r="G79" s="528"/>
      <c r="H79" s="531"/>
      <c r="I79" s="528"/>
      <c r="J79" s="528"/>
      <c r="K79" s="528"/>
      <c r="L79" s="528"/>
      <c r="M79" s="528"/>
      <c r="N79" s="528"/>
      <c r="O79" s="528"/>
    </row>
    <row r="80" spans="2:15" x14ac:dyDescent="0.25">
      <c r="B80" s="528"/>
      <c r="C80" s="528"/>
      <c r="D80" s="528"/>
      <c r="E80" s="528"/>
      <c r="F80" s="528"/>
      <c r="G80" s="528"/>
      <c r="H80" s="531"/>
      <c r="I80" s="528"/>
      <c r="J80" s="528"/>
      <c r="K80" s="528"/>
      <c r="L80" s="528"/>
      <c r="M80" s="528"/>
      <c r="N80" s="528"/>
      <c r="O80" s="528"/>
    </row>
    <row r="81" spans="2:15" x14ac:dyDescent="0.25">
      <c r="B81" s="528"/>
      <c r="C81" s="528"/>
      <c r="D81" s="528"/>
      <c r="E81" s="528"/>
      <c r="F81" s="528"/>
      <c r="G81" s="528"/>
      <c r="H81" s="531"/>
      <c r="I81" s="528"/>
      <c r="J81" s="528"/>
      <c r="K81" s="528"/>
      <c r="L81" s="528"/>
      <c r="M81" s="528"/>
      <c r="N81" s="528"/>
      <c r="O81" s="528"/>
    </row>
    <row r="82" spans="2:15" x14ac:dyDescent="0.25">
      <c r="B82" s="528"/>
      <c r="C82" s="528"/>
      <c r="D82" s="528"/>
      <c r="E82" s="528"/>
      <c r="F82" s="528"/>
      <c r="G82" s="528"/>
      <c r="H82" s="531"/>
      <c r="I82" s="528"/>
      <c r="J82" s="528"/>
      <c r="K82" s="528"/>
      <c r="L82" s="528"/>
      <c r="M82" s="528"/>
      <c r="N82" s="528"/>
      <c r="O82" s="528"/>
    </row>
    <row r="83" spans="2:15" x14ac:dyDescent="0.25">
      <c r="B83" s="528"/>
      <c r="C83" s="528"/>
      <c r="D83" s="528"/>
      <c r="E83" s="528"/>
      <c r="F83" s="528"/>
      <c r="G83" s="528"/>
      <c r="H83" s="531"/>
      <c r="I83" s="528"/>
      <c r="J83" s="528"/>
      <c r="K83" s="528"/>
      <c r="L83" s="528"/>
      <c r="M83" s="528"/>
      <c r="N83" s="528"/>
      <c r="O83" s="528"/>
    </row>
    <row r="84" spans="2:15" x14ac:dyDescent="0.25">
      <c r="B84" s="528"/>
      <c r="C84" s="528"/>
      <c r="D84" s="528"/>
      <c r="E84" s="528"/>
      <c r="F84" s="528"/>
      <c r="G84" s="528"/>
      <c r="H84" s="531"/>
      <c r="I84" s="528"/>
      <c r="J84" s="528"/>
      <c r="K84" s="528"/>
      <c r="L84" s="528"/>
      <c r="M84" s="528"/>
      <c r="N84" s="528"/>
      <c r="O84" s="528"/>
    </row>
    <row r="85" spans="2:15" x14ac:dyDescent="0.25">
      <c r="B85" s="528"/>
      <c r="C85" s="528"/>
      <c r="D85" s="528"/>
      <c r="E85" s="528"/>
      <c r="F85" s="528"/>
      <c r="G85" s="528"/>
      <c r="H85" s="531"/>
      <c r="I85" s="528"/>
      <c r="J85" s="528"/>
      <c r="K85" s="528"/>
      <c r="L85" s="528"/>
      <c r="M85" s="528"/>
      <c r="N85" s="528"/>
      <c r="O85" s="528"/>
    </row>
    <row r="86" spans="2:15" x14ac:dyDescent="0.25">
      <c r="B86" s="528"/>
      <c r="C86" s="528"/>
      <c r="D86" s="528"/>
      <c r="E86" s="528"/>
      <c r="F86" s="528"/>
      <c r="G86" s="528"/>
      <c r="H86" s="531"/>
      <c r="I86" s="528"/>
      <c r="J86" s="528"/>
      <c r="K86" s="528"/>
      <c r="L86" s="528"/>
      <c r="M86" s="528"/>
      <c r="N86" s="528"/>
      <c r="O86" s="528"/>
    </row>
    <row r="87" spans="2:15" x14ac:dyDescent="0.25">
      <c r="B87" s="528"/>
      <c r="C87" s="528"/>
      <c r="D87" s="528"/>
      <c r="E87" s="528"/>
      <c r="F87" s="528"/>
      <c r="G87" s="528"/>
      <c r="H87" s="531"/>
      <c r="I87" s="528"/>
      <c r="J87" s="528"/>
      <c r="K87" s="528"/>
      <c r="L87" s="528"/>
      <c r="M87" s="528"/>
      <c r="N87" s="528"/>
      <c r="O87" s="528"/>
    </row>
    <row r="88" spans="2:15" x14ac:dyDescent="0.25">
      <c r="B88" s="528"/>
      <c r="C88" s="528"/>
      <c r="D88" s="528"/>
      <c r="E88" s="528"/>
      <c r="F88" s="528"/>
      <c r="G88" s="528"/>
      <c r="H88" s="531"/>
      <c r="I88" s="528"/>
      <c r="J88" s="528"/>
      <c r="K88" s="528"/>
      <c r="L88" s="528"/>
      <c r="M88" s="528"/>
      <c r="N88" s="528"/>
      <c r="O88" s="528"/>
    </row>
    <row r="89" spans="2:15" x14ac:dyDescent="0.25">
      <c r="B89" s="528"/>
      <c r="C89" s="528"/>
      <c r="D89" s="528"/>
      <c r="E89" s="528"/>
      <c r="F89" s="528"/>
      <c r="G89" s="528"/>
      <c r="H89" s="531"/>
      <c r="I89" s="528"/>
      <c r="J89" s="528"/>
      <c r="K89" s="528"/>
      <c r="L89" s="528"/>
      <c r="M89" s="528"/>
      <c r="N89" s="528"/>
      <c r="O89" s="528"/>
    </row>
    <row r="90" spans="2:15" x14ac:dyDescent="0.25">
      <c r="B90" s="528"/>
      <c r="C90" s="528"/>
      <c r="D90" s="528"/>
      <c r="E90" s="528"/>
      <c r="F90" s="528"/>
      <c r="G90" s="528"/>
      <c r="H90" s="531"/>
      <c r="I90" s="528"/>
      <c r="J90" s="528"/>
      <c r="K90" s="528"/>
      <c r="L90" s="528"/>
      <c r="M90" s="528"/>
      <c r="N90" s="528"/>
      <c r="O90" s="528"/>
    </row>
    <row r="91" spans="2:15" x14ac:dyDescent="0.25">
      <c r="B91" s="528"/>
      <c r="C91" s="528"/>
      <c r="D91" s="528"/>
      <c r="E91" s="528"/>
      <c r="F91" s="528"/>
      <c r="G91" s="528"/>
      <c r="H91" s="531"/>
      <c r="I91" s="528"/>
      <c r="J91" s="528"/>
      <c r="K91" s="528"/>
      <c r="L91" s="528"/>
      <c r="M91" s="528"/>
      <c r="N91" s="528"/>
      <c r="O91" s="528"/>
    </row>
    <row r="92" spans="2:15" x14ac:dyDescent="0.25">
      <c r="B92" s="528"/>
      <c r="C92" s="528"/>
      <c r="D92" s="528"/>
      <c r="E92" s="528"/>
      <c r="F92" s="528"/>
      <c r="G92" s="528"/>
      <c r="H92" s="531"/>
      <c r="I92" s="528"/>
      <c r="J92" s="528"/>
      <c r="K92" s="528"/>
      <c r="L92" s="528"/>
      <c r="M92" s="528"/>
      <c r="N92" s="528"/>
      <c r="O92" s="528"/>
    </row>
    <row r="93" spans="2:15" x14ac:dyDescent="0.25">
      <c r="B93" s="528"/>
      <c r="C93" s="528"/>
      <c r="D93" s="528"/>
      <c r="E93" s="528"/>
      <c r="F93" s="528"/>
      <c r="G93" s="528"/>
      <c r="H93" s="531"/>
      <c r="I93" s="528"/>
      <c r="J93" s="528"/>
      <c r="K93" s="528"/>
      <c r="L93" s="528"/>
      <c r="M93" s="528"/>
      <c r="N93" s="528"/>
      <c r="O93" s="528"/>
    </row>
    <row r="94" spans="2:15" x14ac:dyDescent="0.25">
      <c r="B94" s="528"/>
      <c r="C94" s="528"/>
      <c r="D94" s="528"/>
      <c r="E94" s="528"/>
      <c r="F94" s="528"/>
      <c r="G94" s="528"/>
      <c r="H94" s="531"/>
      <c r="I94" s="528"/>
      <c r="J94" s="528"/>
      <c r="K94" s="528"/>
      <c r="L94" s="528"/>
      <c r="M94" s="528"/>
      <c r="N94" s="528"/>
      <c r="O94" s="528"/>
    </row>
    <row r="95" spans="2:15" x14ac:dyDescent="0.25">
      <c r="B95" s="528"/>
      <c r="C95" s="528"/>
      <c r="D95" s="528"/>
      <c r="E95" s="528"/>
      <c r="F95" s="528"/>
      <c r="G95" s="528"/>
      <c r="H95" s="531"/>
      <c r="I95" s="528"/>
      <c r="J95" s="528"/>
      <c r="K95" s="528"/>
      <c r="L95" s="528"/>
      <c r="M95" s="528"/>
      <c r="N95" s="528"/>
      <c r="O95" s="528"/>
    </row>
    <row r="96" spans="2:15" x14ac:dyDescent="0.25">
      <c r="B96" s="528"/>
      <c r="C96" s="528"/>
      <c r="D96" s="528"/>
      <c r="E96" s="528"/>
      <c r="F96" s="528"/>
      <c r="G96" s="528"/>
      <c r="H96" s="531"/>
      <c r="I96" s="528"/>
      <c r="J96" s="528"/>
      <c r="K96" s="528"/>
      <c r="L96" s="528"/>
      <c r="M96" s="528"/>
      <c r="N96" s="528"/>
      <c r="O96" s="528"/>
    </row>
    <row r="97" spans="2:15" x14ac:dyDescent="0.25">
      <c r="B97" s="528"/>
      <c r="C97" s="528"/>
      <c r="D97" s="528"/>
      <c r="E97" s="528"/>
      <c r="F97" s="528"/>
      <c r="G97" s="528"/>
      <c r="H97" s="531"/>
      <c r="I97" s="528"/>
      <c r="J97" s="528"/>
      <c r="K97" s="528"/>
      <c r="L97" s="528"/>
      <c r="M97" s="528"/>
      <c r="N97" s="528"/>
      <c r="O97" s="528"/>
    </row>
    <row r="98" spans="2:15" x14ac:dyDescent="0.25">
      <c r="B98" s="528"/>
      <c r="C98" s="528"/>
      <c r="D98" s="528"/>
      <c r="E98" s="528"/>
      <c r="F98" s="528"/>
      <c r="G98" s="528"/>
      <c r="H98" s="531"/>
      <c r="I98" s="528"/>
      <c r="J98" s="528"/>
      <c r="K98" s="528"/>
      <c r="L98" s="528"/>
      <c r="M98" s="528"/>
      <c r="N98" s="528"/>
      <c r="O98" s="528"/>
    </row>
    <row r="99" spans="2:15" x14ac:dyDescent="0.25">
      <c r="B99" s="528"/>
      <c r="C99" s="528"/>
      <c r="D99" s="528"/>
      <c r="E99" s="528"/>
      <c r="F99" s="528"/>
      <c r="G99" s="528"/>
      <c r="H99" s="531"/>
      <c r="I99" s="528"/>
      <c r="J99" s="528"/>
      <c r="K99" s="528"/>
      <c r="L99" s="528"/>
      <c r="M99" s="528"/>
      <c r="N99" s="528"/>
      <c r="O99" s="528"/>
    </row>
    <row r="100" spans="2:15" x14ac:dyDescent="0.25">
      <c r="B100" s="528"/>
      <c r="C100" s="528"/>
      <c r="D100" s="528"/>
      <c r="E100" s="528"/>
      <c r="F100" s="528"/>
      <c r="G100" s="528"/>
      <c r="H100" s="531"/>
      <c r="I100" s="528"/>
      <c r="J100" s="528"/>
      <c r="K100" s="528"/>
      <c r="L100" s="528"/>
      <c r="M100" s="528"/>
      <c r="N100" s="528"/>
      <c r="O100" s="528"/>
    </row>
    <row r="101" spans="2:15" x14ac:dyDescent="0.25">
      <c r="B101" s="528"/>
      <c r="C101" s="528"/>
      <c r="D101" s="528"/>
      <c r="E101" s="528"/>
      <c r="F101" s="528"/>
      <c r="G101" s="528"/>
      <c r="H101" s="531"/>
      <c r="I101" s="528"/>
      <c r="J101" s="528"/>
      <c r="K101" s="528"/>
      <c r="L101" s="528"/>
      <c r="M101" s="528"/>
      <c r="N101" s="528"/>
      <c r="O101" s="528"/>
    </row>
    <row r="102" spans="2:15" x14ac:dyDescent="0.25">
      <c r="B102" s="528"/>
      <c r="C102" s="528"/>
      <c r="D102" s="528"/>
      <c r="E102" s="528"/>
      <c r="F102" s="528"/>
      <c r="G102" s="528"/>
      <c r="H102" s="531"/>
      <c r="I102" s="528"/>
      <c r="J102" s="528"/>
      <c r="K102" s="528"/>
      <c r="L102" s="528"/>
      <c r="M102" s="528"/>
      <c r="N102" s="528"/>
      <c r="O102" s="528"/>
    </row>
    <row r="103" spans="2:15" x14ac:dyDescent="0.25">
      <c r="B103" s="528"/>
      <c r="C103" s="528"/>
      <c r="D103" s="528"/>
      <c r="E103" s="528"/>
      <c r="F103" s="528"/>
      <c r="G103" s="528"/>
      <c r="H103" s="531"/>
      <c r="I103" s="528"/>
      <c r="J103" s="528"/>
      <c r="K103" s="528"/>
      <c r="L103" s="528"/>
      <c r="M103" s="528"/>
      <c r="N103" s="528"/>
      <c r="O103" s="528"/>
    </row>
    <row r="104" spans="2:15" x14ac:dyDescent="0.25">
      <c r="B104" s="528"/>
      <c r="C104" s="528"/>
      <c r="D104" s="528"/>
      <c r="E104" s="528"/>
      <c r="F104" s="528"/>
      <c r="G104" s="528"/>
      <c r="H104" s="531"/>
      <c r="I104" s="528"/>
      <c r="J104" s="528"/>
      <c r="K104" s="528"/>
      <c r="L104" s="528"/>
      <c r="M104" s="528"/>
      <c r="N104" s="528"/>
      <c r="O104" s="528"/>
    </row>
    <row r="105" spans="2:15" x14ac:dyDescent="0.25">
      <c r="B105" s="528"/>
      <c r="C105" s="528"/>
      <c r="D105" s="528"/>
      <c r="E105" s="528"/>
      <c r="F105" s="528"/>
      <c r="G105" s="528"/>
      <c r="H105" s="531"/>
      <c r="I105" s="528"/>
      <c r="J105" s="528"/>
      <c r="K105" s="528"/>
      <c r="L105" s="528"/>
      <c r="M105" s="528"/>
      <c r="N105" s="528"/>
      <c r="O105" s="528"/>
    </row>
    <row r="106" spans="2:15" x14ac:dyDescent="0.25">
      <c r="B106" s="528"/>
      <c r="C106" s="528"/>
      <c r="D106" s="528"/>
      <c r="E106" s="528"/>
      <c r="F106" s="528"/>
      <c r="G106" s="528"/>
      <c r="H106" s="531"/>
      <c r="I106" s="528"/>
      <c r="J106" s="528"/>
      <c r="K106" s="528"/>
      <c r="L106" s="528"/>
      <c r="M106" s="528"/>
      <c r="N106" s="528"/>
      <c r="O106" s="528"/>
    </row>
    <row r="107" spans="2:15" x14ac:dyDescent="0.25">
      <c r="B107" s="528"/>
      <c r="C107" s="528"/>
      <c r="D107" s="528"/>
      <c r="E107" s="528"/>
      <c r="F107" s="528"/>
      <c r="G107" s="528"/>
      <c r="H107" s="531"/>
      <c r="I107" s="528"/>
      <c r="J107" s="528"/>
      <c r="K107" s="528"/>
      <c r="L107" s="528"/>
      <c r="M107" s="528"/>
      <c r="N107" s="528"/>
      <c r="O107" s="528"/>
    </row>
    <row r="108" spans="2:15" x14ac:dyDescent="0.25">
      <c r="B108" s="528"/>
      <c r="C108" s="528"/>
      <c r="D108" s="528"/>
      <c r="E108" s="528"/>
      <c r="F108" s="528"/>
      <c r="G108" s="528"/>
      <c r="H108" s="531"/>
      <c r="I108" s="528"/>
      <c r="J108" s="528"/>
      <c r="K108" s="528"/>
      <c r="L108" s="528"/>
      <c r="M108" s="528"/>
      <c r="N108" s="528"/>
      <c r="O108" s="528"/>
    </row>
    <row r="109" spans="2:15" x14ac:dyDescent="0.25">
      <c r="B109" s="528"/>
      <c r="C109" s="528"/>
      <c r="D109" s="528"/>
      <c r="E109" s="528"/>
      <c r="F109" s="528"/>
      <c r="G109" s="528"/>
      <c r="H109" s="531"/>
      <c r="I109" s="528"/>
      <c r="J109" s="528"/>
      <c r="K109" s="528"/>
      <c r="L109" s="528"/>
      <c r="M109" s="528"/>
      <c r="N109" s="528"/>
      <c r="O109" s="528"/>
    </row>
    <row r="110" spans="2:15" x14ac:dyDescent="0.25">
      <c r="B110" s="528"/>
      <c r="C110" s="528"/>
      <c r="D110" s="528"/>
      <c r="E110" s="528"/>
      <c r="F110" s="528"/>
      <c r="G110" s="528"/>
      <c r="H110" s="531"/>
      <c r="I110" s="528"/>
      <c r="J110" s="528"/>
      <c r="K110" s="528"/>
      <c r="L110" s="528"/>
      <c r="M110" s="528"/>
      <c r="N110" s="528"/>
      <c r="O110" s="528"/>
    </row>
    <row r="111" spans="2:15" x14ac:dyDescent="0.25">
      <c r="B111" s="528"/>
      <c r="C111" s="528"/>
      <c r="D111" s="528"/>
      <c r="E111" s="528"/>
      <c r="F111" s="528"/>
      <c r="G111" s="528"/>
      <c r="H111" s="531"/>
      <c r="I111" s="528"/>
      <c r="J111" s="528"/>
      <c r="K111" s="528"/>
      <c r="L111" s="528"/>
      <c r="M111" s="528"/>
      <c r="N111" s="528"/>
      <c r="O111" s="528"/>
    </row>
    <row r="112" spans="2:15" x14ac:dyDescent="0.25">
      <c r="B112" s="528"/>
      <c r="C112" s="528"/>
      <c r="D112" s="528"/>
      <c r="E112" s="528"/>
      <c r="F112" s="528"/>
      <c r="G112" s="528"/>
      <c r="H112" s="531"/>
      <c r="I112" s="528"/>
      <c r="J112" s="528"/>
      <c r="K112" s="528"/>
      <c r="L112" s="528"/>
      <c r="M112" s="528"/>
      <c r="N112" s="528"/>
      <c r="O112" s="528"/>
    </row>
    <row r="113" spans="2:15" x14ac:dyDescent="0.25">
      <c r="B113" s="528"/>
      <c r="C113" s="528"/>
      <c r="D113" s="528"/>
      <c r="E113" s="528"/>
      <c r="F113" s="528"/>
      <c r="G113" s="528"/>
      <c r="H113" s="531"/>
      <c r="I113" s="528"/>
      <c r="J113" s="528"/>
      <c r="K113" s="528"/>
      <c r="L113" s="528"/>
      <c r="M113" s="528"/>
      <c r="N113" s="528"/>
      <c r="O113" s="528"/>
    </row>
    <row r="114" spans="2:15" x14ac:dyDescent="0.25">
      <c r="B114" s="528"/>
      <c r="C114" s="528"/>
      <c r="D114" s="528"/>
      <c r="E114" s="528"/>
      <c r="F114" s="528"/>
      <c r="G114" s="528"/>
      <c r="H114" s="531"/>
      <c r="I114" s="528"/>
      <c r="J114" s="528"/>
      <c r="K114" s="528"/>
      <c r="L114" s="528"/>
      <c r="M114" s="528"/>
      <c r="N114" s="528"/>
      <c r="O114" s="528"/>
    </row>
  </sheetData>
  <mergeCells count="2">
    <mergeCell ref="J10:J12"/>
    <mergeCell ref="J15:J18"/>
  </mergeCells>
  <conditionalFormatting sqref="E24:I24 E28:I34 G25:I26">
    <cfRule type="expression" dxfId="96" priority="30">
      <formula>$E$5=0</formula>
    </cfRule>
  </conditionalFormatting>
  <conditionalFormatting sqref="K24:O24 O35 K28:O34 M25:O26">
    <cfRule type="expression" dxfId="95" priority="29">
      <formula>$F$5=0</formula>
    </cfRule>
  </conditionalFormatting>
  <conditionalFormatting sqref="E39:I39 G40:I41 E43:I50">
    <cfRule type="expression" dxfId="94" priority="28">
      <formula>$G$5=0</formula>
    </cfRule>
  </conditionalFormatting>
  <conditionalFormatting sqref="M49:O49 K39:O41 K50:O50 K43:O48 K42">
    <cfRule type="expression" dxfId="93" priority="27">
      <formula>$H$5=0</formula>
    </cfRule>
  </conditionalFormatting>
  <conditionalFormatting sqref="E9:H20">
    <cfRule type="expression" dxfId="92" priority="26">
      <formula>E$5=0</formula>
    </cfRule>
  </conditionalFormatting>
  <conditionalFormatting sqref="K10:N18">
    <cfRule type="expression" dxfId="91" priority="25">
      <formula>E$5=0</formula>
    </cfRule>
  </conditionalFormatting>
  <conditionalFormatting sqref="E35:I35">
    <cfRule type="expression" dxfId="90" priority="23">
      <formula>$E$5=0</formula>
    </cfRule>
  </conditionalFormatting>
  <conditionalFormatting sqref="K35:N35">
    <cfRule type="expression" dxfId="89" priority="22">
      <formula>$F$5=0</formula>
    </cfRule>
  </conditionalFormatting>
  <conditionalFormatting sqref="J49:L49">
    <cfRule type="expression" dxfId="88" priority="21">
      <formula>$G$5=0</formula>
    </cfRule>
  </conditionalFormatting>
  <conditionalFormatting sqref="E40:F41 E42">
    <cfRule type="expression" dxfId="87" priority="20">
      <formula>$H$5=0</formula>
    </cfRule>
  </conditionalFormatting>
  <conditionalFormatting sqref="E26:F26">
    <cfRule type="expression" dxfId="86" priority="19">
      <formula>$H$5=0</formula>
    </cfRule>
  </conditionalFormatting>
  <conditionalFormatting sqref="K25:L26 K27">
    <cfRule type="expression" dxfId="85" priority="18">
      <formula>$H$5=0</formula>
    </cfRule>
  </conditionalFormatting>
  <conditionalFormatting sqref="L27">
    <cfRule type="expression" dxfId="84" priority="14">
      <formula>$H$5=0</formula>
    </cfRule>
  </conditionalFormatting>
  <conditionalFormatting sqref="M27">
    <cfRule type="expression" dxfId="83" priority="13">
      <formula>$H$5=0</formula>
    </cfRule>
  </conditionalFormatting>
  <conditionalFormatting sqref="N27">
    <cfRule type="expression" dxfId="82" priority="12">
      <formula>$H$5=0</formula>
    </cfRule>
  </conditionalFormatting>
  <conditionalFormatting sqref="O27">
    <cfRule type="expression" dxfId="81" priority="11">
      <formula>$H$5=0</formula>
    </cfRule>
  </conditionalFormatting>
  <conditionalFormatting sqref="L42">
    <cfRule type="expression" dxfId="80" priority="10">
      <formula>$H$5=0</formula>
    </cfRule>
  </conditionalFormatting>
  <conditionalFormatting sqref="M42">
    <cfRule type="expression" dxfId="79" priority="9">
      <formula>$H$5=0</formula>
    </cfRule>
  </conditionalFormatting>
  <conditionalFormatting sqref="N42">
    <cfRule type="expression" dxfId="78" priority="8">
      <formula>$H$5=0</formula>
    </cfRule>
  </conditionalFormatting>
  <conditionalFormatting sqref="O42">
    <cfRule type="expression" dxfId="77" priority="7">
      <formula>$H$5=0</formula>
    </cfRule>
  </conditionalFormatting>
  <conditionalFormatting sqref="F42">
    <cfRule type="expression" dxfId="76" priority="6">
      <formula>$H$5=0</formula>
    </cfRule>
  </conditionalFormatting>
  <conditionalFormatting sqref="G42">
    <cfRule type="expression" dxfId="75" priority="5">
      <formula>$H$5=0</formula>
    </cfRule>
  </conditionalFormatting>
  <conditionalFormatting sqref="H42">
    <cfRule type="expression" dxfId="74" priority="4">
      <formula>$H$5=0</formula>
    </cfRule>
  </conditionalFormatting>
  <conditionalFormatting sqref="I42">
    <cfRule type="expression" dxfId="73" priority="3">
      <formula>$H$5=0</formula>
    </cfRule>
  </conditionalFormatting>
  <conditionalFormatting sqref="E27:I27">
    <cfRule type="expression" dxfId="72" priority="2">
      <formula>$E$5=0</formula>
    </cfRule>
  </conditionalFormatting>
  <conditionalFormatting sqref="E25:F25">
    <cfRule type="expression" dxfId="71" priority="1">
      <formula>$E$5=0</formula>
    </cfRule>
  </conditionalFormatting>
  <printOptions horizontalCentered="1"/>
  <pageMargins left="0.7" right="0.7" top="0.75" bottom="0.75" header="0.3" footer="0.3"/>
  <pageSetup scale="69" orientation="landscape" r:id="rId1"/>
  <ignoredErrors>
    <ignoredError sqref="E7:N8 A2:H2 A9:D9 A4 C4:H4 F38:I38 L38:O38 E36:O37 E50:O50 J27:J34 J42:J49 A23:A24 C23:D24 A38:A39 C38:D39 E24:O25 A25:D25 E39:O40 A40:D40 I21:J21 I9:N9 A21:D21 A20:B20 D20 I10:I12 I15:I18 I20 D10:D12 A10:B12 D15:D18 A15:B18 J2:O3 J4:O4 A27:D37 A26:B26 D26 E26 J26:K26 E41 J41:K41 A42:D76 A41:B41 D41 J35:O35 A3:E3" unlockedFormula="1"/>
  </ignoredError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>
    <tabColor theme="9" tint="-0.249977111117893"/>
    <pageSetUpPr fitToPage="1"/>
  </sheetPr>
  <dimension ref="A1:AW41"/>
  <sheetViews>
    <sheetView showGridLines="0" view="pageBreakPreview" zoomScale="80" zoomScaleNormal="132" zoomScaleSheetLayoutView="80" workbookViewId="0"/>
  </sheetViews>
  <sheetFormatPr defaultColWidth="9.42578125" defaultRowHeight="15" x14ac:dyDescent="0.25"/>
  <cols>
    <col min="1" max="1" width="1.5703125" style="1" customWidth="1"/>
    <col min="2" max="5" width="3" style="1" customWidth="1"/>
    <col min="6" max="6" width="13.5703125" style="1" customWidth="1"/>
    <col min="7" max="7" width="8.42578125" style="173" customWidth="1"/>
    <col min="8" max="8" width="3.42578125" style="1" customWidth="1"/>
    <col min="9" max="20" width="8.42578125" style="1" customWidth="1"/>
    <col min="21" max="21" width="2.42578125" style="1" customWidth="1"/>
    <col min="22" max="25" width="7.5703125" style="1" customWidth="1"/>
    <col min="26" max="26" width="3.42578125" style="1" customWidth="1"/>
    <col min="27" max="28" width="9.5703125" style="1" customWidth="1"/>
    <col min="29" max="31" width="9.42578125" style="1" customWidth="1"/>
    <col min="32" max="32" width="8.5703125" style="1" customWidth="1"/>
    <col min="33" max="16384" width="9.42578125" style="1"/>
  </cols>
  <sheetData>
    <row r="1" spans="1:49" ht="6" customHeight="1" thickBot="1" x14ac:dyDescent="0.3">
      <c r="B1" s="85"/>
      <c r="C1" s="86"/>
      <c r="D1" s="85"/>
      <c r="E1" s="85"/>
      <c r="F1" s="85"/>
      <c r="G1" s="505"/>
      <c r="H1" s="85"/>
      <c r="I1" s="85"/>
      <c r="J1" s="85"/>
      <c r="K1" s="85"/>
      <c r="L1" s="85"/>
      <c r="M1" s="85"/>
      <c r="N1" s="85"/>
      <c r="O1" s="85"/>
      <c r="P1" s="85"/>
      <c r="Q1" s="85"/>
      <c r="R1" s="85"/>
      <c r="S1" s="85"/>
      <c r="T1" s="85"/>
      <c r="U1" s="85"/>
      <c r="V1" s="85"/>
      <c r="W1" s="85"/>
      <c r="X1" s="85"/>
      <c r="Y1" s="85"/>
      <c r="Z1" s="85"/>
      <c r="AA1" s="85"/>
      <c r="AB1" s="85"/>
      <c r="AC1" s="85"/>
      <c r="AD1" s="85"/>
      <c r="AE1" s="85"/>
    </row>
    <row r="2" spans="1:49" ht="16.5" thickTop="1" x14ac:dyDescent="0.25">
      <c r="B2" s="110" t="str">
        <f>MainOutline!B2</f>
        <v>WB Santa Cruz</v>
      </c>
      <c r="C2" s="111"/>
      <c r="D2" s="111"/>
      <c r="E2" s="111"/>
      <c r="F2" s="111"/>
      <c r="G2" s="506"/>
      <c r="H2" s="111"/>
      <c r="I2" s="508" t="str">
        <f>'A1'!$C$90</f>
        <v>Acquisition of an existing facility</v>
      </c>
      <c r="J2" s="111"/>
      <c r="K2" s="111"/>
      <c r="L2" s="111"/>
      <c r="M2" s="111"/>
      <c r="N2" s="111"/>
      <c r="O2" s="111"/>
      <c r="P2" s="111"/>
      <c r="Q2" s="111"/>
      <c r="R2" s="111"/>
      <c r="S2" s="111"/>
      <c r="T2" s="1409"/>
      <c r="U2" s="111"/>
      <c r="V2" s="111"/>
      <c r="W2" s="111"/>
      <c r="X2" s="111"/>
      <c r="Y2" s="111"/>
      <c r="Z2" s="111"/>
      <c r="AA2" s="111"/>
      <c r="AB2" s="111"/>
      <c r="AC2" s="111"/>
      <c r="AD2" s="111"/>
      <c r="AE2" s="1409">
        <f>$A3</f>
        <v>35</v>
      </c>
      <c r="AJ2" s="82" t="str">
        <f>C10</f>
        <v>Hemo Dialysis - 1x1</v>
      </c>
      <c r="AN2" s="82" t="str">
        <f>C14</f>
        <v>Apheresis</v>
      </c>
    </row>
    <row r="3" spans="1:49" ht="15.75" x14ac:dyDescent="0.25">
      <c r="A3" s="123">
        <f>MainOutline!B50</f>
        <v>35</v>
      </c>
      <c r="B3" s="102" t="str">
        <f>MainOutline!C50</f>
        <v>Appendix C5</v>
      </c>
      <c r="C3" s="89"/>
      <c r="D3" s="89"/>
      <c r="E3" s="89"/>
      <c r="F3" s="89"/>
      <c r="G3" s="509"/>
      <c r="H3" s="89"/>
      <c r="I3" s="89"/>
      <c r="J3" s="89"/>
      <c r="K3" s="89"/>
      <c r="L3" s="89"/>
      <c r="M3" s="89"/>
      <c r="N3" s="89"/>
      <c r="O3" s="89"/>
      <c r="P3" s="89"/>
      <c r="Q3" s="89"/>
      <c r="R3" s="89"/>
      <c r="S3" s="89"/>
      <c r="T3" s="89"/>
      <c r="U3" s="89"/>
      <c r="V3" s="89"/>
      <c r="W3" s="89"/>
      <c r="X3" s="89"/>
      <c r="Y3" s="89"/>
      <c r="Z3" s="89"/>
      <c r="AA3" s="89"/>
      <c r="AB3" s="89"/>
      <c r="AC3" s="89"/>
      <c r="AD3" s="89"/>
      <c r="AE3" s="89"/>
      <c r="AH3" s="1" t="s">
        <v>114</v>
      </c>
      <c r="AJ3" s="1">
        <f>'A1'!AG67</f>
        <v>0</v>
      </c>
      <c r="AK3" s="1">
        <f>'A1'!AH67</f>
        <v>0</v>
      </c>
      <c r="AL3" s="1">
        <f>'A1'!AI67</f>
        <v>0</v>
      </c>
      <c r="AM3" s="1">
        <f>'A1'!AJ67</f>
        <v>0</v>
      </c>
      <c r="AN3" s="1">
        <f>'A1'!AK67</f>
        <v>0</v>
      </c>
    </row>
    <row r="4" spans="1:49" ht="16.5" thickBot="1" x14ac:dyDescent="0.3">
      <c r="B4" s="104" t="s">
        <v>121</v>
      </c>
      <c r="C4" s="97"/>
      <c r="D4" s="97"/>
      <c r="E4" s="97"/>
      <c r="F4" s="97"/>
      <c r="G4" s="510"/>
      <c r="H4" s="97"/>
      <c r="I4" s="97"/>
      <c r="J4" s="97"/>
      <c r="K4" s="97"/>
      <c r="L4" s="97"/>
      <c r="M4" s="97"/>
      <c r="N4" s="97"/>
      <c r="O4" s="97"/>
      <c r="P4" s="97"/>
      <c r="Q4" s="97"/>
      <c r="R4" s="97"/>
      <c r="S4" s="97"/>
      <c r="T4" s="388"/>
      <c r="U4" s="97"/>
      <c r="V4" s="97"/>
      <c r="W4" s="97"/>
      <c r="X4" s="97"/>
      <c r="Y4" s="97"/>
      <c r="Z4" s="97"/>
      <c r="AA4" s="97"/>
      <c r="AB4" s="97"/>
      <c r="AC4" s="97"/>
      <c r="AD4" s="97"/>
      <c r="AE4" s="388"/>
      <c r="AH4" s="1" t="s">
        <v>110</v>
      </c>
      <c r="AJ4" s="1">
        <f>'A1'!AI43</f>
        <v>12.49988347704498</v>
      </c>
      <c r="AN4" s="1">
        <f>'A1'!AJ43</f>
        <v>16.438596491228068</v>
      </c>
    </row>
    <row r="5" spans="1:49" ht="15.75" thickTop="1" x14ac:dyDescent="0.25"/>
    <row r="6" spans="1:49" ht="17.25" x14ac:dyDescent="0.4">
      <c r="I6" s="681" t="s">
        <v>471</v>
      </c>
      <c r="J6" s="715"/>
      <c r="K6" s="715"/>
      <c r="L6" s="715"/>
      <c r="M6" s="715"/>
      <c r="N6" s="715"/>
      <c r="O6" s="715"/>
      <c r="P6" s="715"/>
      <c r="Q6" s="715"/>
      <c r="R6" s="715"/>
      <c r="S6" s="715"/>
      <c r="T6" s="716"/>
      <c r="V6" s="681" t="s">
        <v>472</v>
      </c>
      <c r="W6" s="715"/>
      <c r="X6" s="715"/>
      <c r="Y6" s="716"/>
      <c r="AA6" s="681" t="s">
        <v>133</v>
      </c>
      <c r="AB6" s="715"/>
      <c r="AC6" s="715"/>
      <c r="AD6" s="715"/>
      <c r="AE6" s="715"/>
    </row>
    <row r="7" spans="1:49" s="173" customFormat="1" ht="15.75" thickBot="1" x14ac:dyDescent="0.3">
      <c r="I7" s="717">
        <v>1</v>
      </c>
      <c r="J7" s="717">
        <f>I7+1</f>
        <v>2</v>
      </c>
      <c r="K7" s="717">
        <f t="shared" ref="K7:T7" si="0">J7+1</f>
        <v>3</v>
      </c>
      <c r="L7" s="717">
        <f t="shared" si="0"/>
        <v>4</v>
      </c>
      <c r="M7" s="717">
        <f t="shared" si="0"/>
        <v>5</v>
      </c>
      <c r="N7" s="717">
        <f t="shared" si="0"/>
        <v>6</v>
      </c>
      <c r="O7" s="717">
        <f t="shared" si="0"/>
        <v>7</v>
      </c>
      <c r="P7" s="717">
        <f t="shared" si="0"/>
        <v>8</v>
      </c>
      <c r="Q7" s="717">
        <f t="shared" si="0"/>
        <v>9</v>
      </c>
      <c r="R7" s="717">
        <f t="shared" si="0"/>
        <v>10</v>
      </c>
      <c r="S7" s="717">
        <f t="shared" si="0"/>
        <v>11</v>
      </c>
      <c r="T7" s="718">
        <f t="shared" si="0"/>
        <v>12</v>
      </c>
      <c r="U7" s="1"/>
      <c r="V7" s="719" t="s">
        <v>24</v>
      </c>
      <c r="W7" s="719" t="s">
        <v>25</v>
      </c>
      <c r="X7" s="719" t="s">
        <v>26</v>
      </c>
      <c r="Y7" s="720" t="s">
        <v>27</v>
      </c>
      <c r="Z7" s="1"/>
      <c r="AA7" s="684">
        <v>1</v>
      </c>
      <c r="AB7" s="684">
        <v>2</v>
      </c>
      <c r="AC7" s="684">
        <v>3</v>
      </c>
      <c r="AD7" s="684">
        <v>4</v>
      </c>
      <c r="AE7" s="685">
        <v>5</v>
      </c>
    </row>
    <row r="8" spans="1:49" x14ac:dyDescent="0.25">
      <c r="T8" s="188"/>
      <c r="Y8" s="188"/>
      <c r="AO8" s="1" t="s">
        <v>98</v>
      </c>
    </row>
    <row r="9" spans="1:49" ht="15.75" x14ac:dyDescent="0.25">
      <c r="B9" s="513" t="s">
        <v>124</v>
      </c>
      <c r="H9" s="173"/>
      <c r="I9" s="173"/>
      <c r="J9" s="173"/>
      <c r="K9" s="173"/>
      <c r="L9" s="173"/>
      <c r="M9" s="173"/>
      <c r="N9" s="173"/>
      <c r="O9" s="173"/>
      <c r="P9" s="173"/>
      <c r="Q9" s="173"/>
      <c r="R9" s="173"/>
      <c r="S9" s="173"/>
      <c r="T9" s="188"/>
      <c r="Y9" s="188"/>
      <c r="AG9" s="1" t="s">
        <v>116</v>
      </c>
      <c r="AO9" s="721">
        <v>2</v>
      </c>
      <c r="AP9" s="721">
        <f>AC7</f>
        <v>3</v>
      </c>
      <c r="AQ9" s="721">
        <f>AD7</f>
        <v>4</v>
      </c>
      <c r="AR9" s="721">
        <f>AE7</f>
        <v>5</v>
      </c>
    </row>
    <row r="10" spans="1:49" x14ac:dyDescent="0.25">
      <c r="C10" s="82" t="str">
        <f>'A1'!$E$69 &amp; " - " &amp;'A1'!E70</f>
        <v>Hemo Dialysis - 1x1</v>
      </c>
      <c r="G10" s="377">
        <f>AJ3</f>
        <v>0</v>
      </c>
      <c r="H10" s="173"/>
      <c r="I10" s="736">
        <f>'A3'!$H66*'A3'!I66</f>
        <v>0</v>
      </c>
      <c r="J10" s="736">
        <f>'A3'!$H66*'A3'!J66</f>
        <v>0</v>
      </c>
      <c r="K10" s="736">
        <f>'A3'!$H66*'A3'!K66</f>
        <v>0</v>
      </c>
      <c r="L10" s="736">
        <f>'A3'!$H66*'A3'!L66</f>
        <v>0</v>
      </c>
      <c r="M10" s="736">
        <f>'A3'!$H66*'A3'!M66</f>
        <v>0</v>
      </c>
      <c r="N10" s="736">
        <f>'A3'!$H66*'A3'!N66</f>
        <v>0</v>
      </c>
      <c r="O10" s="736">
        <f>'A3'!$H66*'A3'!O66</f>
        <v>0</v>
      </c>
      <c r="P10" s="736">
        <f>'A3'!$H66*'A3'!P66</f>
        <v>0</v>
      </c>
      <c r="Q10" s="736">
        <f>'A3'!$H66*'A3'!Q66</f>
        <v>0</v>
      </c>
      <c r="R10" s="736">
        <f>'A3'!$H66*'A3'!R66</f>
        <v>0</v>
      </c>
      <c r="S10" s="736">
        <f>'A3'!$H66*'A3'!S66</f>
        <v>0</v>
      </c>
      <c r="T10" s="737">
        <f>'A3'!$H66*'A3'!T66</f>
        <v>0</v>
      </c>
      <c r="U10" s="81"/>
      <c r="V10" s="13">
        <f>$AH10/4</f>
        <v>0</v>
      </c>
      <c r="W10" s="13">
        <f t="shared" ref="W10:Y14" si="1">$AH10/4</f>
        <v>0</v>
      </c>
      <c r="X10" s="13">
        <f t="shared" si="1"/>
        <v>0</v>
      </c>
      <c r="Y10" s="14">
        <f t="shared" si="1"/>
        <v>0</v>
      </c>
      <c r="Z10" s="13"/>
      <c r="AA10" s="13">
        <f>SUM(I10:T10)</f>
        <v>0</v>
      </c>
      <c r="AB10" s="13">
        <f>SUM(V10:Y10)</f>
        <v>0</v>
      </c>
      <c r="AC10" s="13">
        <f t="shared" ref="AC10:AE14" si="2">AI10</f>
        <v>0</v>
      </c>
      <c r="AD10" s="13">
        <f t="shared" si="2"/>
        <v>0</v>
      </c>
      <c r="AE10" s="13">
        <f t="shared" si="2"/>
        <v>0</v>
      </c>
      <c r="AG10" s="381">
        <f>SUM(I10:T10)</f>
        <v>0</v>
      </c>
      <c r="AH10" s="13">
        <f>T10*12*(1+AO10)</f>
        <v>0</v>
      </c>
      <c r="AI10" s="13">
        <f t="shared" ref="AI10:AK14" si="3">AH10*(1+AP10)</f>
        <v>0</v>
      </c>
      <c r="AJ10" s="13">
        <f t="shared" si="3"/>
        <v>0</v>
      </c>
      <c r="AK10" s="13">
        <f t="shared" si="3"/>
        <v>0</v>
      </c>
      <c r="AO10" s="77">
        <f>'A1'!$E$74</f>
        <v>0.02</v>
      </c>
      <c r="AP10" s="77">
        <f>'A1'!$E$75</f>
        <v>0.02</v>
      </c>
      <c r="AQ10" s="77">
        <f>'A1'!$E$76</f>
        <v>0.02</v>
      </c>
      <c r="AR10" s="77">
        <f>'A1'!$E$77</f>
        <v>0.02</v>
      </c>
    </row>
    <row r="11" spans="1:49" x14ac:dyDescent="0.25">
      <c r="C11" s="82" t="str">
        <f>'A1'!$E$69 &amp; " - " &amp;'A1'!F70</f>
        <v>Hemo Dialysis - 2x1</v>
      </c>
      <c r="G11" s="377">
        <f>AK3</f>
        <v>0</v>
      </c>
      <c r="H11" s="173"/>
      <c r="I11" s="736">
        <f>'A3'!$H67*'A3'!I67</f>
        <v>0</v>
      </c>
      <c r="J11" s="736">
        <f>'A3'!$H67*'A3'!J67</f>
        <v>0</v>
      </c>
      <c r="K11" s="736">
        <f>'A3'!$H67*'A3'!K67</f>
        <v>0</v>
      </c>
      <c r="L11" s="736">
        <f>'A3'!$H67*'A3'!L67</f>
        <v>0</v>
      </c>
      <c r="M11" s="736">
        <f>'A3'!$H67*'A3'!M67</f>
        <v>0</v>
      </c>
      <c r="N11" s="736">
        <f>'A3'!$H67*'A3'!N67</f>
        <v>0</v>
      </c>
      <c r="O11" s="736">
        <f>'A3'!$H67*'A3'!O67</f>
        <v>0</v>
      </c>
      <c r="P11" s="736">
        <f>'A3'!$H67*'A3'!P67</f>
        <v>0</v>
      </c>
      <c r="Q11" s="736">
        <f>'A3'!$H67*'A3'!Q67</f>
        <v>0</v>
      </c>
      <c r="R11" s="736">
        <f>'A3'!$H67*'A3'!R67</f>
        <v>0</v>
      </c>
      <c r="S11" s="736">
        <f>'A3'!$H67*'A3'!S67</f>
        <v>0</v>
      </c>
      <c r="T11" s="737">
        <f>'A3'!$H67*'A3'!T67</f>
        <v>0</v>
      </c>
      <c r="U11" s="81"/>
      <c r="V11" s="13">
        <f>$AH11/4</f>
        <v>0</v>
      </c>
      <c r="W11" s="13">
        <f t="shared" si="1"/>
        <v>0</v>
      </c>
      <c r="X11" s="13">
        <f t="shared" si="1"/>
        <v>0</v>
      </c>
      <c r="Y11" s="14">
        <f t="shared" si="1"/>
        <v>0</v>
      </c>
      <c r="Z11" s="13"/>
      <c r="AA11" s="13">
        <f>SUM(I11:T11)</f>
        <v>0</v>
      </c>
      <c r="AB11" s="13">
        <f>SUM(V11:Y11)</f>
        <v>0</v>
      </c>
      <c r="AC11" s="13">
        <f t="shared" si="2"/>
        <v>0</v>
      </c>
      <c r="AD11" s="13">
        <f t="shared" si="2"/>
        <v>0</v>
      </c>
      <c r="AE11" s="13">
        <f t="shared" si="2"/>
        <v>0</v>
      </c>
      <c r="AG11" s="381">
        <f>SUM(I11:T11)</f>
        <v>0</v>
      </c>
      <c r="AH11" s="13">
        <f>T11*12*(1+AO11)</f>
        <v>0</v>
      </c>
      <c r="AI11" s="13">
        <f t="shared" si="3"/>
        <v>0</v>
      </c>
      <c r="AJ11" s="13">
        <f t="shared" si="3"/>
        <v>0</v>
      </c>
      <c r="AK11" s="13">
        <f t="shared" si="3"/>
        <v>0</v>
      </c>
      <c r="AO11" s="77">
        <f>'A1'!$F$74</f>
        <v>0.02</v>
      </c>
      <c r="AP11" s="77">
        <f>'A1'!$F$75</f>
        <v>0.02</v>
      </c>
      <c r="AQ11" s="77">
        <f>'A1'!$F$76</f>
        <v>0.02</v>
      </c>
      <c r="AR11" s="77">
        <f>'A1'!$F$77</f>
        <v>0.02</v>
      </c>
    </row>
    <row r="12" spans="1:49" x14ac:dyDescent="0.25">
      <c r="C12" s="82" t="str">
        <f>'A1'!G69</f>
        <v>Peritoneal</v>
      </c>
      <c r="G12" s="377">
        <f>AL3</f>
        <v>0</v>
      </c>
      <c r="H12" s="173"/>
      <c r="I12" s="736">
        <f>'A3'!$H68*'A3'!I68</f>
        <v>0</v>
      </c>
      <c r="J12" s="736">
        <f>'A3'!$H68*'A3'!J68</f>
        <v>0</v>
      </c>
      <c r="K12" s="736">
        <f>'A3'!$H68*'A3'!K68</f>
        <v>0</v>
      </c>
      <c r="L12" s="736">
        <f>'A3'!$H68*'A3'!L68</f>
        <v>0</v>
      </c>
      <c r="M12" s="736">
        <f>'A3'!$H68*'A3'!M68</f>
        <v>0</v>
      </c>
      <c r="N12" s="736">
        <f>'A3'!$H68*'A3'!N68</f>
        <v>0</v>
      </c>
      <c r="O12" s="736">
        <f>'A3'!$H68*'A3'!O68</f>
        <v>0</v>
      </c>
      <c r="P12" s="736">
        <f>'A3'!$H68*'A3'!P68</f>
        <v>0</v>
      </c>
      <c r="Q12" s="736">
        <f>'A3'!$H68*'A3'!Q68</f>
        <v>0</v>
      </c>
      <c r="R12" s="736">
        <f>'A3'!$H68*'A3'!R68</f>
        <v>0</v>
      </c>
      <c r="S12" s="736">
        <f>'A3'!$H68*'A3'!S68</f>
        <v>0</v>
      </c>
      <c r="T12" s="737">
        <f>'A3'!$H68*'A3'!T68</f>
        <v>0</v>
      </c>
      <c r="U12" s="81"/>
      <c r="V12" s="13">
        <f>$AH12/4</f>
        <v>0</v>
      </c>
      <c r="W12" s="13">
        <f t="shared" si="1"/>
        <v>0</v>
      </c>
      <c r="X12" s="13">
        <f t="shared" si="1"/>
        <v>0</v>
      </c>
      <c r="Y12" s="14">
        <f t="shared" si="1"/>
        <v>0</v>
      </c>
      <c r="Z12" s="13"/>
      <c r="AA12" s="13">
        <f>SUM(I12:T12)</f>
        <v>0</v>
      </c>
      <c r="AB12" s="13">
        <f>SUM(V12:Y12)</f>
        <v>0</v>
      </c>
      <c r="AC12" s="13">
        <f t="shared" si="2"/>
        <v>0</v>
      </c>
      <c r="AD12" s="13">
        <f t="shared" si="2"/>
        <v>0</v>
      </c>
      <c r="AE12" s="13">
        <f t="shared" si="2"/>
        <v>0</v>
      </c>
      <c r="AG12" s="381">
        <f>SUM(I12:T12)</f>
        <v>0</v>
      </c>
      <c r="AH12" s="13">
        <f>T12*12*(1+AO12)</f>
        <v>0</v>
      </c>
      <c r="AI12" s="13">
        <f t="shared" si="3"/>
        <v>0</v>
      </c>
      <c r="AJ12" s="13">
        <f t="shared" si="3"/>
        <v>0</v>
      </c>
      <c r="AK12" s="13">
        <f t="shared" si="3"/>
        <v>0</v>
      </c>
      <c r="AO12" s="77">
        <f>'A1'!$G$74</f>
        <v>0.02</v>
      </c>
      <c r="AP12" s="77">
        <f>'A1'!$G$75</f>
        <v>0.02</v>
      </c>
      <c r="AQ12" s="77">
        <f>'A1'!$G$76</f>
        <v>0.02</v>
      </c>
      <c r="AR12" s="77">
        <f>'A1'!$G$77</f>
        <v>0.02</v>
      </c>
    </row>
    <row r="13" spans="1:49" x14ac:dyDescent="0.25">
      <c r="C13" s="82" t="str">
        <f>'A1'!H69</f>
        <v>CRRT</v>
      </c>
      <c r="G13" s="377">
        <f>AM3</f>
        <v>0</v>
      </c>
      <c r="H13" s="173"/>
      <c r="I13" s="736">
        <f>'A3'!$H69*'A3'!I69</f>
        <v>0</v>
      </c>
      <c r="J13" s="736">
        <f>'A3'!$H69*'A3'!J69</f>
        <v>0</v>
      </c>
      <c r="K13" s="736">
        <f>'A3'!$H69*'A3'!K69</f>
        <v>0</v>
      </c>
      <c r="L13" s="736">
        <f>'A3'!$H69*'A3'!L69</f>
        <v>0</v>
      </c>
      <c r="M13" s="736">
        <f>'A3'!$H69*'A3'!M69</f>
        <v>0</v>
      </c>
      <c r="N13" s="736">
        <f>'A3'!$H69*'A3'!N69</f>
        <v>0</v>
      </c>
      <c r="O13" s="736">
        <f>'A3'!$H69*'A3'!O69</f>
        <v>0</v>
      </c>
      <c r="P13" s="736">
        <f>'A3'!$H69*'A3'!P69</f>
        <v>0</v>
      </c>
      <c r="Q13" s="736">
        <f>'A3'!$H69*'A3'!Q69</f>
        <v>0</v>
      </c>
      <c r="R13" s="736">
        <f>'A3'!$H69*'A3'!R69</f>
        <v>0</v>
      </c>
      <c r="S13" s="736">
        <f>'A3'!$H69*'A3'!S69</f>
        <v>0</v>
      </c>
      <c r="T13" s="737">
        <f>'A3'!$H69*'A3'!T69</f>
        <v>0</v>
      </c>
      <c r="U13" s="81"/>
      <c r="V13" s="13">
        <f>$AH13/4</f>
        <v>0</v>
      </c>
      <c r="W13" s="13">
        <f t="shared" si="1"/>
        <v>0</v>
      </c>
      <c r="X13" s="13">
        <f t="shared" si="1"/>
        <v>0</v>
      </c>
      <c r="Y13" s="14">
        <f t="shared" si="1"/>
        <v>0</v>
      </c>
      <c r="Z13" s="13"/>
      <c r="AA13" s="13">
        <f>SUM(I13:T13)</f>
        <v>0</v>
      </c>
      <c r="AB13" s="13">
        <f>SUM(V13:Y13)</f>
        <v>0</v>
      </c>
      <c r="AC13" s="13">
        <f t="shared" si="2"/>
        <v>0</v>
      </c>
      <c r="AD13" s="13">
        <f t="shared" si="2"/>
        <v>0</v>
      </c>
      <c r="AE13" s="13">
        <f t="shared" si="2"/>
        <v>0</v>
      </c>
      <c r="AG13" s="381">
        <f>SUM(I13:T13)</f>
        <v>0</v>
      </c>
      <c r="AH13" s="13">
        <f>T13*12*(1+AO13)</f>
        <v>0</v>
      </c>
      <c r="AI13" s="13">
        <f t="shared" si="3"/>
        <v>0</v>
      </c>
      <c r="AJ13" s="13">
        <f t="shared" si="3"/>
        <v>0</v>
      </c>
      <c r="AK13" s="13">
        <f t="shared" si="3"/>
        <v>0</v>
      </c>
      <c r="AO13" s="77">
        <f>'A1'!$H$74</f>
        <v>0.02</v>
      </c>
      <c r="AP13" s="77">
        <f>'A1'!$H$75</f>
        <v>0.02</v>
      </c>
      <c r="AQ13" s="77">
        <f>'A1'!$H$76</f>
        <v>0.02</v>
      </c>
      <c r="AR13" s="77">
        <f>'A1'!$H$77</f>
        <v>0.02</v>
      </c>
    </row>
    <row r="14" spans="1:49" ht="17.25" x14ac:dyDescent="0.4">
      <c r="C14" s="82" t="str">
        <f>'A1'!I69</f>
        <v>Apheresis</v>
      </c>
      <c r="G14" s="377">
        <f>AN3</f>
        <v>0</v>
      </c>
      <c r="H14" s="173"/>
      <c r="I14" s="738">
        <f>'A3'!$H70*'A3'!I70</f>
        <v>0</v>
      </c>
      <c r="J14" s="738">
        <f>'A3'!$H70*'A3'!J70</f>
        <v>0</v>
      </c>
      <c r="K14" s="738">
        <f>'A3'!$H70*'A3'!K70</f>
        <v>0</v>
      </c>
      <c r="L14" s="738">
        <f>'A3'!$H70*'A3'!L70</f>
        <v>0</v>
      </c>
      <c r="M14" s="738">
        <f>'A3'!$H70*'A3'!M70</f>
        <v>0</v>
      </c>
      <c r="N14" s="738">
        <f>'A3'!$H70*'A3'!N70</f>
        <v>0</v>
      </c>
      <c r="O14" s="738">
        <f>'A3'!$H70*'A3'!O70</f>
        <v>0</v>
      </c>
      <c r="P14" s="738">
        <f>'A3'!$H70*'A3'!P70</f>
        <v>0</v>
      </c>
      <c r="Q14" s="738">
        <f>'A3'!$H70*'A3'!Q70</f>
        <v>0</v>
      </c>
      <c r="R14" s="738">
        <f>'A3'!$H70*'A3'!R70</f>
        <v>0</v>
      </c>
      <c r="S14" s="738">
        <f>'A3'!$H70*'A3'!S70</f>
        <v>0</v>
      </c>
      <c r="T14" s="739">
        <f>'A3'!$H70*'A3'!T70</f>
        <v>0</v>
      </c>
      <c r="U14" s="741"/>
      <c r="V14" s="724">
        <f>$AH14/4</f>
        <v>0</v>
      </c>
      <c r="W14" s="724">
        <f t="shared" si="1"/>
        <v>0</v>
      </c>
      <c r="X14" s="724">
        <f t="shared" si="1"/>
        <v>0</v>
      </c>
      <c r="Y14" s="725">
        <f t="shared" si="1"/>
        <v>0</v>
      </c>
      <c r="Z14" s="724"/>
      <c r="AA14" s="558">
        <f>SUM(I14:T14)</f>
        <v>0</v>
      </c>
      <c r="AB14" s="558">
        <f>SUM(V14:Y14)</f>
        <v>0</v>
      </c>
      <c r="AC14" s="724">
        <f t="shared" si="2"/>
        <v>0</v>
      </c>
      <c r="AD14" s="724">
        <f t="shared" si="2"/>
        <v>0</v>
      </c>
      <c r="AE14" s="724">
        <f t="shared" si="2"/>
        <v>0</v>
      </c>
      <c r="AG14" s="381">
        <f>SUM(I14:T14)</f>
        <v>0</v>
      </c>
      <c r="AH14" s="13">
        <f>T14*12*(1+AO14)</f>
        <v>0</v>
      </c>
      <c r="AI14" s="13">
        <f t="shared" si="3"/>
        <v>0</v>
      </c>
      <c r="AJ14" s="13">
        <f t="shared" si="3"/>
        <v>0</v>
      </c>
      <c r="AK14" s="13">
        <f t="shared" si="3"/>
        <v>0</v>
      </c>
      <c r="AO14" s="77">
        <f>'A1'!$I$74</f>
        <v>0.02</v>
      </c>
      <c r="AP14" s="77">
        <f>'A1'!$I$75</f>
        <v>0.02</v>
      </c>
      <c r="AQ14" s="77">
        <f>'A1'!$I$76</f>
        <v>0.02</v>
      </c>
      <c r="AR14" s="77">
        <f>'A1'!$I$77</f>
        <v>0.02</v>
      </c>
      <c r="AT14" s="173" t="s">
        <v>20</v>
      </c>
      <c r="AU14" s="173" t="s">
        <v>21</v>
      </c>
      <c r="AV14" s="173" t="s">
        <v>22</v>
      </c>
      <c r="AW14" s="173" t="s">
        <v>23</v>
      </c>
    </row>
    <row r="15" spans="1:49" s="516" customFormat="1" x14ac:dyDescent="0.25">
      <c r="D15" s="516" t="s">
        <v>13</v>
      </c>
      <c r="G15" s="517"/>
      <c r="H15" s="517"/>
      <c r="I15" s="518">
        <f>SUM(I10:I14)</f>
        <v>0</v>
      </c>
      <c r="J15" s="518">
        <f t="shared" ref="J15:T15" si="4">SUM(J10:J14)</f>
        <v>0</v>
      </c>
      <c r="K15" s="518">
        <f t="shared" si="4"/>
        <v>0</v>
      </c>
      <c r="L15" s="518">
        <f t="shared" si="4"/>
        <v>0</v>
      </c>
      <c r="M15" s="518">
        <f t="shared" si="4"/>
        <v>0</v>
      </c>
      <c r="N15" s="518">
        <f t="shared" si="4"/>
        <v>0</v>
      </c>
      <c r="O15" s="518">
        <f t="shared" si="4"/>
        <v>0</v>
      </c>
      <c r="P15" s="518">
        <f t="shared" si="4"/>
        <v>0</v>
      </c>
      <c r="Q15" s="518">
        <f t="shared" si="4"/>
        <v>0</v>
      </c>
      <c r="R15" s="518">
        <f t="shared" si="4"/>
        <v>0</v>
      </c>
      <c r="S15" s="518">
        <f t="shared" si="4"/>
        <v>0</v>
      </c>
      <c r="T15" s="726">
        <f t="shared" si="4"/>
        <v>0</v>
      </c>
      <c r="U15" s="742"/>
      <c r="V15" s="518">
        <f>SUM(V10:V14)</f>
        <v>0</v>
      </c>
      <c r="W15" s="518">
        <f>SUM(W10:W14)</f>
        <v>0</v>
      </c>
      <c r="X15" s="518">
        <f>SUM(X10:X14)</f>
        <v>0</v>
      </c>
      <c r="Y15" s="726">
        <f>SUM(Y10:Y14)</f>
        <v>0</v>
      </c>
      <c r="Z15" s="518"/>
      <c r="AA15" s="518">
        <f>SUM(AA10:AA14)</f>
        <v>0</v>
      </c>
      <c r="AB15" s="518">
        <f>SUM(AB10:AB14)</f>
        <v>0</v>
      </c>
      <c r="AC15" s="518">
        <f>SUM(AC10:AC14)</f>
        <v>0</v>
      </c>
      <c r="AD15" s="518">
        <f>SUM(AD10:AD14)</f>
        <v>0</v>
      </c>
      <c r="AE15" s="518">
        <f>SUM(AE10:AE14)</f>
        <v>0</v>
      </c>
      <c r="AT15" s="978">
        <f>SUM(I15:K15)</f>
        <v>0</v>
      </c>
      <c r="AU15" s="978">
        <f>SUM(L15:N15)</f>
        <v>0</v>
      </c>
      <c r="AV15" s="978">
        <f>SUM(O15:Q15)</f>
        <v>0</v>
      </c>
      <c r="AW15" s="978">
        <f>SUM(R15:T15)</f>
        <v>0</v>
      </c>
    </row>
    <row r="16" spans="1:49" x14ac:dyDescent="0.25">
      <c r="H16" s="173"/>
      <c r="I16" s="36"/>
      <c r="J16" s="36"/>
      <c r="K16" s="36"/>
      <c r="L16" s="36"/>
      <c r="M16" s="36"/>
      <c r="N16" s="36"/>
      <c r="O16" s="36"/>
      <c r="P16" s="36"/>
      <c r="Q16" s="36"/>
      <c r="R16" s="36"/>
      <c r="S16" s="36"/>
      <c r="T16" s="51"/>
      <c r="U16" s="36"/>
      <c r="V16" s="36"/>
      <c r="W16" s="36"/>
      <c r="X16" s="36"/>
      <c r="Y16" s="51"/>
      <c r="Z16" s="36"/>
      <c r="AA16" s="36"/>
      <c r="AB16" s="36"/>
      <c r="AC16" s="36"/>
      <c r="AD16" s="36"/>
      <c r="AE16" s="36"/>
      <c r="AT16" s="173"/>
      <c r="AU16" s="173"/>
      <c r="AV16" s="173"/>
      <c r="AW16" s="173"/>
    </row>
    <row r="17" spans="2:49" ht="15.75" x14ac:dyDescent="0.25">
      <c r="B17" s="513" t="s">
        <v>125</v>
      </c>
      <c r="H17" s="173"/>
      <c r="I17" s="36"/>
      <c r="J17" s="36"/>
      <c r="K17" s="36"/>
      <c r="L17" s="36"/>
      <c r="M17" s="36"/>
      <c r="N17" s="36"/>
      <c r="O17" s="36"/>
      <c r="P17" s="36"/>
      <c r="Q17" s="36"/>
      <c r="R17" s="36"/>
      <c r="S17" s="36"/>
      <c r="T17" s="51"/>
      <c r="U17" s="36"/>
      <c r="V17" s="36"/>
      <c r="W17" s="36"/>
      <c r="X17" s="36"/>
      <c r="Y17" s="51"/>
      <c r="Z17" s="36"/>
      <c r="AA17" s="36"/>
      <c r="AB17" s="36"/>
      <c r="AC17" s="36"/>
      <c r="AD17" s="36"/>
      <c r="AE17" s="36"/>
      <c r="AH17" s="1" t="s">
        <v>99</v>
      </c>
      <c r="AT17" s="173"/>
      <c r="AU17" s="173"/>
      <c r="AV17" s="173"/>
      <c r="AW17" s="173"/>
    </row>
    <row r="18" spans="2:49" x14ac:dyDescent="0.25">
      <c r="C18" s="82"/>
      <c r="D18" s="82"/>
      <c r="I18" s="13"/>
      <c r="J18" s="13"/>
      <c r="K18" s="13"/>
      <c r="L18" s="13"/>
      <c r="M18" s="13"/>
      <c r="N18" s="13"/>
      <c r="O18" s="13"/>
      <c r="P18" s="13"/>
      <c r="Q18" s="13"/>
      <c r="R18" s="13"/>
      <c r="S18" s="13"/>
      <c r="T18" s="14"/>
      <c r="U18" s="13"/>
      <c r="V18" s="13"/>
      <c r="W18" s="13"/>
      <c r="X18" s="13"/>
      <c r="Y18" s="14"/>
      <c r="Z18" s="13"/>
      <c r="AA18" s="13"/>
      <c r="AB18" s="13"/>
      <c r="AC18" s="13"/>
      <c r="AD18" s="13"/>
      <c r="AE18" s="13"/>
      <c r="AH18" s="56"/>
      <c r="AI18" s="729"/>
      <c r="AJ18" s="729"/>
      <c r="AK18" s="173"/>
      <c r="AT18" s="173"/>
      <c r="AU18" s="173"/>
      <c r="AV18" s="173"/>
      <c r="AW18" s="173"/>
    </row>
    <row r="19" spans="2:49" x14ac:dyDescent="0.25">
      <c r="C19" s="743" t="s">
        <v>501</v>
      </c>
      <c r="D19" s="82"/>
      <c r="I19" s="13"/>
      <c r="J19" s="13"/>
      <c r="K19" s="13"/>
      <c r="L19" s="13"/>
      <c r="M19" s="13"/>
      <c r="N19" s="13"/>
      <c r="O19" s="13"/>
      <c r="P19" s="13"/>
      <c r="Q19" s="13"/>
      <c r="R19" s="13"/>
      <c r="S19" s="13"/>
      <c r="T19" s="14"/>
      <c r="U19" s="13"/>
      <c r="V19" s="13"/>
      <c r="W19" s="13"/>
      <c r="X19" s="13"/>
      <c r="Y19" s="14"/>
      <c r="Z19" s="13"/>
      <c r="AA19" s="13"/>
      <c r="AB19" s="13"/>
      <c r="AC19" s="13"/>
      <c r="AD19" s="13"/>
      <c r="AE19" s="13"/>
      <c r="AH19" s="56"/>
      <c r="AI19" s="729"/>
      <c r="AJ19" s="729"/>
      <c r="AK19" s="173"/>
      <c r="AT19" s="173"/>
      <c r="AU19" s="173"/>
      <c r="AV19" s="173"/>
      <c r="AW19" s="173"/>
    </row>
    <row r="20" spans="2:49" x14ac:dyDescent="0.25">
      <c r="C20" s="82" t="str">
        <f>C10</f>
        <v>Hemo Dialysis - 1x1</v>
      </c>
      <c r="G20" s="371">
        <f>'A1'!AG60*G10</f>
        <v>0</v>
      </c>
      <c r="I20" s="744">
        <f>I10*$G20/1000</f>
        <v>0</v>
      </c>
      <c r="J20" s="744">
        <f t="shared" ref="J20:T20" si="5">J10*$G20/1000</f>
        <v>0</v>
      </c>
      <c r="K20" s="744">
        <f t="shared" si="5"/>
        <v>0</v>
      </c>
      <c r="L20" s="744">
        <f t="shared" si="5"/>
        <v>0</v>
      </c>
      <c r="M20" s="744">
        <f t="shared" si="5"/>
        <v>0</v>
      </c>
      <c r="N20" s="744">
        <f t="shared" si="5"/>
        <v>0</v>
      </c>
      <c r="O20" s="744">
        <f t="shared" si="5"/>
        <v>0</v>
      </c>
      <c r="P20" s="744">
        <f t="shared" si="5"/>
        <v>0</v>
      </c>
      <c r="Q20" s="744">
        <f t="shared" si="5"/>
        <v>0</v>
      </c>
      <c r="R20" s="744">
        <f t="shared" si="5"/>
        <v>0</v>
      </c>
      <c r="S20" s="744">
        <f t="shared" si="5"/>
        <v>0</v>
      </c>
      <c r="T20" s="745">
        <f t="shared" si="5"/>
        <v>0</v>
      </c>
      <c r="U20" s="13"/>
      <c r="V20" s="744">
        <f t="shared" ref="V20:Y24" si="6">V10*$AH20/1000</f>
        <v>0</v>
      </c>
      <c r="W20" s="744">
        <f t="shared" si="6"/>
        <v>0</v>
      </c>
      <c r="X20" s="744">
        <f t="shared" si="6"/>
        <v>0</v>
      </c>
      <c r="Y20" s="745">
        <f t="shared" si="6"/>
        <v>0</v>
      </c>
      <c r="Z20" s="13"/>
      <c r="AA20" s="744">
        <f>SUM(I20:T20)</f>
        <v>0</v>
      </c>
      <c r="AB20" s="744">
        <f>SUM(V20:Y20)</f>
        <v>0</v>
      </c>
      <c r="AC20" s="744">
        <f t="shared" ref="AC20:AE24" si="7">AC10*AI20/1000</f>
        <v>0</v>
      </c>
      <c r="AD20" s="744">
        <f t="shared" si="7"/>
        <v>0</v>
      </c>
      <c r="AE20" s="744">
        <f t="shared" si="7"/>
        <v>0</v>
      </c>
      <c r="AG20" s="76">
        <f>'A1'!I33</f>
        <v>0</v>
      </c>
      <c r="AH20" s="56">
        <f>G20*(1+$AG20)</f>
        <v>0</v>
      </c>
      <c r="AI20" s="729">
        <f t="shared" ref="AI20:AK24" si="8">AH20*(1+$AG20)</f>
        <v>0</v>
      </c>
      <c r="AJ20" s="729">
        <f t="shared" si="8"/>
        <v>0</v>
      </c>
      <c r="AK20" s="729">
        <f t="shared" si="8"/>
        <v>0</v>
      </c>
      <c r="AT20" s="173"/>
      <c r="AU20" s="173"/>
      <c r="AV20" s="173"/>
      <c r="AW20" s="173"/>
    </row>
    <row r="21" spans="2:49" x14ac:dyDescent="0.25">
      <c r="C21" s="82" t="str">
        <f>C11</f>
        <v>Hemo Dialysis - 2x1</v>
      </c>
      <c r="G21" s="371">
        <f>'A1'!AH60*G11</f>
        <v>0</v>
      </c>
      <c r="I21" s="744">
        <f t="shared" ref="I21:T21" si="9">I11*$G21/1000</f>
        <v>0</v>
      </c>
      <c r="J21" s="744">
        <f t="shared" si="9"/>
        <v>0</v>
      </c>
      <c r="K21" s="744">
        <f t="shared" si="9"/>
        <v>0</v>
      </c>
      <c r="L21" s="744">
        <f t="shared" si="9"/>
        <v>0</v>
      </c>
      <c r="M21" s="744">
        <f t="shared" si="9"/>
        <v>0</v>
      </c>
      <c r="N21" s="744">
        <f t="shared" si="9"/>
        <v>0</v>
      </c>
      <c r="O21" s="744">
        <f t="shared" si="9"/>
        <v>0</v>
      </c>
      <c r="P21" s="744">
        <f t="shared" si="9"/>
        <v>0</v>
      </c>
      <c r="Q21" s="744">
        <f t="shared" si="9"/>
        <v>0</v>
      </c>
      <c r="R21" s="744">
        <f t="shared" si="9"/>
        <v>0</v>
      </c>
      <c r="S21" s="744">
        <f t="shared" si="9"/>
        <v>0</v>
      </c>
      <c r="T21" s="745">
        <f t="shared" si="9"/>
        <v>0</v>
      </c>
      <c r="U21" s="13"/>
      <c r="V21" s="744">
        <f t="shared" si="6"/>
        <v>0</v>
      </c>
      <c r="W21" s="744">
        <f t="shared" si="6"/>
        <v>0</v>
      </c>
      <c r="X21" s="744">
        <f t="shared" si="6"/>
        <v>0</v>
      </c>
      <c r="Y21" s="745">
        <f t="shared" si="6"/>
        <v>0</v>
      </c>
      <c r="Z21" s="13"/>
      <c r="AA21" s="744">
        <f>SUM(I21:T21)</f>
        <v>0</v>
      </c>
      <c r="AB21" s="744">
        <f>SUM(V21:Y21)</f>
        <v>0</v>
      </c>
      <c r="AC21" s="744">
        <f t="shared" si="7"/>
        <v>0</v>
      </c>
      <c r="AD21" s="744">
        <f t="shared" si="7"/>
        <v>0</v>
      </c>
      <c r="AE21" s="744">
        <f t="shared" si="7"/>
        <v>0</v>
      </c>
      <c r="AG21" s="76">
        <f>AG20</f>
        <v>0</v>
      </c>
      <c r="AH21" s="56">
        <f>G21*(1+$AG21)</f>
        <v>0</v>
      </c>
      <c r="AI21" s="729">
        <f t="shared" si="8"/>
        <v>0</v>
      </c>
      <c r="AJ21" s="729">
        <f t="shared" si="8"/>
        <v>0</v>
      </c>
      <c r="AK21" s="729">
        <f t="shared" si="8"/>
        <v>0</v>
      </c>
      <c r="AT21" s="173"/>
      <c r="AU21" s="173"/>
      <c r="AV21" s="173"/>
      <c r="AW21" s="173"/>
    </row>
    <row r="22" spans="2:49" x14ac:dyDescent="0.25">
      <c r="C22" s="82" t="str">
        <f>C12</f>
        <v>Peritoneal</v>
      </c>
      <c r="G22" s="371">
        <f>'A1'!AI60*G12</f>
        <v>0</v>
      </c>
      <c r="I22" s="744">
        <f t="shared" ref="I22:T22" si="10">I12*$G22/1000</f>
        <v>0</v>
      </c>
      <c r="J22" s="744">
        <f t="shared" si="10"/>
        <v>0</v>
      </c>
      <c r="K22" s="744">
        <f t="shared" si="10"/>
        <v>0</v>
      </c>
      <c r="L22" s="744">
        <f t="shared" si="10"/>
        <v>0</v>
      </c>
      <c r="M22" s="744">
        <f t="shared" si="10"/>
        <v>0</v>
      </c>
      <c r="N22" s="744">
        <f t="shared" si="10"/>
        <v>0</v>
      </c>
      <c r="O22" s="744">
        <f t="shared" si="10"/>
        <v>0</v>
      </c>
      <c r="P22" s="744">
        <f t="shared" si="10"/>
        <v>0</v>
      </c>
      <c r="Q22" s="744">
        <f t="shared" si="10"/>
        <v>0</v>
      </c>
      <c r="R22" s="744">
        <f t="shared" si="10"/>
        <v>0</v>
      </c>
      <c r="S22" s="744">
        <f t="shared" si="10"/>
        <v>0</v>
      </c>
      <c r="T22" s="745">
        <f t="shared" si="10"/>
        <v>0</v>
      </c>
      <c r="U22" s="13"/>
      <c r="V22" s="744">
        <f t="shared" si="6"/>
        <v>0</v>
      </c>
      <c r="W22" s="744">
        <f t="shared" si="6"/>
        <v>0</v>
      </c>
      <c r="X22" s="744">
        <f t="shared" si="6"/>
        <v>0</v>
      </c>
      <c r="Y22" s="745">
        <f t="shared" si="6"/>
        <v>0</v>
      </c>
      <c r="Z22" s="13"/>
      <c r="AA22" s="744">
        <f>SUM(I22:T22)</f>
        <v>0</v>
      </c>
      <c r="AB22" s="744">
        <f>SUM(V22:Y22)</f>
        <v>0</v>
      </c>
      <c r="AC22" s="744">
        <f t="shared" si="7"/>
        <v>0</v>
      </c>
      <c r="AD22" s="744">
        <f t="shared" si="7"/>
        <v>0</v>
      </c>
      <c r="AE22" s="744">
        <f t="shared" si="7"/>
        <v>0</v>
      </c>
      <c r="AG22" s="76">
        <f>AG21</f>
        <v>0</v>
      </c>
      <c r="AH22" s="56">
        <f>G22*(1+$AG22)</f>
        <v>0</v>
      </c>
      <c r="AI22" s="729">
        <f t="shared" si="8"/>
        <v>0</v>
      </c>
      <c r="AJ22" s="729">
        <f t="shared" si="8"/>
        <v>0</v>
      </c>
      <c r="AK22" s="729">
        <f t="shared" si="8"/>
        <v>0</v>
      </c>
      <c r="AT22" s="173"/>
      <c r="AU22" s="173"/>
      <c r="AV22" s="173"/>
      <c r="AW22" s="173"/>
    </row>
    <row r="23" spans="2:49" x14ac:dyDescent="0.25">
      <c r="C23" s="82" t="str">
        <f>C13</f>
        <v>CRRT</v>
      </c>
      <c r="D23" s="82"/>
      <c r="G23" s="371">
        <f>'A1'!AJ60*G13</f>
        <v>0</v>
      </c>
      <c r="I23" s="744">
        <f t="shared" ref="I23:T23" si="11">I13*$G23/1000</f>
        <v>0</v>
      </c>
      <c r="J23" s="744">
        <f t="shared" si="11"/>
        <v>0</v>
      </c>
      <c r="K23" s="744">
        <f t="shared" si="11"/>
        <v>0</v>
      </c>
      <c r="L23" s="744">
        <f t="shared" si="11"/>
        <v>0</v>
      </c>
      <c r="M23" s="744">
        <f t="shared" si="11"/>
        <v>0</v>
      </c>
      <c r="N23" s="744">
        <f t="shared" si="11"/>
        <v>0</v>
      </c>
      <c r="O23" s="744">
        <f t="shared" si="11"/>
        <v>0</v>
      </c>
      <c r="P23" s="744">
        <f t="shared" si="11"/>
        <v>0</v>
      </c>
      <c r="Q23" s="744">
        <f t="shared" si="11"/>
        <v>0</v>
      </c>
      <c r="R23" s="744">
        <f t="shared" si="11"/>
        <v>0</v>
      </c>
      <c r="S23" s="744">
        <f t="shared" si="11"/>
        <v>0</v>
      </c>
      <c r="T23" s="745">
        <f t="shared" si="11"/>
        <v>0</v>
      </c>
      <c r="U23" s="13"/>
      <c r="V23" s="744">
        <f t="shared" si="6"/>
        <v>0</v>
      </c>
      <c r="W23" s="744">
        <f t="shared" si="6"/>
        <v>0</v>
      </c>
      <c r="X23" s="744">
        <f t="shared" si="6"/>
        <v>0</v>
      </c>
      <c r="Y23" s="745">
        <f t="shared" si="6"/>
        <v>0</v>
      </c>
      <c r="Z23" s="13"/>
      <c r="AA23" s="744">
        <f>SUM(I23:T23)</f>
        <v>0</v>
      </c>
      <c r="AB23" s="744">
        <f>SUM(V23:Y23)</f>
        <v>0</v>
      </c>
      <c r="AC23" s="744">
        <f t="shared" si="7"/>
        <v>0</v>
      </c>
      <c r="AD23" s="744">
        <f t="shared" si="7"/>
        <v>0</v>
      </c>
      <c r="AE23" s="744">
        <f t="shared" si="7"/>
        <v>0</v>
      </c>
      <c r="AG23" s="76">
        <f>AG22</f>
        <v>0</v>
      </c>
      <c r="AH23" s="56">
        <f>G23*(1+$AG23)</f>
        <v>0</v>
      </c>
      <c r="AI23" s="729">
        <f t="shared" si="8"/>
        <v>0</v>
      </c>
      <c r="AJ23" s="729">
        <f t="shared" si="8"/>
        <v>0</v>
      </c>
      <c r="AK23" s="729">
        <f t="shared" si="8"/>
        <v>0</v>
      </c>
      <c r="AT23" s="173"/>
      <c r="AU23" s="173"/>
      <c r="AV23" s="173"/>
      <c r="AW23" s="173"/>
    </row>
    <row r="24" spans="2:49" x14ac:dyDescent="0.25">
      <c r="C24" s="82" t="str">
        <f>C14</f>
        <v>Apheresis</v>
      </c>
      <c r="D24" s="82"/>
      <c r="G24" s="371">
        <f>'A1'!AK60*G14</f>
        <v>0</v>
      </c>
      <c r="H24" s="76"/>
      <c r="I24" s="746">
        <f t="shared" ref="I24:T24" si="12">I14*$G24/1000</f>
        <v>0</v>
      </c>
      <c r="J24" s="746">
        <f t="shared" si="12"/>
        <v>0</v>
      </c>
      <c r="K24" s="746">
        <f t="shared" si="12"/>
        <v>0</v>
      </c>
      <c r="L24" s="746">
        <f t="shared" si="12"/>
        <v>0</v>
      </c>
      <c r="M24" s="746">
        <f t="shared" si="12"/>
        <v>0</v>
      </c>
      <c r="N24" s="746">
        <f t="shared" si="12"/>
        <v>0</v>
      </c>
      <c r="O24" s="746">
        <f t="shared" si="12"/>
        <v>0</v>
      </c>
      <c r="P24" s="746">
        <f t="shared" si="12"/>
        <v>0</v>
      </c>
      <c r="Q24" s="746">
        <f t="shared" si="12"/>
        <v>0</v>
      </c>
      <c r="R24" s="746">
        <f t="shared" si="12"/>
        <v>0</v>
      </c>
      <c r="S24" s="746">
        <f t="shared" si="12"/>
        <v>0</v>
      </c>
      <c r="T24" s="747">
        <f t="shared" si="12"/>
        <v>0</v>
      </c>
      <c r="U24" s="13"/>
      <c r="V24" s="746">
        <f t="shared" si="6"/>
        <v>0</v>
      </c>
      <c r="W24" s="746">
        <f t="shared" si="6"/>
        <v>0</v>
      </c>
      <c r="X24" s="746">
        <f t="shared" si="6"/>
        <v>0</v>
      </c>
      <c r="Y24" s="747">
        <f t="shared" si="6"/>
        <v>0</v>
      </c>
      <c r="Z24" s="13"/>
      <c r="AA24" s="746">
        <f>SUM(I24:T24)</f>
        <v>0</v>
      </c>
      <c r="AB24" s="746">
        <f>SUM(V24:Y24)</f>
        <v>0</v>
      </c>
      <c r="AC24" s="746">
        <f t="shared" si="7"/>
        <v>0</v>
      </c>
      <c r="AD24" s="746">
        <f t="shared" si="7"/>
        <v>0</v>
      </c>
      <c r="AE24" s="746">
        <f t="shared" si="7"/>
        <v>0</v>
      </c>
      <c r="AG24" s="76">
        <f>AG23</f>
        <v>0</v>
      </c>
      <c r="AH24" s="56">
        <f>G24*(1+$AG24)</f>
        <v>0</v>
      </c>
      <c r="AI24" s="729">
        <f t="shared" si="8"/>
        <v>0</v>
      </c>
      <c r="AJ24" s="729">
        <f t="shared" si="8"/>
        <v>0</v>
      </c>
      <c r="AK24" s="729">
        <f t="shared" si="8"/>
        <v>0</v>
      </c>
      <c r="AT24" s="173"/>
      <c r="AU24" s="173"/>
      <c r="AV24" s="173"/>
      <c r="AW24" s="173"/>
    </row>
    <row r="25" spans="2:49" x14ac:dyDescent="0.25">
      <c r="C25" s="82"/>
      <c r="D25" s="82"/>
      <c r="G25" s="371"/>
      <c r="H25" s="76"/>
      <c r="I25" s="744">
        <f t="shared" ref="I25:AE25" si="13">SUM(I20:I24)</f>
        <v>0</v>
      </c>
      <c r="J25" s="744">
        <f t="shared" si="13"/>
        <v>0</v>
      </c>
      <c r="K25" s="744">
        <f t="shared" si="13"/>
        <v>0</v>
      </c>
      <c r="L25" s="744">
        <f t="shared" si="13"/>
        <v>0</v>
      </c>
      <c r="M25" s="744">
        <f t="shared" si="13"/>
        <v>0</v>
      </c>
      <c r="N25" s="744">
        <f t="shared" si="13"/>
        <v>0</v>
      </c>
      <c r="O25" s="744">
        <f t="shared" si="13"/>
        <v>0</v>
      </c>
      <c r="P25" s="744">
        <f t="shared" si="13"/>
        <v>0</v>
      </c>
      <c r="Q25" s="744">
        <f t="shared" si="13"/>
        <v>0</v>
      </c>
      <c r="R25" s="744">
        <f t="shared" si="13"/>
        <v>0</v>
      </c>
      <c r="S25" s="744">
        <f t="shared" si="13"/>
        <v>0</v>
      </c>
      <c r="T25" s="745">
        <f t="shared" si="13"/>
        <v>0</v>
      </c>
      <c r="U25" s="13"/>
      <c r="V25" s="744">
        <f t="shared" si="13"/>
        <v>0</v>
      </c>
      <c r="W25" s="744">
        <f t="shared" si="13"/>
        <v>0</v>
      </c>
      <c r="X25" s="744">
        <f t="shared" si="13"/>
        <v>0</v>
      </c>
      <c r="Y25" s="745">
        <f t="shared" si="13"/>
        <v>0</v>
      </c>
      <c r="Z25" s="13"/>
      <c r="AA25" s="744">
        <f t="shared" si="13"/>
        <v>0</v>
      </c>
      <c r="AB25" s="744">
        <f t="shared" si="13"/>
        <v>0</v>
      </c>
      <c r="AC25" s="744">
        <f t="shared" si="13"/>
        <v>0</v>
      </c>
      <c r="AD25" s="744">
        <f t="shared" si="13"/>
        <v>0</v>
      </c>
      <c r="AE25" s="744">
        <f t="shared" si="13"/>
        <v>0</v>
      </c>
      <c r="AG25" s="76"/>
      <c r="AH25" s="56"/>
      <c r="AI25" s="729"/>
      <c r="AJ25" s="729"/>
      <c r="AK25" s="729"/>
      <c r="AT25" s="173"/>
      <c r="AU25" s="173"/>
      <c r="AV25" s="173"/>
      <c r="AW25" s="173"/>
    </row>
    <row r="26" spans="2:49" x14ac:dyDescent="0.25">
      <c r="C26" s="82"/>
      <c r="D26" s="82"/>
      <c r="G26" s="371"/>
      <c r="H26" s="76"/>
      <c r="I26" s="744"/>
      <c r="J26" s="744"/>
      <c r="K26" s="744"/>
      <c r="L26" s="744"/>
      <c r="M26" s="744"/>
      <c r="N26" s="744"/>
      <c r="O26" s="744"/>
      <c r="P26" s="744"/>
      <c r="Q26" s="744"/>
      <c r="R26" s="744"/>
      <c r="S26" s="744"/>
      <c r="T26" s="745"/>
      <c r="U26" s="13"/>
      <c r="V26" s="744"/>
      <c r="W26" s="744"/>
      <c r="X26" s="744"/>
      <c r="Y26" s="745"/>
      <c r="Z26" s="13"/>
      <c r="AA26" s="744"/>
      <c r="AB26" s="744"/>
      <c r="AC26" s="744"/>
      <c r="AD26" s="744"/>
      <c r="AE26" s="744"/>
      <c r="AG26" s="76"/>
      <c r="AH26" s="56"/>
      <c r="AI26" s="729"/>
      <c r="AJ26" s="729"/>
      <c r="AK26" s="729"/>
      <c r="AT26" s="173"/>
      <c r="AU26" s="173"/>
      <c r="AV26" s="173"/>
      <c r="AW26" s="173"/>
    </row>
    <row r="27" spans="2:49" x14ac:dyDescent="0.25">
      <c r="C27" s="82" t="s">
        <v>502</v>
      </c>
      <c r="D27" s="82"/>
      <c r="G27" s="371">
        <f>'A1'!AM68</f>
        <v>0</v>
      </c>
      <c r="H27" s="76"/>
      <c r="I27" s="744">
        <f>$G27*I15/1000</f>
        <v>0</v>
      </c>
      <c r="J27" s="744">
        <f t="shared" ref="J27:AE27" si="14">$G27*J15/1000</f>
        <v>0</v>
      </c>
      <c r="K27" s="744">
        <f t="shared" si="14"/>
        <v>0</v>
      </c>
      <c r="L27" s="744">
        <f t="shared" si="14"/>
        <v>0</v>
      </c>
      <c r="M27" s="744">
        <f t="shared" si="14"/>
        <v>0</v>
      </c>
      <c r="N27" s="744">
        <f t="shared" si="14"/>
        <v>0</v>
      </c>
      <c r="O27" s="744">
        <f t="shared" si="14"/>
        <v>0</v>
      </c>
      <c r="P27" s="744">
        <f t="shared" si="14"/>
        <v>0</v>
      </c>
      <c r="Q27" s="744">
        <f t="shared" si="14"/>
        <v>0</v>
      </c>
      <c r="R27" s="744">
        <f t="shared" si="14"/>
        <v>0</v>
      </c>
      <c r="S27" s="744">
        <f t="shared" si="14"/>
        <v>0</v>
      </c>
      <c r="T27" s="745">
        <f t="shared" si="14"/>
        <v>0</v>
      </c>
      <c r="U27" s="13"/>
      <c r="V27" s="744">
        <f t="shared" si="14"/>
        <v>0</v>
      </c>
      <c r="W27" s="744">
        <f t="shared" si="14"/>
        <v>0</v>
      </c>
      <c r="X27" s="744">
        <f t="shared" si="14"/>
        <v>0</v>
      </c>
      <c r="Y27" s="745">
        <f t="shared" si="14"/>
        <v>0</v>
      </c>
      <c r="Z27" s="13"/>
      <c r="AA27" s="744">
        <f t="shared" si="14"/>
        <v>0</v>
      </c>
      <c r="AB27" s="744">
        <f t="shared" si="14"/>
        <v>0</v>
      </c>
      <c r="AC27" s="744">
        <f t="shared" si="14"/>
        <v>0</v>
      </c>
      <c r="AD27" s="744">
        <f t="shared" si="14"/>
        <v>0</v>
      </c>
      <c r="AE27" s="744">
        <f t="shared" si="14"/>
        <v>0</v>
      </c>
      <c r="AG27" s="76"/>
      <c r="AH27" s="56"/>
      <c r="AI27" s="729"/>
      <c r="AJ27" s="729"/>
      <c r="AK27" s="729"/>
      <c r="AT27" s="173"/>
      <c r="AU27" s="173"/>
      <c r="AV27" s="173"/>
      <c r="AW27" s="173"/>
    </row>
    <row r="28" spans="2:49" x14ac:dyDescent="0.25">
      <c r="C28" s="82"/>
      <c r="D28" s="82"/>
      <c r="G28" s="371"/>
      <c r="H28" s="76"/>
      <c r="I28" s="744"/>
      <c r="J28" s="744"/>
      <c r="K28" s="744"/>
      <c r="L28" s="744"/>
      <c r="M28" s="744"/>
      <c r="N28" s="744"/>
      <c r="O28" s="744"/>
      <c r="P28" s="744"/>
      <c r="Q28" s="744"/>
      <c r="R28" s="744"/>
      <c r="S28" s="744"/>
      <c r="T28" s="745"/>
      <c r="U28" s="13"/>
      <c r="V28" s="744"/>
      <c r="W28" s="744"/>
      <c r="X28" s="744"/>
      <c r="Y28" s="748"/>
      <c r="Z28" s="13"/>
      <c r="AA28" s="744"/>
      <c r="AB28" s="744"/>
      <c r="AC28" s="744"/>
      <c r="AD28" s="744"/>
      <c r="AE28" s="744"/>
      <c r="AG28" s="76"/>
      <c r="AH28" s="56"/>
      <c r="AI28" s="729"/>
      <c r="AJ28" s="729"/>
      <c r="AK28" s="729"/>
      <c r="AT28" s="173"/>
      <c r="AU28" s="173"/>
      <c r="AV28" s="173"/>
      <c r="AW28" s="173"/>
    </row>
    <row r="29" spans="2:49" ht="15.75" thickBot="1" x14ac:dyDescent="0.3">
      <c r="C29" s="687" t="s">
        <v>105</v>
      </c>
      <c r="D29" s="749"/>
      <c r="E29" s="687"/>
      <c r="F29" s="687"/>
      <c r="G29" s="734"/>
      <c r="H29" s="687"/>
      <c r="I29" s="750">
        <f>I25+I27</f>
        <v>0</v>
      </c>
      <c r="J29" s="750">
        <f t="shared" ref="J29:AE29" si="15">J25+J27</f>
        <v>0</v>
      </c>
      <c r="K29" s="750">
        <f t="shared" si="15"/>
        <v>0</v>
      </c>
      <c r="L29" s="750">
        <f t="shared" si="15"/>
        <v>0</v>
      </c>
      <c r="M29" s="750">
        <f t="shared" si="15"/>
        <v>0</v>
      </c>
      <c r="N29" s="750">
        <f t="shared" si="15"/>
        <v>0</v>
      </c>
      <c r="O29" s="750">
        <f t="shared" si="15"/>
        <v>0</v>
      </c>
      <c r="P29" s="750">
        <f t="shared" si="15"/>
        <v>0</v>
      </c>
      <c r="Q29" s="750">
        <f t="shared" si="15"/>
        <v>0</v>
      </c>
      <c r="R29" s="750">
        <f t="shared" si="15"/>
        <v>0</v>
      </c>
      <c r="S29" s="750">
        <f t="shared" si="15"/>
        <v>0</v>
      </c>
      <c r="T29" s="750">
        <f t="shared" si="15"/>
        <v>0</v>
      </c>
      <c r="U29" s="699"/>
      <c r="V29" s="750">
        <f t="shared" si="15"/>
        <v>0</v>
      </c>
      <c r="W29" s="750">
        <f t="shared" si="15"/>
        <v>0</v>
      </c>
      <c r="X29" s="750">
        <f t="shared" si="15"/>
        <v>0</v>
      </c>
      <c r="Y29" s="750">
        <f t="shared" si="15"/>
        <v>0</v>
      </c>
      <c r="Z29" s="699"/>
      <c r="AA29" s="750">
        <f t="shared" si="15"/>
        <v>0</v>
      </c>
      <c r="AB29" s="750">
        <f t="shared" si="15"/>
        <v>0</v>
      </c>
      <c r="AC29" s="750">
        <f t="shared" si="15"/>
        <v>0</v>
      </c>
      <c r="AD29" s="750">
        <f t="shared" si="15"/>
        <v>0</v>
      </c>
      <c r="AE29" s="750">
        <f t="shared" si="15"/>
        <v>0</v>
      </c>
      <c r="AH29" s="56"/>
      <c r="AI29" s="729"/>
      <c r="AJ29" s="729"/>
      <c r="AK29" s="173"/>
      <c r="AT29" s="978">
        <f>SUM(I29:K29)</f>
        <v>0</v>
      </c>
      <c r="AU29" s="978">
        <f>SUM(L29:N29)</f>
        <v>0</v>
      </c>
      <c r="AV29" s="978">
        <f>SUM(O29:Q29)</f>
        <v>0</v>
      </c>
      <c r="AW29" s="978">
        <f>SUM(R29:T29)</f>
        <v>0</v>
      </c>
    </row>
    <row r="30" spans="2:49" ht="15.75" thickTop="1" x14ac:dyDescent="0.25">
      <c r="I30" s="13"/>
      <c r="J30" s="13"/>
      <c r="K30" s="13"/>
      <c r="L30" s="13"/>
      <c r="M30" s="13"/>
      <c r="N30" s="13"/>
      <c r="O30" s="13"/>
      <c r="P30" s="13"/>
      <c r="Q30" s="13"/>
      <c r="R30" s="13"/>
      <c r="S30" s="13"/>
      <c r="T30" s="13"/>
      <c r="U30" s="13"/>
      <c r="V30" s="13"/>
      <c r="W30" s="13"/>
      <c r="X30" s="13"/>
      <c r="Y30" s="13"/>
      <c r="Z30" s="13"/>
      <c r="AA30" s="13"/>
      <c r="AB30" s="13"/>
      <c r="AC30" s="13"/>
      <c r="AD30" s="13"/>
      <c r="AE30" s="13"/>
      <c r="AH30" s="56"/>
      <c r="AI30" s="729"/>
      <c r="AJ30" s="729"/>
      <c r="AK30" s="173"/>
    </row>
    <row r="31" spans="2:49" x14ac:dyDescent="0.25">
      <c r="C31" s="82"/>
      <c r="I31" s="13"/>
      <c r="J31" s="13"/>
      <c r="K31" s="13"/>
      <c r="L31" s="13"/>
      <c r="M31" s="13"/>
      <c r="N31" s="13"/>
      <c r="O31" s="13"/>
      <c r="P31" s="13"/>
      <c r="Q31" s="13"/>
      <c r="R31" s="13"/>
      <c r="S31" s="13"/>
      <c r="T31" s="13"/>
      <c r="U31" s="13"/>
      <c r="V31" s="13"/>
      <c r="W31" s="13"/>
      <c r="X31" s="13"/>
      <c r="Y31" s="13"/>
      <c r="Z31" s="13"/>
      <c r="AA31" s="13"/>
      <c r="AB31" s="13"/>
      <c r="AC31" s="13"/>
      <c r="AD31" s="13"/>
      <c r="AE31" s="13"/>
      <c r="AI31" s="173"/>
      <c r="AJ31" s="173"/>
      <c r="AK31" s="173"/>
    </row>
    <row r="32" spans="2:49" x14ac:dyDescent="0.25">
      <c r="D32" s="81"/>
      <c r="E32" s="81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13"/>
      <c r="T32" s="13"/>
      <c r="U32" s="13"/>
      <c r="V32" s="13"/>
      <c r="W32" s="13"/>
      <c r="X32" s="13"/>
      <c r="Y32" s="13"/>
      <c r="Z32" s="13"/>
      <c r="AA32" s="13"/>
      <c r="AB32" s="13"/>
      <c r="AC32" s="13"/>
      <c r="AD32" s="13"/>
      <c r="AE32" s="13"/>
    </row>
    <row r="33" spans="9:31" x14ac:dyDescent="0.25">
      <c r="U33" s="13"/>
    </row>
    <row r="35" spans="9:31" x14ac:dyDescent="0.25">
      <c r="Y35" s="1" t="s">
        <v>961</v>
      </c>
    </row>
    <row r="36" spans="9:31" x14ac:dyDescent="0.25">
      <c r="I36" s="381">
        <f t="shared" ref="I36:S41" si="16">I10</f>
        <v>0</v>
      </c>
      <c r="J36" s="381">
        <f t="shared" si="16"/>
        <v>0</v>
      </c>
      <c r="K36" s="381">
        <f t="shared" si="16"/>
        <v>0</v>
      </c>
      <c r="L36" s="381">
        <f t="shared" si="16"/>
        <v>0</v>
      </c>
      <c r="M36" s="381">
        <f t="shared" si="16"/>
        <v>0</v>
      </c>
      <c r="N36" s="381">
        <f t="shared" si="16"/>
        <v>0</v>
      </c>
      <c r="O36" s="381">
        <f t="shared" si="16"/>
        <v>0</v>
      </c>
      <c r="P36" s="381">
        <f t="shared" si="16"/>
        <v>0</v>
      </c>
      <c r="Q36" s="381">
        <f t="shared" si="16"/>
        <v>0</v>
      </c>
      <c r="R36" s="381">
        <f t="shared" si="16"/>
        <v>0</v>
      </c>
      <c r="S36" s="381">
        <f t="shared" si="16"/>
        <v>0</v>
      </c>
      <c r="T36" s="381">
        <f t="shared" ref="T36:T41" si="17">T10</f>
        <v>0</v>
      </c>
      <c r="V36" s="82">
        <f t="shared" ref="V36:Y41" si="18">V10/4</f>
        <v>0</v>
      </c>
      <c r="W36" s="82">
        <f t="shared" si="18"/>
        <v>0</v>
      </c>
      <c r="X36" s="82">
        <f t="shared" si="18"/>
        <v>0</v>
      </c>
      <c r="Y36" s="82">
        <f t="shared" si="18"/>
        <v>0</v>
      </c>
      <c r="Z36" s="82"/>
      <c r="AA36" s="82">
        <f t="shared" ref="AA36:AE41" si="19">AA10/12</f>
        <v>0</v>
      </c>
      <c r="AB36" s="82">
        <f t="shared" si="19"/>
        <v>0</v>
      </c>
      <c r="AC36" s="82">
        <f t="shared" si="19"/>
        <v>0</v>
      </c>
      <c r="AD36" s="82">
        <f t="shared" si="19"/>
        <v>0</v>
      </c>
      <c r="AE36" s="82">
        <f t="shared" si="19"/>
        <v>0</v>
      </c>
    </row>
    <row r="37" spans="9:31" x14ac:dyDescent="0.25">
      <c r="I37" s="381">
        <f t="shared" si="16"/>
        <v>0</v>
      </c>
      <c r="J37" s="381">
        <f t="shared" si="16"/>
        <v>0</v>
      </c>
      <c r="K37" s="381">
        <f t="shared" si="16"/>
        <v>0</v>
      </c>
      <c r="L37" s="381">
        <f t="shared" si="16"/>
        <v>0</v>
      </c>
      <c r="M37" s="381">
        <f t="shared" si="16"/>
        <v>0</v>
      </c>
      <c r="N37" s="381">
        <f t="shared" si="16"/>
        <v>0</v>
      </c>
      <c r="O37" s="381">
        <f t="shared" si="16"/>
        <v>0</v>
      </c>
      <c r="P37" s="381">
        <f t="shared" si="16"/>
        <v>0</v>
      </c>
      <c r="Q37" s="381">
        <f t="shared" si="16"/>
        <v>0</v>
      </c>
      <c r="R37" s="381">
        <f t="shared" si="16"/>
        <v>0</v>
      </c>
      <c r="S37" s="381">
        <f t="shared" si="16"/>
        <v>0</v>
      </c>
      <c r="T37" s="381">
        <f t="shared" si="17"/>
        <v>0</v>
      </c>
      <c r="V37" s="82">
        <f t="shared" si="18"/>
        <v>0</v>
      </c>
      <c r="W37" s="82">
        <f t="shared" si="18"/>
        <v>0</v>
      </c>
      <c r="X37" s="82">
        <f t="shared" si="18"/>
        <v>0</v>
      </c>
      <c r="Y37" s="82">
        <f t="shared" si="18"/>
        <v>0</v>
      </c>
      <c r="AA37" s="82">
        <f t="shared" si="19"/>
        <v>0</v>
      </c>
      <c r="AB37" s="82">
        <f t="shared" si="19"/>
        <v>0</v>
      </c>
      <c r="AC37" s="82">
        <f t="shared" si="19"/>
        <v>0</v>
      </c>
      <c r="AD37" s="82">
        <f t="shared" si="19"/>
        <v>0</v>
      </c>
      <c r="AE37" s="82">
        <f t="shared" si="19"/>
        <v>0</v>
      </c>
    </row>
    <row r="38" spans="9:31" x14ac:dyDescent="0.25">
      <c r="I38" s="381">
        <f t="shared" si="16"/>
        <v>0</v>
      </c>
      <c r="J38" s="381">
        <f t="shared" si="16"/>
        <v>0</v>
      </c>
      <c r="K38" s="381">
        <f t="shared" si="16"/>
        <v>0</v>
      </c>
      <c r="L38" s="381">
        <f t="shared" si="16"/>
        <v>0</v>
      </c>
      <c r="M38" s="381">
        <f t="shared" si="16"/>
        <v>0</v>
      </c>
      <c r="N38" s="381">
        <f t="shared" si="16"/>
        <v>0</v>
      </c>
      <c r="O38" s="381">
        <f t="shared" si="16"/>
        <v>0</v>
      </c>
      <c r="P38" s="381">
        <f t="shared" si="16"/>
        <v>0</v>
      </c>
      <c r="Q38" s="381">
        <f t="shared" si="16"/>
        <v>0</v>
      </c>
      <c r="R38" s="381">
        <f t="shared" si="16"/>
        <v>0</v>
      </c>
      <c r="S38" s="381">
        <f t="shared" si="16"/>
        <v>0</v>
      </c>
      <c r="T38" s="381">
        <f t="shared" si="17"/>
        <v>0</v>
      </c>
      <c r="V38" s="82">
        <f t="shared" si="18"/>
        <v>0</v>
      </c>
      <c r="W38" s="82">
        <f t="shared" si="18"/>
        <v>0</v>
      </c>
      <c r="X38" s="82">
        <f t="shared" si="18"/>
        <v>0</v>
      </c>
      <c r="Y38" s="82">
        <f t="shared" si="18"/>
        <v>0</v>
      </c>
      <c r="AA38" s="82">
        <f t="shared" si="19"/>
        <v>0</v>
      </c>
      <c r="AB38" s="82">
        <f t="shared" si="19"/>
        <v>0</v>
      </c>
      <c r="AC38" s="82">
        <f t="shared" si="19"/>
        <v>0</v>
      </c>
      <c r="AD38" s="82">
        <f t="shared" si="19"/>
        <v>0</v>
      </c>
      <c r="AE38" s="82">
        <f t="shared" si="19"/>
        <v>0</v>
      </c>
    </row>
    <row r="39" spans="9:31" x14ac:dyDescent="0.25">
      <c r="I39" s="381">
        <f t="shared" si="16"/>
        <v>0</v>
      </c>
      <c r="J39" s="381">
        <f t="shared" si="16"/>
        <v>0</v>
      </c>
      <c r="K39" s="381">
        <f t="shared" si="16"/>
        <v>0</v>
      </c>
      <c r="L39" s="381">
        <f t="shared" si="16"/>
        <v>0</v>
      </c>
      <c r="M39" s="381">
        <f t="shared" si="16"/>
        <v>0</v>
      </c>
      <c r="N39" s="381">
        <f t="shared" si="16"/>
        <v>0</v>
      </c>
      <c r="O39" s="381">
        <f t="shared" si="16"/>
        <v>0</v>
      </c>
      <c r="P39" s="381">
        <f t="shared" si="16"/>
        <v>0</v>
      </c>
      <c r="Q39" s="381">
        <f t="shared" si="16"/>
        <v>0</v>
      </c>
      <c r="R39" s="381">
        <f t="shared" si="16"/>
        <v>0</v>
      </c>
      <c r="S39" s="381">
        <f t="shared" si="16"/>
        <v>0</v>
      </c>
      <c r="T39" s="381">
        <f t="shared" si="17"/>
        <v>0</v>
      </c>
      <c r="V39" s="82">
        <f t="shared" si="18"/>
        <v>0</v>
      </c>
      <c r="W39" s="82">
        <f t="shared" si="18"/>
        <v>0</v>
      </c>
      <c r="X39" s="82">
        <f t="shared" si="18"/>
        <v>0</v>
      </c>
      <c r="Y39" s="82">
        <f t="shared" si="18"/>
        <v>0</v>
      </c>
      <c r="AA39" s="82">
        <f t="shared" si="19"/>
        <v>0</v>
      </c>
      <c r="AB39" s="82">
        <f t="shared" si="19"/>
        <v>0</v>
      </c>
      <c r="AC39" s="82">
        <f t="shared" si="19"/>
        <v>0</v>
      </c>
      <c r="AD39" s="82">
        <f t="shared" si="19"/>
        <v>0</v>
      </c>
      <c r="AE39" s="82">
        <f t="shared" si="19"/>
        <v>0</v>
      </c>
    </row>
    <row r="40" spans="9:31" x14ac:dyDescent="0.25">
      <c r="I40" s="381">
        <f t="shared" si="16"/>
        <v>0</v>
      </c>
      <c r="J40" s="381">
        <f t="shared" si="16"/>
        <v>0</v>
      </c>
      <c r="K40" s="381">
        <f t="shared" si="16"/>
        <v>0</v>
      </c>
      <c r="L40" s="381">
        <f t="shared" si="16"/>
        <v>0</v>
      </c>
      <c r="M40" s="381">
        <f t="shared" si="16"/>
        <v>0</v>
      </c>
      <c r="N40" s="381">
        <f t="shared" si="16"/>
        <v>0</v>
      </c>
      <c r="O40" s="381">
        <f t="shared" si="16"/>
        <v>0</v>
      </c>
      <c r="P40" s="381">
        <f t="shared" si="16"/>
        <v>0</v>
      </c>
      <c r="Q40" s="381">
        <f t="shared" si="16"/>
        <v>0</v>
      </c>
      <c r="R40" s="381">
        <f t="shared" si="16"/>
        <v>0</v>
      </c>
      <c r="S40" s="381">
        <f t="shared" si="16"/>
        <v>0</v>
      </c>
      <c r="T40" s="381">
        <f t="shared" si="17"/>
        <v>0</v>
      </c>
      <c r="V40" s="82">
        <f t="shared" si="18"/>
        <v>0</v>
      </c>
      <c r="W40" s="82">
        <f t="shared" si="18"/>
        <v>0</v>
      </c>
      <c r="X40" s="82">
        <f t="shared" si="18"/>
        <v>0</v>
      </c>
      <c r="Y40" s="82">
        <f t="shared" si="18"/>
        <v>0</v>
      </c>
      <c r="AA40" s="82">
        <f t="shared" si="19"/>
        <v>0</v>
      </c>
      <c r="AB40" s="82">
        <f t="shared" si="19"/>
        <v>0</v>
      </c>
      <c r="AC40" s="82">
        <f t="shared" si="19"/>
        <v>0</v>
      </c>
      <c r="AD40" s="82">
        <f t="shared" si="19"/>
        <v>0</v>
      </c>
      <c r="AE40" s="82">
        <f t="shared" si="19"/>
        <v>0</v>
      </c>
    </row>
    <row r="41" spans="9:31" x14ac:dyDescent="0.25">
      <c r="I41" s="381">
        <f t="shared" si="16"/>
        <v>0</v>
      </c>
      <c r="J41" s="381">
        <f t="shared" si="16"/>
        <v>0</v>
      </c>
      <c r="K41" s="381">
        <f t="shared" si="16"/>
        <v>0</v>
      </c>
      <c r="L41" s="381">
        <f t="shared" si="16"/>
        <v>0</v>
      </c>
      <c r="M41" s="381">
        <f t="shared" si="16"/>
        <v>0</v>
      </c>
      <c r="N41" s="381">
        <f t="shared" si="16"/>
        <v>0</v>
      </c>
      <c r="O41" s="381">
        <f t="shared" si="16"/>
        <v>0</v>
      </c>
      <c r="P41" s="381">
        <f t="shared" si="16"/>
        <v>0</v>
      </c>
      <c r="Q41" s="381">
        <f t="shared" si="16"/>
        <v>0</v>
      </c>
      <c r="R41" s="381">
        <f t="shared" si="16"/>
        <v>0</v>
      </c>
      <c r="S41" s="381">
        <f t="shared" si="16"/>
        <v>0</v>
      </c>
      <c r="T41" s="381">
        <f t="shared" si="17"/>
        <v>0</v>
      </c>
      <c r="V41" s="82">
        <f t="shared" si="18"/>
        <v>0</v>
      </c>
      <c r="W41" s="82">
        <f t="shared" si="18"/>
        <v>0</v>
      </c>
      <c r="X41" s="82">
        <f t="shared" si="18"/>
        <v>0</v>
      </c>
      <c r="Y41" s="82">
        <f t="shared" si="18"/>
        <v>0</v>
      </c>
      <c r="AA41" s="82">
        <f t="shared" si="19"/>
        <v>0</v>
      </c>
      <c r="AB41" s="82">
        <f t="shared" si="19"/>
        <v>0</v>
      </c>
      <c r="AC41" s="82">
        <f t="shared" si="19"/>
        <v>0</v>
      </c>
      <c r="AD41" s="82">
        <f t="shared" si="19"/>
        <v>0</v>
      </c>
      <c r="AE41" s="82">
        <f t="shared" si="19"/>
        <v>0</v>
      </c>
    </row>
  </sheetData>
  <conditionalFormatting sqref="U10:U14">
    <cfRule type="expression" dxfId="70" priority="1">
      <formula>$G10=0</formula>
    </cfRule>
  </conditionalFormatting>
  <printOptions horizontalCentered="1"/>
  <pageMargins left="0.7" right="0.7" top="0.75" bottom="0.75" header="0.3" footer="0.3"/>
  <pageSetup scale="55" orientation="landscape" r:id="rId1"/>
  <ignoredErrors>
    <ignoredError sqref="C15:AK28 AJ2:AN4 AO9:AR14 AT15:AW29 A2:I4 AE2 C10:AG10 AI10:AK10 C11:AG14 AI11:AK14 C29:H29 U29 Z29 AF29:AK29" unlockedFormula="1"/>
  </ignoredError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>
    <tabColor theme="9" tint="-0.249977111117893"/>
    <pageSetUpPr fitToPage="1"/>
  </sheetPr>
  <dimension ref="A1:AS108"/>
  <sheetViews>
    <sheetView showGridLines="0" view="pageBreakPreview" zoomScale="90" zoomScaleNormal="132" zoomScaleSheetLayoutView="90" workbookViewId="0"/>
  </sheetViews>
  <sheetFormatPr defaultColWidth="9.42578125" defaultRowHeight="15" x14ac:dyDescent="0.25"/>
  <cols>
    <col min="1" max="1" width="1.5703125" style="1" customWidth="1"/>
    <col min="2" max="3" width="3" style="1" customWidth="1"/>
    <col min="4" max="4" width="9.42578125" style="1" customWidth="1"/>
    <col min="5" max="5" width="3" style="1" customWidth="1"/>
    <col min="6" max="6" width="13.5703125" style="1" customWidth="1"/>
    <col min="7" max="7" width="8.42578125" style="173" customWidth="1"/>
    <col min="8" max="8" width="3.42578125" style="1" customWidth="1"/>
    <col min="9" max="9" width="9.28515625" style="1" customWidth="1"/>
    <col min="10" max="10" width="9.5703125" style="1" customWidth="1"/>
    <col min="11" max="25" width="8.85546875" style="1" customWidth="1"/>
    <col min="26" max="26" width="3.42578125" style="1" customWidth="1"/>
    <col min="27" max="31" width="10.5703125" style="1" customWidth="1"/>
    <col min="32" max="32" width="8.5703125" style="1" customWidth="1"/>
    <col min="33" max="16384" width="9.42578125" style="1"/>
  </cols>
  <sheetData>
    <row r="1" spans="1:44" ht="6" customHeight="1" thickBot="1" x14ac:dyDescent="0.3">
      <c r="B1" s="85"/>
      <c r="C1" s="86"/>
      <c r="D1" s="85"/>
      <c r="E1" s="85"/>
      <c r="F1" s="85"/>
      <c r="G1" s="505"/>
      <c r="H1" s="85"/>
      <c r="I1" s="85"/>
      <c r="J1" s="85"/>
      <c r="K1" s="85"/>
      <c r="L1" s="85"/>
      <c r="M1" s="85"/>
      <c r="N1" s="85"/>
      <c r="O1" s="85"/>
      <c r="P1" s="85"/>
      <c r="Q1" s="85"/>
      <c r="R1" s="85"/>
      <c r="S1" s="85"/>
      <c r="T1" s="85"/>
      <c r="U1" s="85"/>
      <c r="V1" s="85"/>
      <c r="W1" s="85"/>
      <c r="X1" s="85"/>
      <c r="Y1" s="85"/>
      <c r="Z1" s="85"/>
      <c r="AA1" s="85"/>
      <c r="AB1" s="85"/>
      <c r="AC1" s="85"/>
      <c r="AD1" s="85"/>
      <c r="AE1" s="85"/>
    </row>
    <row r="2" spans="1:44" ht="16.5" thickTop="1" x14ac:dyDescent="0.25">
      <c r="B2" s="110" t="str">
        <f>MainOutline!B2</f>
        <v>WB Santa Cruz</v>
      </c>
      <c r="C2" s="111"/>
      <c r="D2" s="111"/>
      <c r="E2" s="111"/>
      <c r="F2" s="111"/>
      <c r="G2" s="506"/>
      <c r="H2" s="111"/>
      <c r="I2" s="508" t="str">
        <f>'A1'!$C$90</f>
        <v>Acquisition of an existing facility</v>
      </c>
      <c r="J2" s="111"/>
      <c r="K2" s="111"/>
      <c r="L2" s="111"/>
      <c r="M2" s="111"/>
      <c r="N2" s="111"/>
      <c r="O2" s="111"/>
      <c r="P2" s="111"/>
      <c r="Q2" s="111"/>
      <c r="R2" s="111"/>
      <c r="S2" s="111"/>
      <c r="T2" s="1409"/>
      <c r="U2" s="111"/>
      <c r="V2" s="111"/>
      <c r="W2" s="111"/>
      <c r="X2" s="111"/>
      <c r="Y2" s="111"/>
      <c r="Z2" s="111"/>
      <c r="AA2" s="111"/>
      <c r="AB2" s="111"/>
      <c r="AC2" s="111"/>
      <c r="AD2" s="111"/>
      <c r="AE2" s="1409">
        <f>$A3</f>
        <v>37</v>
      </c>
      <c r="AK2" s="82"/>
      <c r="AL2" s="82"/>
    </row>
    <row r="3" spans="1:44" ht="15.75" x14ac:dyDescent="0.25">
      <c r="A3" s="123">
        <f>MainOutline!B52</f>
        <v>37</v>
      </c>
      <c r="B3" s="102" t="str">
        <f>MainOutline!C52</f>
        <v>Appendix C7</v>
      </c>
      <c r="C3" s="89"/>
      <c r="D3" s="89"/>
      <c r="E3" s="89"/>
      <c r="F3" s="89"/>
      <c r="G3" s="509"/>
      <c r="H3" s="89"/>
      <c r="I3" s="89"/>
      <c r="J3" s="89"/>
      <c r="K3" s="89"/>
      <c r="L3" s="89"/>
      <c r="M3" s="89"/>
      <c r="N3" s="89"/>
      <c r="O3" s="89"/>
      <c r="P3" s="89"/>
      <c r="Q3" s="89"/>
      <c r="R3" s="89"/>
      <c r="S3" s="89"/>
      <c r="T3" s="89"/>
      <c r="U3" s="89"/>
      <c r="V3" s="89"/>
      <c r="W3" s="89"/>
      <c r="X3" s="89"/>
      <c r="Y3" s="89"/>
      <c r="Z3" s="89"/>
      <c r="AA3" s="89"/>
      <c r="AB3" s="89"/>
      <c r="AC3" s="89"/>
      <c r="AD3" s="89"/>
      <c r="AE3" s="89"/>
      <c r="AI3" s="1" t="s">
        <v>114</v>
      </c>
      <c r="AK3" s="1">
        <f>'A1'!AG9</f>
        <v>0</v>
      </c>
      <c r="AL3" s="1">
        <f>'A1'!AH9</f>
        <v>0</v>
      </c>
    </row>
    <row r="4" spans="1:44" ht="16.5" thickBot="1" x14ac:dyDescent="0.3">
      <c r="B4" s="104" t="s">
        <v>149</v>
      </c>
      <c r="C4" s="97"/>
      <c r="D4" s="97"/>
      <c r="E4" s="97"/>
      <c r="F4" s="97"/>
      <c r="G4" s="510"/>
      <c r="H4" s="97"/>
      <c r="I4" s="97"/>
      <c r="J4" s="97"/>
      <c r="K4" s="97"/>
      <c r="L4" s="97"/>
      <c r="M4" s="97"/>
      <c r="N4" s="97"/>
      <c r="O4" s="97"/>
      <c r="P4" s="97"/>
      <c r="Q4" s="97"/>
      <c r="R4" s="97"/>
      <c r="S4" s="97"/>
      <c r="T4" s="388"/>
      <c r="U4" s="97"/>
      <c r="V4" s="97"/>
      <c r="W4" s="97"/>
      <c r="X4" s="97"/>
      <c r="Y4" s="97"/>
      <c r="Z4" s="97"/>
      <c r="AA4" s="97"/>
      <c r="AB4" s="97"/>
      <c r="AC4" s="97"/>
      <c r="AD4" s="97"/>
      <c r="AE4" s="388" t="str">
        <f>'A1'!$AA$4</f>
        <v>Inputs in $; Results in $000</v>
      </c>
      <c r="AI4" s="1" t="s">
        <v>110</v>
      </c>
      <c r="AK4" s="1">
        <f>'A1'!AG43</f>
        <v>0</v>
      </c>
      <c r="AL4" s="1">
        <f>'A1'!AH43</f>
        <v>0</v>
      </c>
    </row>
    <row r="5" spans="1:44" ht="15.75" thickTop="1" x14ac:dyDescent="0.25">
      <c r="AI5" s="1" t="s">
        <v>98</v>
      </c>
    </row>
    <row r="6" spans="1:44" ht="17.25" x14ac:dyDescent="0.4">
      <c r="I6" s="681" t="s">
        <v>471</v>
      </c>
      <c r="J6" s="715"/>
      <c r="K6" s="715"/>
      <c r="L6" s="715"/>
      <c r="M6" s="715"/>
      <c r="N6" s="715"/>
      <c r="O6" s="715"/>
      <c r="P6" s="715"/>
      <c r="Q6" s="715"/>
      <c r="R6" s="715"/>
      <c r="S6" s="715"/>
      <c r="T6" s="716"/>
      <c r="V6" s="681" t="s">
        <v>472</v>
      </c>
      <c r="W6" s="715"/>
      <c r="X6" s="715"/>
      <c r="Y6" s="716"/>
      <c r="AA6" s="681" t="s">
        <v>133</v>
      </c>
      <c r="AB6" s="715"/>
      <c r="AC6" s="715"/>
      <c r="AD6" s="715"/>
      <c r="AE6" s="715"/>
    </row>
    <row r="7" spans="1:44" s="173" customFormat="1" ht="15.75" thickBot="1" x14ac:dyDescent="0.3">
      <c r="I7" s="717">
        <v>1</v>
      </c>
      <c r="J7" s="717">
        <f>I7+1</f>
        <v>2</v>
      </c>
      <c r="K7" s="717">
        <f t="shared" ref="K7:T7" si="0">J7+1</f>
        <v>3</v>
      </c>
      <c r="L7" s="717">
        <f t="shared" si="0"/>
        <v>4</v>
      </c>
      <c r="M7" s="717">
        <f t="shared" si="0"/>
        <v>5</v>
      </c>
      <c r="N7" s="717">
        <f t="shared" si="0"/>
        <v>6</v>
      </c>
      <c r="O7" s="717">
        <f t="shared" si="0"/>
        <v>7</v>
      </c>
      <c r="P7" s="717">
        <f t="shared" si="0"/>
        <v>8</v>
      </c>
      <c r="Q7" s="717">
        <f t="shared" si="0"/>
        <v>9</v>
      </c>
      <c r="R7" s="717">
        <f t="shared" si="0"/>
        <v>10</v>
      </c>
      <c r="S7" s="717">
        <f t="shared" si="0"/>
        <v>11</v>
      </c>
      <c r="T7" s="718">
        <f t="shared" si="0"/>
        <v>12</v>
      </c>
      <c r="U7" s="1"/>
      <c r="V7" s="719" t="s">
        <v>24</v>
      </c>
      <c r="W7" s="719" t="s">
        <v>25</v>
      </c>
      <c r="X7" s="719" t="s">
        <v>26</v>
      </c>
      <c r="Y7" s="720" t="s">
        <v>27</v>
      </c>
      <c r="Z7" s="1"/>
      <c r="AA7" s="684">
        <v>1</v>
      </c>
      <c r="AB7" s="684">
        <v>2</v>
      </c>
      <c r="AC7" s="684">
        <v>3</v>
      </c>
      <c r="AD7" s="684">
        <v>4</v>
      </c>
      <c r="AE7" s="685">
        <v>5</v>
      </c>
      <c r="AG7" s="82"/>
    </row>
    <row r="8" spans="1:44" x14ac:dyDescent="0.25">
      <c r="T8" s="188"/>
      <c r="Y8" s="188"/>
      <c r="AG8" s="82"/>
      <c r="AH8" s="1" t="s">
        <v>130</v>
      </c>
      <c r="AO8" s="1" t="s">
        <v>131</v>
      </c>
    </row>
    <row r="9" spans="1:44" x14ac:dyDescent="0.25">
      <c r="B9" s="533" t="str">
        <f>'A1'!E8 &amp; " - " &amp; 'A1'!$E$9</f>
        <v>Hemo Dialysis - In Center</v>
      </c>
      <c r="G9" s="36"/>
      <c r="H9" s="36"/>
      <c r="I9" s="36"/>
      <c r="J9" s="36"/>
      <c r="K9" s="36"/>
      <c r="L9" s="36"/>
      <c r="M9" s="36"/>
      <c r="N9" s="36"/>
      <c r="O9" s="36"/>
      <c r="P9" s="36"/>
      <c r="Q9" s="36"/>
      <c r="R9" s="36"/>
      <c r="S9" s="36"/>
      <c r="T9" s="51"/>
      <c r="U9" s="36"/>
      <c r="V9" s="36"/>
      <c r="W9" s="36"/>
      <c r="X9" s="36"/>
      <c r="Y9" s="51"/>
      <c r="AA9" s="36"/>
      <c r="AB9" s="36"/>
      <c r="AC9" s="36"/>
      <c r="AD9" s="36"/>
      <c r="AE9" s="36"/>
    </row>
    <row r="10" spans="1:44" x14ac:dyDescent="0.25">
      <c r="D10" s="1" t="s">
        <v>151</v>
      </c>
      <c r="E10" s="81"/>
      <c r="G10" s="77"/>
      <c r="H10" s="76"/>
      <c r="I10" s="13">
        <f>'C1'!I17</f>
        <v>0</v>
      </c>
      <c r="J10" s="13">
        <f>'C1'!J17</f>
        <v>0</v>
      </c>
      <c r="K10" s="13">
        <f>'C1'!K17</f>
        <v>0</v>
      </c>
      <c r="L10" s="13">
        <f>'C1'!L17</f>
        <v>0</v>
      </c>
      <c r="M10" s="13">
        <f>'C1'!M17</f>
        <v>0</v>
      </c>
      <c r="N10" s="13">
        <f>'C1'!N17</f>
        <v>0</v>
      </c>
      <c r="O10" s="13">
        <f>'C1'!O17</f>
        <v>0</v>
      </c>
      <c r="P10" s="13">
        <f>'C1'!P17</f>
        <v>0</v>
      </c>
      <c r="Q10" s="13">
        <f>'C1'!Q17</f>
        <v>0</v>
      </c>
      <c r="R10" s="13">
        <f>'C1'!R17</f>
        <v>0</v>
      </c>
      <c r="S10" s="13">
        <f>'C1'!S17</f>
        <v>0</v>
      </c>
      <c r="T10" s="14">
        <f>'C1'!T17</f>
        <v>0</v>
      </c>
      <c r="U10" s="36"/>
      <c r="V10" s="13">
        <f>'C1'!V17</f>
        <v>0</v>
      </c>
      <c r="W10" s="13">
        <f>'C1'!W17</f>
        <v>0</v>
      </c>
      <c r="X10" s="13">
        <f>'C1'!X17</f>
        <v>0</v>
      </c>
      <c r="Y10" s="14">
        <f>'C1'!Y17</f>
        <v>0</v>
      </c>
      <c r="AA10" s="13">
        <f>SUM(I10:T10)</f>
        <v>0</v>
      </c>
      <c r="AB10" s="13">
        <f>SUM(V10:Y10)</f>
        <v>0</v>
      </c>
      <c r="AC10" s="13">
        <f>'C1'!AC17</f>
        <v>0</v>
      </c>
      <c r="AD10" s="13">
        <f>'C1'!AD17</f>
        <v>0</v>
      </c>
      <c r="AE10" s="13">
        <f>'C1'!AE17</f>
        <v>0</v>
      </c>
    </row>
    <row r="11" spans="1:44" x14ac:dyDescent="0.25">
      <c r="D11" s="1" t="s">
        <v>281</v>
      </c>
      <c r="E11" s="81"/>
      <c r="G11" s="765">
        <f>'A1'!$E$53</f>
        <v>3300</v>
      </c>
      <c r="H11" s="76"/>
      <c r="I11" s="755">
        <f>I10*$G11</f>
        <v>0</v>
      </c>
      <c r="J11" s="755">
        <f t="shared" ref="J11:T11" si="1">J10*$G11</f>
        <v>0</v>
      </c>
      <c r="K11" s="755">
        <f t="shared" si="1"/>
        <v>0</v>
      </c>
      <c r="L11" s="755">
        <f t="shared" si="1"/>
        <v>0</v>
      </c>
      <c r="M11" s="755">
        <f t="shared" si="1"/>
        <v>0</v>
      </c>
      <c r="N11" s="755">
        <f t="shared" si="1"/>
        <v>0</v>
      </c>
      <c r="O11" s="755">
        <f t="shared" si="1"/>
        <v>0</v>
      </c>
      <c r="P11" s="755">
        <f t="shared" si="1"/>
        <v>0</v>
      </c>
      <c r="Q11" s="755">
        <f t="shared" si="1"/>
        <v>0</v>
      </c>
      <c r="R11" s="755">
        <f t="shared" si="1"/>
        <v>0</v>
      </c>
      <c r="S11" s="755">
        <f t="shared" si="1"/>
        <v>0</v>
      </c>
      <c r="T11" s="756">
        <f t="shared" si="1"/>
        <v>0</v>
      </c>
      <c r="U11" s="757"/>
      <c r="V11" s="755">
        <f>V10*$G11</f>
        <v>0</v>
      </c>
      <c r="W11" s="755">
        <f>W10*$G11</f>
        <v>0</v>
      </c>
      <c r="X11" s="755">
        <f>X10*$G11</f>
        <v>0</v>
      </c>
      <c r="Y11" s="756">
        <f>Y10*$G11</f>
        <v>0</v>
      </c>
      <c r="Z11" s="758"/>
      <c r="AA11" s="755">
        <f>SUM(I11:T11)</f>
        <v>0</v>
      </c>
      <c r="AB11" s="755">
        <f>SUM(V11:Y11)</f>
        <v>0</v>
      </c>
      <c r="AC11" s="755">
        <f>AC10*$G11</f>
        <v>0</v>
      </c>
      <c r="AD11" s="755">
        <f>AD10*$G11</f>
        <v>0</v>
      </c>
      <c r="AE11" s="755">
        <f>AE10*$G11</f>
        <v>0</v>
      </c>
    </row>
    <row r="12" spans="1:44" x14ac:dyDescent="0.25">
      <c r="D12" s="81"/>
      <c r="E12" s="81"/>
      <c r="G12" s="77"/>
      <c r="H12" s="76"/>
      <c r="I12" s="13"/>
      <c r="J12" s="13"/>
      <c r="K12" s="13"/>
      <c r="L12" s="13"/>
      <c r="M12" s="13"/>
      <c r="N12" s="13"/>
      <c r="O12" s="13"/>
      <c r="P12" s="13"/>
      <c r="Q12" s="13"/>
      <c r="R12" s="13"/>
      <c r="S12" s="13"/>
      <c r="T12" s="14"/>
      <c r="U12" s="36"/>
      <c r="V12" s="13"/>
      <c r="W12" s="13"/>
      <c r="X12" s="13"/>
      <c r="Y12" s="14"/>
      <c r="AA12" s="13"/>
      <c r="AB12" s="13"/>
      <c r="AC12" s="13"/>
      <c r="AD12" s="13"/>
      <c r="AE12" s="13"/>
    </row>
    <row r="13" spans="1:44" x14ac:dyDescent="0.25">
      <c r="C13" s="1">
        <v>1</v>
      </c>
      <c r="D13" s="1722" t="s">
        <v>142</v>
      </c>
      <c r="E13" s="81" t="s">
        <v>143</v>
      </c>
      <c r="G13" s="286">
        <f>'A1'!AG51</f>
        <v>1.21E-2</v>
      </c>
      <c r="H13" s="76"/>
      <c r="I13" s="759">
        <f>I11*$G13/1000</f>
        <v>0</v>
      </c>
      <c r="J13" s="759">
        <f t="shared" ref="J13:T13" si="2">J11*$G13/1000</f>
        <v>0</v>
      </c>
      <c r="K13" s="759">
        <f t="shared" si="2"/>
        <v>0</v>
      </c>
      <c r="L13" s="759">
        <f t="shared" si="2"/>
        <v>0</v>
      </c>
      <c r="M13" s="759">
        <f t="shared" si="2"/>
        <v>0</v>
      </c>
      <c r="N13" s="759">
        <f t="shared" si="2"/>
        <v>0</v>
      </c>
      <c r="O13" s="759">
        <f t="shared" si="2"/>
        <v>0</v>
      </c>
      <c r="P13" s="759">
        <f t="shared" si="2"/>
        <v>0</v>
      </c>
      <c r="Q13" s="759">
        <f t="shared" si="2"/>
        <v>0</v>
      </c>
      <c r="R13" s="759">
        <f t="shared" si="2"/>
        <v>0</v>
      </c>
      <c r="S13" s="759">
        <f t="shared" si="2"/>
        <v>0</v>
      </c>
      <c r="T13" s="760">
        <f t="shared" si="2"/>
        <v>0</v>
      </c>
      <c r="U13" s="759"/>
      <c r="V13" s="759">
        <f>V11*$AI13/1000</f>
        <v>0</v>
      </c>
      <c r="W13" s="759">
        <f>W11*$AI13/1000</f>
        <v>0</v>
      </c>
      <c r="X13" s="759">
        <f>X11*$AI13/1000</f>
        <v>0</v>
      </c>
      <c r="Y13" s="760">
        <f>Y11*$AI13/1000</f>
        <v>0</v>
      </c>
      <c r="Z13" s="80"/>
      <c r="AA13" s="759">
        <f>SUM(I13:T13)</f>
        <v>0</v>
      </c>
      <c r="AB13" s="759">
        <f>SUM(V13:Y13)</f>
        <v>0</v>
      </c>
      <c r="AC13" s="759">
        <f>AC11*AJ13/1000</f>
        <v>0</v>
      </c>
      <c r="AD13" s="759">
        <f>AD11*AK13/1000</f>
        <v>0</v>
      </c>
      <c r="AE13" s="759">
        <f>AE11*AL13/1000</f>
        <v>0</v>
      </c>
      <c r="AG13" s="76">
        <f>'A1'!I52</f>
        <v>0.04</v>
      </c>
      <c r="AI13" s="729">
        <f>G13*(1+AG13)</f>
        <v>1.2584E-2</v>
      </c>
      <c r="AJ13" s="729">
        <f t="shared" ref="AJ13:AL17" si="3">AI13*(1+$AG13)</f>
        <v>1.3087359999999999E-2</v>
      </c>
      <c r="AK13" s="729">
        <f t="shared" si="3"/>
        <v>1.36108544E-2</v>
      </c>
      <c r="AL13" s="729">
        <f t="shared" si="3"/>
        <v>1.4155288576000001E-2</v>
      </c>
      <c r="AN13" s="81" t="e">
        <f>AA13/AA$10</f>
        <v>#DIV/0!</v>
      </c>
      <c r="AO13" s="81" t="e">
        <f t="shared" ref="AO13:AR20" si="4">AB13/AB$10</f>
        <v>#DIV/0!</v>
      </c>
      <c r="AP13" s="81" t="e">
        <f t="shared" si="4"/>
        <v>#DIV/0!</v>
      </c>
      <c r="AQ13" s="81" t="e">
        <f t="shared" si="4"/>
        <v>#DIV/0!</v>
      </c>
      <c r="AR13" s="81" t="e">
        <f t="shared" si="4"/>
        <v>#DIV/0!</v>
      </c>
    </row>
    <row r="14" spans="1:44" ht="17.25" x14ac:dyDescent="0.4">
      <c r="C14" s="1">
        <f>C13+1</f>
        <v>2</v>
      </c>
      <c r="D14" s="1723"/>
      <c r="E14" s="81" t="s">
        <v>144</v>
      </c>
      <c r="G14" s="286">
        <f>'A1'!AG53</f>
        <v>0</v>
      </c>
      <c r="H14" s="76"/>
      <c r="I14" s="761">
        <f t="shared" ref="I14:T14" si="5">I$10*$G14/1000</f>
        <v>0</v>
      </c>
      <c r="J14" s="761">
        <f t="shared" si="5"/>
        <v>0</v>
      </c>
      <c r="K14" s="761">
        <f t="shared" si="5"/>
        <v>0</v>
      </c>
      <c r="L14" s="761">
        <f t="shared" si="5"/>
        <v>0</v>
      </c>
      <c r="M14" s="761">
        <f t="shared" si="5"/>
        <v>0</v>
      </c>
      <c r="N14" s="761">
        <f t="shared" si="5"/>
        <v>0</v>
      </c>
      <c r="O14" s="761">
        <f t="shared" si="5"/>
        <v>0</v>
      </c>
      <c r="P14" s="761">
        <f t="shared" si="5"/>
        <v>0</v>
      </c>
      <c r="Q14" s="761">
        <f t="shared" si="5"/>
        <v>0</v>
      </c>
      <c r="R14" s="761">
        <f t="shared" si="5"/>
        <v>0</v>
      </c>
      <c r="S14" s="761">
        <f t="shared" si="5"/>
        <v>0</v>
      </c>
      <c r="T14" s="762">
        <f t="shared" si="5"/>
        <v>0</v>
      </c>
      <c r="U14" s="759"/>
      <c r="V14" s="761">
        <f>V$10*$AI14/1000</f>
        <v>0</v>
      </c>
      <c r="W14" s="761">
        <f>W$10*$AI14/1000</f>
        <v>0</v>
      </c>
      <c r="X14" s="761">
        <f>X$10*$AI14/1000</f>
        <v>0</v>
      </c>
      <c r="Y14" s="762">
        <f>Y$10*$AI14/1000</f>
        <v>0</v>
      </c>
      <c r="Z14" s="80"/>
      <c r="AA14" s="761">
        <f>SUM(I14:T14)</f>
        <v>0</v>
      </c>
      <c r="AB14" s="761">
        <f>SUM(V14:Y14)</f>
        <v>0</v>
      </c>
      <c r="AC14" s="761">
        <f>AC$10*AJ14/1000</f>
        <v>0</v>
      </c>
      <c r="AD14" s="761">
        <f>AD$10*AK14/1000</f>
        <v>0</v>
      </c>
      <c r="AE14" s="761">
        <f>AE$10*AL14/1000</f>
        <v>0</v>
      </c>
      <c r="AG14" s="76">
        <f>AG13</f>
        <v>0.04</v>
      </c>
      <c r="AI14" s="729">
        <f>G14*(1+AG14)</f>
        <v>0</v>
      </c>
      <c r="AJ14" s="729">
        <f t="shared" si="3"/>
        <v>0</v>
      </c>
      <c r="AK14" s="729">
        <f t="shared" si="3"/>
        <v>0</v>
      </c>
      <c r="AL14" s="729">
        <f t="shared" si="3"/>
        <v>0</v>
      </c>
      <c r="AN14" s="81" t="e">
        <f t="shared" ref="AN14:AN20" si="6">AA14/AA$10</f>
        <v>#DIV/0!</v>
      </c>
      <c r="AO14" s="81" t="e">
        <f t="shared" si="4"/>
        <v>#DIV/0!</v>
      </c>
      <c r="AP14" s="81" t="e">
        <f t="shared" si="4"/>
        <v>#DIV/0!</v>
      </c>
      <c r="AQ14" s="81" t="e">
        <f t="shared" si="4"/>
        <v>#DIV/0!</v>
      </c>
      <c r="AR14" s="81" t="e">
        <f t="shared" si="4"/>
        <v>#DIV/0!</v>
      </c>
    </row>
    <row r="15" spans="1:44" x14ac:dyDescent="0.25">
      <c r="C15" s="1">
        <f t="shared" ref="C15:C20" si="7">C14+1</f>
        <v>3</v>
      </c>
      <c r="D15" s="1724"/>
      <c r="E15" s="1346" t="s">
        <v>13</v>
      </c>
      <c r="F15" s="46"/>
      <c r="G15" s="1347"/>
      <c r="H15" s="1348"/>
      <c r="I15" s="1349">
        <f t="shared" ref="I15:T15" si="8">SUM(I13:I14)</f>
        <v>0</v>
      </c>
      <c r="J15" s="1349">
        <f t="shared" si="8"/>
        <v>0</v>
      </c>
      <c r="K15" s="1349">
        <f t="shared" si="8"/>
        <v>0</v>
      </c>
      <c r="L15" s="1349">
        <f t="shared" si="8"/>
        <v>0</v>
      </c>
      <c r="M15" s="1349">
        <f t="shared" si="8"/>
        <v>0</v>
      </c>
      <c r="N15" s="1349">
        <f t="shared" si="8"/>
        <v>0</v>
      </c>
      <c r="O15" s="1349">
        <f t="shared" si="8"/>
        <v>0</v>
      </c>
      <c r="P15" s="1349">
        <f t="shared" si="8"/>
        <v>0</v>
      </c>
      <c r="Q15" s="1349">
        <f t="shared" si="8"/>
        <v>0</v>
      </c>
      <c r="R15" s="1349">
        <f t="shared" si="8"/>
        <v>0</v>
      </c>
      <c r="S15" s="1349">
        <f t="shared" si="8"/>
        <v>0</v>
      </c>
      <c r="T15" s="763">
        <f t="shared" si="8"/>
        <v>0</v>
      </c>
      <c r="U15" s="1349"/>
      <c r="V15" s="1349">
        <f>SUM(V13:V14)</f>
        <v>0</v>
      </c>
      <c r="W15" s="1349">
        <f>SUM(W13:W14)</f>
        <v>0</v>
      </c>
      <c r="X15" s="1349">
        <f>SUM(X13:X14)</f>
        <v>0</v>
      </c>
      <c r="Y15" s="763">
        <f>SUM(Y13:Y14)</f>
        <v>0</v>
      </c>
      <c r="Z15" s="1350"/>
      <c r="AA15" s="1349">
        <f>SUM(AA13:AA14)</f>
        <v>0</v>
      </c>
      <c r="AB15" s="1349">
        <f>SUM(AB13:AB14)</f>
        <v>0</v>
      </c>
      <c r="AC15" s="1349">
        <f>SUM(AC13:AC14)</f>
        <v>0</v>
      </c>
      <c r="AD15" s="1349">
        <f>SUM(AD13:AD14)</f>
        <v>0</v>
      </c>
      <c r="AE15" s="1349">
        <f>SUM(AE13:AE14)</f>
        <v>0</v>
      </c>
      <c r="AF15" s="46"/>
      <c r="AG15" s="1348"/>
      <c r="AH15" s="46"/>
      <c r="AI15" s="1356"/>
      <c r="AJ15" s="1356"/>
      <c r="AK15" s="1356"/>
      <c r="AL15" s="1356"/>
      <c r="AM15" s="46"/>
      <c r="AN15" s="1355" t="e">
        <f t="shared" si="6"/>
        <v>#DIV/0!</v>
      </c>
      <c r="AO15" s="1355" t="e">
        <f t="shared" si="4"/>
        <v>#DIV/0!</v>
      </c>
      <c r="AP15" s="1355" t="e">
        <f t="shared" si="4"/>
        <v>#DIV/0!</v>
      </c>
      <c r="AQ15" s="1355" t="e">
        <f t="shared" si="4"/>
        <v>#DIV/0!</v>
      </c>
      <c r="AR15" s="1355" t="e">
        <f t="shared" si="4"/>
        <v>#DIV/0!</v>
      </c>
    </row>
    <row r="16" spans="1:44" x14ac:dyDescent="0.25">
      <c r="C16" s="1">
        <f t="shared" si="7"/>
        <v>4</v>
      </c>
      <c r="D16" s="1722" t="s">
        <v>146</v>
      </c>
      <c r="E16" s="239" t="s">
        <v>147</v>
      </c>
      <c r="F16" s="23"/>
      <c r="G16" s="1370">
        <f>'A1'!AG55</f>
        <v>0</v>
      </c>
      <c r="H16" s="1351"/>
      <c r="I16" s="1352">
        <f t="shared" ref="I16:T17" si="9">I$10*$G16/1000</f>
        <v>0</v>
      </c>
      <c r="J16" s="1352">
        <f t="shared" si="9"/>
        <v>0</v>
      </c>
      <c r="K16" s="1352">
        <f t="shared" si="9"/>
        <v>0</v>
      </c>
      <c r="L16" s="1352">
        <f t="shared" si="9"/>
        <v>0</v>
      </c>
      <c r="M16" s="1352">
        <f t="shared" si="9"/>
        <v>0</v>
      </c>
      <c r="N16" s="1352">
        <f t="shared" si="9"/>
        <v>0</v>
      </c>
      <c r="O16" s="1352">
        <f t="shared" si="9"/>
        <v>0</v>
      </c>
      <c r="P16" s="1352">
        <f t="shared" si="9"/>
        <v>0</v>
      </c>
      <c r="Q16" s="1352">
        <f t="shared" si="9"/>
        <v>0</v>
      </c>
      <c r="R16" s="1352">
        <f t="shared" si="9"/>
        <v>0</v>
      </c>
      <c r="S16" s="1352">
        <f t="shared" si="9"/>
        <v>0</v>
      </c>
      <c r="T16" s="1353">
        <f t="shared" si="9"/>
        <v>0</v>
      </c>
      <c r="U16" s="1352"/>
      <c r="V16" s="1352">
        <f t="shared" ref="V16:Y17" si="10">V$10*$AI16/1000</f>
        <v>0</v>
      </c>
      <c r="W16" s="1352">
        <f t="shared" si="10"/>
        <v>0</v>
      </c>
      <c r="X16" s="1352">
        <f t="shared" si="10"/>
        <v>0</v>
      </c>
      <c r="Y16" s="1353">
        <f t="shared" si="10"/>
        <v>0</v>
      </c>
      <c r="Z16" s="1354"/>
      <c r="AA16" s="1352">
        <f>SUM(I16:T16)</f>
        <v>0</v>
      </c>
      <c r="AB16" s="1352">
        <f>SUM(V16:Y16)</f>
        <v>0</v>
      </c>
      <c r="AC16" s="1352">
        <f t="shared" ref="AC16:AE17" si="11">AC$10*AJ16/1000</f>
        <v>0</v>
      </c>
      <c r="AD16" s="1352">
        <f t="shared" si="11"/>
        <v>0</v>
      </c>
      <c r="AE16" s="1352">
        <f t="shared" si="11"/>
        <v>0</v>
      </c>
      <c r="AG16" s="76">
        <f>'A1'!I53</f>
        <v>0.04</v>
      </c>
      <c r="AI16" s="729">
        <f>G16*(1+AG16)</f>
        <v>0</v>
      </c>
      <c r="AJ16" s="729">
        <f>AI16*(1+$AG16)</f>
        <v>0</v>
      </c>
      <c r="AK16" s="729">
        <f>AJ16*(1+$AG16)</f>
        <v>0</v>
      </c>
      <c r="AL16" s="729">
        <f>AK16*(1+$AG16)</f>
        <v>0</v>
      </c>
      <c r="AN16" s="78" t="e">
        <f t="shared" si="6"/>
        <v>#DIV/0!</v>
      </c>
      <c r="AO16" s="78" t="e">
        <f t="shared" si="4"/>
        <v>#DIV/0!</v>
      </c>
      <c r="AP16" s="78" t="e">
        <f t="shared" si="4"/>
        <v>#DIV/0!</v>
      </c>
      <c r="AQ16" s="78" t="e">
        <f t="shared" si="4"/>
        <v>#DIV/0!</v>
      </c>
      <c r="AR16" s="78" t="e">
        <f t="shared" si="4"/>
        <v>#DIV/0!</v>
      </c>
    </row>
    <row r="17" spans="2:44" ht="17.25" x14ac:dyDescent="0.4">
      <c r="C17" s="1">
        <f t="shared" si="7"/>
        <v>5</v>
      </c>
      <c r="D17" s="1723"/>
      <c r="E17" s="245" t="s">
        <v>65</v>
      </c>
      <c r="G17" s="286">
        <f>'A1'!AG56</f>
        <v>0</v>
      </c>
      <c r="H17" s="76"/>
      <c r="I17" s="761">
        <f t="shared" si="9"/>
        <v>0</v>
      </c>
      <c r="J17" s="761">
        <f t="shared" si="9"/>
        <v>0</v>
      </c>
      <c r="K17" s="761">
        <f t="shared" si="9"/>
        <v>0</v>
      </c>
      <c r="L17" s="761">
        <f t="shared" si="9"/>
        <v>0</v>
      </c>
      <c r="M17" s="761">
        <f t="shared" si="9"/>
        <v>0</v>
      </c>
      <c r="N17" s="761">
        <f t="shared" si="9"/>
        <v>0</v>
      </c>
      <c r="O17" s="761">
        <f t="shared" si="9"/>
        <v>0</v>
      </c>
      <c r="P17" s="761">
        <f t="shared" si="9"/>
        <v>0</v>
      </c>
      <c r="Q17" s="761">
        <f t="shared" si="9"/>
        <v>0</v>
      </c>
      <c r="R17" s="761">
        <f t="shared" si="9"/>
        <v>0</v>
      </c>
      <c r="S17" s="761">
        <f t="shared" si="9"/>
        <v>0</v>
      </c>
      <c r="T17" s="762">
        <f t="shared" si="9"/>
        <v>0</v>
      </c>
      <c r="U17" s="759"/>
      <c r="V17" s="761">
        <f t="shared" si="10"/>
        <v>0</v>
      </c>
      <c r="W17" s="761">
        <f t="shared" si="10"/>
        <v>0</v>
      </c>
      <c r="X17" s="761">
        <f t="shared" si="10"/>
        <v>0</v>
      </c>
      <c r="Y17" s="762">
        <f t="shared" si="10"/>
        <v>0</v>
      </c>
      <c r="Z17" s="80"/>
      <c r="AA17" s="761">
        <f>SUM(I17:T17)</f>
        <v>0</v>
      </c>
      <c r="AB17" s="761">
        <f>SUM(V17:Y17)</f>
        <v>0</v>
      </c>
      <c r="AC17" s="761">
        <f t="shared" si="11"/>
        <v>0</v>
      </c>
      <c r="AD17" s="761">
        <f t="shared" si="11"/>
        <v>0</v>
      </c>
      <c r="AE17" s="761">
        <f t="shared" si="11"/>
        <v>0</v>
      </c>
      <c r="AG17" s="76">
        <f>AG16</f>
        <v>0.04</v>
      </c>
      <c r="AI17" s="729">
        <f>G17*(1+AG17)</f>
        <v>0</v>
      </c>
      <c r="AJ17" s="729">
        <f t="shared" si="3"/>
        <v>0</v>
      </c>
      <c r="AK17" s="729">
        <f t="shared" si="3"/>
        <v>0</v>
      </c>
      <c r="AL17" s="729">
        <f t="shared" si="3"/>
        <v>0</v>
      </c>
      <c r="AN17" s="78" t="e">
        <f t="shared" si="6"/>
        <v>#DIV/0!</v>
      </c>
      <c r="AO17" s="78" t="e">
        <f t="shared" si="4"/>
        <v>#DIV/0!</v>
      </c>
      <c r="AP17" s="78" t="e">
        <f t="shared" si="4"/>
        <v>#DIV/0!</v>
      </c>
      <c r="AQ17" s="78" t="e">
        <f t="shared" si="4"/>
        <v>#DIV/0!</v>
      </c>
      <c r="AR17" s="78" t="e">
        <f t="shared" si="4"/>
        <v>#DIV/0!</v>
      </c>
    </row>
    <row r="18" spans="2:44" x14ac:dyDescent="0.25">
      <c r="C18" s="1">
        <f t="shared" si="7"/>
        <v>6</v>
      </c>
      <c r="D18" s="1724"/>
      <c r="E18" s="1346" t="s">
        <v>13</v>
      </c>
      <c r="F18" s="46"/>
      <c r="G18" s="1347"/>
      <c r="H18" s="1348"/>
      <c r="I18" s="1349">
        <f t="shared" ref="I18:AE18" si="12">SUM(I16:I17)</f>
        <v>0</v>
      </c>
      <c r="J18" s="1349">
        <f t="shared" si="12"/>
        <v>0</v>
      </c>
      <c r="K18" s="1349">
        <f t="shared" si="12"/>
        <v>0</v>
      </c>
      <c r="L18" s="1349">
        <f t="shared" si="12"/>
        <v>0</v>
      </c>
      <c r="M18" s="1349">
        <f t="shared" si="12"/>
        <v>0</v>
      </c>
      <c r="N18" s="1349">
        <f t="shared" si="12"/>
        <v>0</v>
      </c>
      <c r="O18" s="1349">
        <f t="shared" si="12"/>
        <v>0</v>
      </c>
      <c r="P18" s="1349">
        <f t="shared" si="12"/>
        <v>0</v>
      </c>
      <c r="Q18" s="1349">
        <f t="shared" si="12"/>
        <v>0</v>
      </c>
      <c r="R18" s="1349">
        <f t="shared" si="12"/>
        <v>0</v>
      </c>
      <c r="S18" s="1349">
        <f t="shared" si="12"/>
        <v>0</v>
      </c>
      <c r="T18" s="763">
        <f t="shared" si="12"/>
        <v>0</v>
      </c>
      <c r="U18" s="1349"/>
      <c r="V18" s="1349">
        <f t="shared" si="12"/>
        <v>0</v>
      </c>
      <c r="W18" s="1349">
        <f t="shared" si="12"/>
        <v>0</v>
      </c>
      <c r="X18" s="1349">
        <f t="shared" si="12"/>
        <v>0</v>
      </c>
      <c r="Y18" s="763">
        <f t="shared" si="12"/>
        <v>0</v>
      </c>
      <c r="Z18" s="1350"/>
      <c r="AA18" s="1349">
        <f t="shared" si="12"/>
        <v>0</v>
      </c>
      <c r="AB18" s="1349">
        <f t="shared" si="12"/>
        <v>0</v>
      </c>
      <c r="AC18" s="1349">
        <f t="shared" si="12"/>
        <v>0</v>
      </c>
      <c r="AD18" s="1349">
        <f t="shared" si="12"/>
        <v>0</v>
      </c>
      <c r="AE18" s="1349">
        <f t="shared" si="12"/>
        <v>0</v>
      </c>
      <c r="AG18" s="76"/>
      <c r="AI18" s="729"/>
      <c r="AJ18" s="729"/>
      <c r="AK18" s="729"/>
      <c r="AL18" s="729"/>
      <c r="AN18" s="81" t="e">
        <f t="shared" si="6"/>
        <v>#DIV/0!</v>
      </c>
      <c r="AO18" s="81" t="e">
        <f t="shared" si="4"/>
        <v>#DIV/0!</v>
      </c>
      <c r="AP18" s="81" t="e">
        <f t="shared" si="4"/>
        <v>#DIV/0!</v>
      </c>
      <c r="AQ18" s="81" t="e">
        <f t="shared" si="4"/>
        <v>#DIV/0!</v>
      </c>
      <c r="AR18" s="81" t="e">
        <f t="shared" si="4"/>
        <v>#DIV/0!</v>
      </c>
    </row>
    <row r="19" spans="2:44" x14ac:dyDescent="0.25">
      <c r="C19" s="1">
        <f t="shared" si="7"/>
        <v>7</v>
      </c>
      <c r="D19" s="81" t="s">
        <v>148</v>
      </c>
      <c r="E19" s="81"/>
      <c r="G19" s="286">
        <f>'A1'!AG57</f>
        <v>0</v>
      </c>
      <c r="H19" s="76"/>
      <c r="I19" s="759">
        <f t="shared" ref="I19:T19" si="13">I$10*$G19/1000</f>
        <v>0</v>
      </c>
      <c r="J19" s="759">
        <f t="shared" si="13"/>
        <v>0</v>
      </c>
      <c r="K19" s="759">
        <f t="shared" si="13"/>
        <v>0</v>
      </c>
      <c r="L19" s="759">
        <f t="shared" si="13"/>
        <v>0</v>
      </c>
      <c r="M19" s="759">
        <f t="shared" si="13"/>
        <v>0</v>
      </c>
      <c r="N19" s="759">
        <f t="shared" si="13"/>
        <v>0</v>
      </c>
      <c r="O19" s="759">
        <f t="shared" si="13"/>
        <v>0</v>
      </c>
      <c r="P19" s="759">
        <f t="shared" si="13"/>
        <v>0</v>
      </c>
      <c r="Q19" s="759">
        <f t="shared" si="13"/>
        <v>0</v>
      </c>
      <c r="R19" s="759">
        <f t="shared" si="13"/>
        <v>0</v>
      </c>
      <c r="S19" s="759">
        <f t="shared" si="13"/>
        <v>0</v>
      </c>
      <c r="T19" s="760">
        <f t="shared" si="13"/>
        <v>0</v>
      </c>
      <c r="U19" s="759"/>
      <c r="V19" s="759">
        <f>V$10*$AI19/1000</f>
        <v>0</v>
      </c>
      <c r="W19" s="759">
        <f>W$10*$AI19/1000</f>
        <v>0</v>
      </c>
      <c r="X19" s="759">
        <f>X$10*$AI19/1000</f>
        <v>0</v>
      </c>
      <c r="Y19" s="763">
        <f>Y$10*$AI19/1000</f>
        <v>0</v>
      </c>
      <c r="Z19" s="80"/>
      <c r="AA19" s="759">
        <f>SUM(I19:T19)</f>
        <v>0</v>
      </c>
      <c r="AB19" s="759">
        <f>SUM(V19:Y19)</f>
        <v>0</v>
      </c>
      <c r="AC19" s="759">
        <f>AC$10*AJ19/1000</f>
        <v>0</v>
      </c>
      <c r="AD19" s="759">
        <f>AD$10*AK19/1000</f>
        <v>0</v>
      </c>
      <c r="AE19" s="759">
        <f>AE$10*AL19/1000</f>
        <v>0</v>
      </c>
      <c r="AG19" s="76">
        <f>AG14</f>
        <v>0.04</v>
      </c>
      <c r="AI19" s="729">
        <f>G19*(1+AG19)</f>
        <v>0</v>
      </c>
      <c r="AJ19" s="729">
        <f>AI19*(1+$AG19)</f>
        <v>0</v>
      </c>
      <c r="AK19" s="729">
        <f>AJ19*(1+$AG19)</f>
        <v>0</v>
      </c>
      <c r="AL19" s="729">
        <f>AK19*(1+$AG19)</f>
        <v>0</v>
      </c>
      <c r="AN19" s="81" t="e">
        <f t="shared" si="6"/>
        <v>#DIV/0!</v>
      </c>
      <c r="AO19" s="81" t="e">
        <f t="shared" si="4"/>
        <v>#DIV/0!</v>
      </c>
      <c r="AP19" s="81" t="e">
        <f t="shared" si="4"/>
        <v>#DIV/0!</v>
      </c>
      <c r="AQ19" s="81" t="e">
        <f t="shared" si="4"/>
        <v>#DIV/0!</v>
      </c>
      <c r="AR19" s="81" t="e">
        <f t="shared" si="4"/>
        <v>#DIV/0!</v>
      </c>
    </row>
    <row r="20" spans="2:44" s="764" customFormat="1" x14ac:dyDescent="0.25">
      <c r="C20" s="1">
        <f t="shared" si="7"/>
        <v>8</v>
      </c>
      <c r="D20" s="1218" t="s">
        <v>13</v>
      </c>
      <c r="E20" s="1221"/>
      <c r="F20" s="1222"/>
      <c r="G20" s="1223"/>
      <c r="H20" s="1222"/>
      <c r="I20" s="1219">
        <f t="shared" ref="I20:T20" si="14">I15+I18+I19</f>
        <v>0</v>
      </c>
      <c r="J20" s="1219">
        <f t="shared" si="14"/>
        <v>0</v>
      </c>
      <c r="K20" s="1219">
        <f t="shared" si="14"/>
        <v>0</v>
      </c>
      <c r="L20" s="1219">
        <f t="shared" si="14"/>
        <v>0</v>
      </c>
      <c r="M20" s="1219">
        <f t="shared" si="14"/>
        <v>0</v>
      </c>
      <c r="N20" s="1219">
        <f t="shared" si="14"/>
        <v>0</v>
      </c>
      <c r="O20" s="1219">
        <f t="shared" si="14"/>
        <v>0</v>
      </c>
      <c r="P20" s="1219">
        <f t="shared" si="14"/>
        <v>0</v>
      </c>
      <c r="Q20" s="1219">
        <f t="shared" si="14"/>
        <v>0</v>
      </c>
      <c r="R20" s="1219">
        <f t="shared" si="14"/>
        <v>0</v>
      </c>
      <c r="S20" s="1219">
        <f t="shared" si="14"/>
        <v>0</v>
      </c>
      <c r="T20" s="1220">
        <f t="shared" si="14"/>
        <v>0</v>
      </c>
      <c r="U20" s="1224"/>
      <c r="V20" s="1219">
        <f>V15+V18+V19</f>
        <v>0</v>
      </c>
      <c r="W20" s="1219">
        <f>W15+W18+W19</f>
        <v>0</v>
      </c>
      <c r="X20" s="1219">
        <f>X15+X18+X19</f>
        <v>0</v>
      </c>
      <c r="Y20" s="1220">
        <f>Y15+Y18+Y19</f>
        <v>0</v>
      </c>
      <c r="Z20" s="1225"/>
      <c r="AA20" s="1219">
        <f>AA15+AA18+AA19</f>
        <v>0</v>
      </c>
      <c r="AB20" s="1219">
        <f>AB15+AB18+AB19</f>
        <v>0</v>
      </c>
      <c r="AC20" s="1219">
        <f>AC15+AC18+AC19</f>
        <v>0</v>
      </c>
      <c r="AD20" s="1219">
        <f>AD15+AD18+AD19</f>
        <v>0</v>
      </c>
      <c r="AE20" s="1219">
        <f>AE15+AE18+AE19</f>
        <v>0</v>
      </c>
      <c r="AN20" s="81" t="e">
        <f t="shared" si="6"/>
        <v>#DIV/0!</v>
      </c>
      <c r="AO20" s="81" t="e">
        <f t="shared" si="4"/>
        <v>#DIV/0!</v>
      </c>
      <c r="AP20" s="81" t="e">
        <f t="shared" si="4"/>
        <v>#DIV/0!</v>
      </c>
      <c r="AQ20" s="81" t="e">
        <f t="shared" si="4"/>
        <v>#DIV/0!</v>
      </c>
      <c r="AR20" s="81" t="e">
        <f t="shared" si="4"/>
        <v>#DIV/0!</v>
      </c>
    </row>
    <row r="21" spans="2:44" x14ac:dyDescent="0.25">
      <c r="T21" s="188"/>
      <c r="U21" s="36"/>
      <c r="Y21" s="188"/>
    </row>
    <row r="22" spans="2:44" x14ac:dyDescent="0.25">
      <c r="B22" s="533" t="str">
        <f>'A1'!E8 &amp; " - " &amp; 'A1'!$F$9</f>
        <v>Hemo Dialysis - Nocturnal</v>
      </c>
      <c r="G22" s="36"/>
      <c r="H22" s="36"/>
      <c r="I22" s="36"/>
      <c r="J22" s="36"/>
      <c r="K22" s="36"/>
      <c r="L22" s="36"/>
      <c r="M22" s="36"/>
      <c r="N22" s="36"/>
      <c r="O22" s="36"/>
      <c r="P22" s="36"/>
      <c r="Q22" s="36"/>
      <c r="R22" s="36"/>
      <c r="S22" s="36"/>
      <c r="T22" s="51"/>
      <c r="U22" s="36"/>
      <c r="V22" s="36"/>
      <c r="W22" s="36"/>
      <c r="X22" s="36"/>
      <c r="Y22" s="51"/>
      <c r="AA22" s="36"/>
      <c r="AB22" s="36"/>
      <c r="AC22" s="36"/>
      <c r="AD22" s="36"/>
      <c r="AE22" s="36"/>
    </row>
    <row r="23" spans="2:44" x14ac:dyDescent="0.25">
      <c r="D23" s="1" t="s">
        <v>151</v>
      </c>
      <c r="E23" s="81"/>
      <c r="G23" s="77"/>
      <c r="H23" s="76"/>
      <c r="I23" s="13">
        <f>'C2'!I17</f>
        <v>0</v>
      </c>
      <c r="J23" s="13">
        <f>'C2'!J17</f>
        <v>0</v>
      </c>
      <c r="K23" s="13">
        <f>'C2'!K17</f>
        <v>0</v>
      </c>
      <c r="L23" s="13">
        <f>'C2'!L17</f>
        <v>0</v>
      </c>
      <c r="M23" s="13">
        <f>'C2'!M17</f>
        <v>0</v>
      </c>
      <c r="N23" s="13">
        <f>'C2'!N17</f>
        <v>0</v>
      </c>
      <c r="O23" s="13">
        <f>'C2'!O17</f>
        <v>0</v>
      </c>
      <c r="P23" s="13">
        <f>'C2'!P17</f>
        <v>0</v>
      </c>
      <c r="Q23" s="13">
        <f>'C2'!Q17</f>
        <v>0</v>
      </c>
      <c r="R23" s="13">
        <f>'C2'!R17</f>
        <v>0</v>
      </c>
      <c r="S23" s="13">
        <f>'C2'!S17</f>
        <v>0</v>
      </c>
      <c r="T23" s="14">
        <f>'C2'!T17</f>
        <v>0</v>
      </c>
      <c r="U23" s="36"/>
      <c r="V23" s="13">
        <f>'C2'!V17</f>
        <v>0</v>
      </c>
      <c r="W23" s="13">
        <f>'C2'!W17</f>
        <v>0</v>
      </c>
      <c r="X23" s="13">
        <f>'C2'!X17</f>
        <v>0</v>
      </c>
      <c r="Y23" s="14">
        <f>'C2'!Y17</f>
        <v>0</v>
      </c>
      <c r="AA23" s="13">
        <f>'C2'!AA17</f>
        <v>0</v>
      </c>
      <c r="AB23" s="13">
        <f>'C2'!AB17</f>
        <v>0</v>
      </c>
      <c r="AC23" s="13">
        <f>'C2'!AC17</f>
        <v>0</v>
      </c>
      <c r="AD23" s="13">
        <f>'C2'!AD17</f>
        <v>0</v>
      </c>
      <c r="AE23" s="13">
        <f>'C2'!AE17</f>
        <v>0</v>
      </c>
    </row>
    <row r="24" spans="2:44" x14ac:dyDescent="0.25">
      <c r="D24" s="1" t="s">
        <v>281</v>
      </c>
      <c r="E24" s="81"/>
      <c r="G24" s="765">
        <f>'A1'!$F$53</f>
        <v>3300</v>
      </c>
      <c r="H24" s="76"/>
      <c r="I24" s="13">
        <f t="shared" ref="I24:T24" si="15">I23*$G24</f>
        <v>0</v>
      </c>
      <c r="J24" s="13">
        <f t="shared" si="15"/>
        <v>0</v>
      </c>
      <c r="K24" s="13">
        <f t="shared" si="15"/>
        <v>0</v>
      </c>
      <c r="L24" s="13">
        <f t="shared" si="15"/>
        <v>0</v>
      </c>
      <c r="M24" s="13">
        <f t="shared" si="15"/>
        <v>0</v>
      </c>
      <c r="N24" s="13">
        <f t="shared" si="15"/>
        <v>0</v>
      </c>
      <c r="O24" s="13">
        <f t="shared" si="15"/>
        <v>0</v>
      </c>
      <c r="P24" s="13">
        <f t="shared" si="15"/>
        <v>0</v>
      </c>
      <c r="Q24" s="13">
        <f t="shared" si="15"/>
        <v>0</v>
      </c>
      <c r="R24" s="13">
        <f t="shared" si="15"/>
        <v>0</v>
      </c>
      <c r="S24" s="13">
        <f t="shared" si="15"/>
        <v>0</v>
      </c>
      <c r="T24" s="14">
        <f t="shared" si="15"/>
        <v>0</v>
      </c>
      <c r="U24" s="36"/>
      <c r="V24" s="13">
        <f>V23*$G24</f>
        <v>0</v>
      </c>
      <c r="W24" s="13">
        <f>W23*$G24</f>
        <v>0</v>
      </c>
      <c r="X24" s="13">
        <f>X23*$G24</f>
        <v>0</v>
      </c>
      <c r="Y24" s="14">
        <f>Y23*$G24</f>
        <v>0</v>
      </c>
      <c r="AA24" s="13">
        <f>SUM(I24:T24)</f>
        <v>0</v>
      </c>
      <c r="AB24" s="13">
        <f>SUM(V24:Y24)</f>
        <v>0</v>
      </c>
      <c r="AC24" s="13">
        <f>AC23*$G24</f>
        <v>0</v>
      </c>
      <c r="AD24" s="13">
        <f>AD23*$G24</f>
        <v>0</v>
      </c>
      <c r="AE24" s="13">
        <f>AE23*$G24</f>
        <v>0</v>
      </c>
    </row>
    <row r="25" spans="2:44" x14ac:dyDescent="0.25">
      <c r="D25" s="81"/>
      <c r="E25" s="81"/>
      <c r="G25" s="77"/>
      <c r="H25" s="76"/>
      <c r="I25" s="13"/>
      <c r="J25" s="13"/>
      <c r="K25" s="13"/>
      <c r="L25" s="13"/>
      <c r="M25" s="13"/>
      <c r="N25" s="13"/>
      <c r="O25" s="13"/>
      <c r="P25" s="13" t="s">
        <v>955</v>
      </c>
      <c r="Q25" s="13"/>
      <c r="R25" s="13"/>
      <c r="S25" s="13"/>
      <c r="T25" s="14"/>
      <c r="U25" s="36"/>
      <c r="V25" s="13"/>
      <c r="W25" s="13"/>
      <c r="X25" s="13"/>
      <c r="Y25" s="14"/>
      <c r="AA25" s="13"/>
      <c r="AB25" s="13"/>
      <c r="AC25" s="13"/>
      <c r="AD25" s="13"/>
      <c r="AE25" s="13"/>
    </row>
    <row r="26" spans="2:44" x14ac:dyDescent="0.25">
      <c r="C26" s="1">
        <v>1</v>
      </c>
      <c r="D26" s="1722" t="s">
        <v>142</v>
      </c>
      <c r="E26" s="81" t="s">
        <v>143</v>
      </c>
      <c r="G26" s="286">
        <f>'A1'!AH51</f>
        <v>1.21E-2</v>
      </c>
      <c r="H26" s="76"/>
      <c r="I26" s="759">
        <f>I24*$G26/1000</f>
        <v>0</v>
      </c>
      <c r="J26" s="759">
        <f t="shared" ref="J26:T26" si="16">J24*$G26/1000</f>
        <v>0</v>
      </c>
      <c r="K26" s="759">
        <f t="shared" si="16"/>
        <v>0</v>
      </c>
      <c r="L26" s="759">
        <f t="shared" si="16"/>
        <v>0</v>
      </c>
      <c r="M26" s="759">
        <f t="shared" si="16"/>
        <v>0</v>
      </c>
      <c r="N26" s="759">
        <f t="shared" si="16"/>
        <v>0</v>
      </c>
      <c r="O26" s="759">
        <f t="shared" si="16"/>
        <v>0</v>
      </c>
      <c r="P26" s="759">
        <f t="shared" si="16"/>
        <v>0</v>
      </c>
      <c r="Q26" s="759">
        <f t="shared" si="16"/>
        <v>0</v>
      </c>
      <c r="R26" s="759">
        <f t="shared" si="16"/>
        <v>0</v>
      </c>
      <c r="S26" s="759">
        <f t="shared" si="16"/>
        <v>0</v>
      </c>
      <c r="T26" s="760">
        <f t="shared" si="16"/>
        <v>0</v>
      </c>
      <c r="U26" s="759"/>
      <c r="V26" s="759">
        <f>V24*$AI26/1000</f>
        <v>0</v>
      </c>
      <c r="W26" s="759">
        <f>W24*$AI26/1000</f>
        <v>0</v>
      </c>
      <c r="X26" s="759">
        <f>X24*$AI26/1000</f>
        <v>0</v>
      </c>
      <c r="Y26" s="760">
        <f>Y24*$AI26/1000</f>
        <v>0</v>
      </c>
      <c r="Z26" s="80"/>
      <c r="AA26" s="759">
        <f>SUM(I26:T26)</f>
        <v>0</v>
      </c>
      <c r="AB26" s="759">
        <f>SUM(V26:Y26)</f>
        <v>0</v>
      </c>
      <c r="AC26" s="759">
        <f>AC24*AJ26/1000</f>
        <v>0</v>
      </c>
      <c r="AD26" s="759">
        <f>AD24*AK26/1000</f>
        <v>0</v>
      </c>
      <c r="AE26" s="759">
        <f>AE24*AL26/1000</f>
        <v>0</v>
      </c>
      <c r="AG26" s="76">
        <f>AG13</f>
        <v>0.04</v>
      </c>
      <c r="AI26" s="729">
        <f>G26*(1+AG26)</f>
        <v>1.2584E-2</v>
      </c>
      <c r="AJ26" s="729">
        <f t="shared" ref="AJ26:AL27" si="17">AI26*(1+$AG26)</f>
        <v>1.3087359999999999E-2</v>
      </c>
      <c r="AK26" s="729">
        <f t="shared" si="17"/>
        <v>1.36108544E-2</v>
      </c>
      <c r="AL26" s="729">
        <f t="shared" si="17"/>
        <v>1.4155288576000001E-2</v>
      </c>
      <c r="AN26" s="81" t="e">
        <f>AA26*1000/AA$23</f>
        <v>#DIV/0!</v>
      </c>
      <c r="AO26" s="81" t="e">
        <f>AB26*1000/AB$23</f>
        <v>#DIV/0!</v>
      </c>
      <c r="AP26" s="81" t="e">
        <f>AC26*1000/AC$23</f>
        <v>#DIV/0!</v>
      </c>
      <c r="AQ26" s="81" t="e">
        <f>AD26*1000/AD$23</f>
        <v>#DIV/0!</v>
      </c>
      <c r="AR26" s="81" t="e">
        <f>AE26*1000/AE$23</f>
        <v>#DIV/0!</v>
      </c>
    </row>
    <row r="27" spans="2:44" ht="17.25" x14ac:dyDescent="0.4">
      <c r="C27" s="1">
        <f t="shared" ref="C27:C33" si="18">C26+1</f>
        <v>2</v>
      </c>
      <c r="D27" s="1723"/>
      <c r="E27" s="81" t="s">
        <v>144</v>
      </c>
      <c r="G27" s="286">
        <f>'A1'!AH53</f>
        <v>0</v>
      </c>
      <c r="H27" s="76"/>
      <c r="I27" s="761">
        <f t="shared" ref="I27:T27" si="19">I$23*$G27/1000</f>
        <v>0</v>
      </c>
      <c r="J27" s="761">
        <f t="shared" si="19"/>
        <v>0</v>
      </c>
      <c r="K27" s="761">
        <f t="shared" si="19"/>
        <v>0</v>
      </c>
      <c r="L27" s="761">
        <f t="shared" si="19"/>
        <v>0</v>
      </c>
      <c r="M27" s="761">
        <f t="shared" si="19"/>
        <v>0</v>
      </c>
      <c r="N27" s="761">
        <f t="shared" si="19"/>
        <v>0</v>
      </c>
      <c r="O27" s="761">
        <f t="shared" si="19"/>
        <v>0</v>
      </c>
      <c r="P27" s="761">
        <f t="shared" si="19"/>
        <v>0</v>
      </c>
      <c r="Q27" s="761">
        <f t="shared" si="19"/>
        <v>0</v>
      </c>
      <c r="R27" s="761">
        <f t="shared" si="19"/>
        <v>0</v>
      </c>
      <c r="S27" s="761">
        <f t="shared" si="19"/>
        <v>0</v>
      </c>
      <c r="T27" s="762">
        <f t="shared" si="19"/>
        <v>0</v>
      </c>
      <c r="U27" s="759"/>
      <c r="V27" s="761">
        <f>V$23*$AI27/1000</f>
        <v>0</v>
      </c>
      <c r="W27" s="761">
        <f>W$23*$AI27/1000</f>
        <v>0</v>
      </c>
      <c r="X27" s="761">
        <f>X$23*$AI27/1000</f>
        <v>0</v>
      </c>
      <c r="Y27" s="762">
        <f>Y$23*$AI27/1000</f>
        <v>0</v>
      </c>
      <c r="Z27" s="80"/>
      <c r="AA27" s="761">
        <f>SUM(I27:T27)</f>
        <v>0</v>
      </c>
      <c r="AB27" s="761">
        <f>SUM(V27:Y27)</f>
        <v>0</v>
      </c>
      <c r="AC27" s="761">
        <f>AC$23*AJ27/1000</f>
        <v>0</v>
      </c>
      <c r="AD27" s="761">
        <f>AD$23*AK27/1000</f>
        <v>0</v>
      </c>
      <c r="AE27" s="761">
        <f>AE$23*AL27/1000</f>
        <v>0</v>
      </c>
      <c r="AG27" s="76">
        <f>AG26</f>
        <v>0.04</v>
      </c>
      <c r="AI27" s="729">
        <f>G27*(1+AG27)</f>
        <v>0</v>
      </c>
      <c r="AJ27" s="729">
        <f t="shared" si="17"/>
        <v>0</v>
      </c>
      <c r="AK27" s="729">
        <f t="shared" si="17"/>
        <v>0</v>
      </c>
      <c r="AL27" s="729">
        <f t="shared" si="17"/>
        <v>0</v>
      </c>
      <c r="AN27" s="81" t="e">
        <f t="shared" ref="AN27:AN32" si="20">AA27*1000/AA$23</f>
        <v>#DIV/0!</v>
      </c>
      <c r="AO27" s="81" t="e">
        <f t="shared" ref="AO27:AO32" si="21">AB27*1000/AB$23</f>
        <v>#DIV/0!</v>
      </c>
      <c r="AP27" s="81" t="e">
        <f t="shared" ref="AP27:AP32" si="22">AC27*1000/AC$23</f>
        <v>#DIV/0!</v>
      </c>
      <c r="AQ27" s="81" t="e">
        <f t="shared" ref="AQ27:AQ32" si="23">AD27*1000/AD$23</f>
        <v>#DIV/0!</v>
      </c>
      <c r="AR27" s="81" t="e">
        <f t="shared" ref="AR27:AR32" si="24">AE27*1000/AE$23</f>
        <v>#DIV/0!</v>
      </c>
    </row>
    <row r="28" spans="2:44" x14ac:dyDescent="0.25">
      <c r="C28" s="1">
        <f t="shared" si="18"/>
        <v>3</v>
      </c>
      <c r="D28" s="1724"/>
      <c r="E28" s="1346" t="s">
        <v>13</v>
      </c>
      <c r="F28" s="46"/>
      <c r="G28" s="1347"/>
      <c r="H28" s="1348"/>
      <c r="I28" s="1349">
        <f t="shared" ref="I28:T28" si="25">SUM(I26:I27)</f>
        <v>0</v>
      </c>
      <c r="J28" s="1349">
        <f t="shared" si="25"/>
        <v>0</v>
      </c>
      <c r="K28" s="1349">
        <f t="shared" si="25"/>
        <v>0</v>
      </c>
      <c r="L28" s="1349">
        <f t="shared" si="25"/>
        <v>0</v>
      </c>
      <c r="M28" s="1349">
        <f t="shared" si="25"/>
        <v>0</v>
      </c>
      <c r="N28" s="1349">
        <f t="shared" si="25"/>
        <v>0</v>
      </c>
      <c r="O28" s="1349">
        <f t="shared" si="25"/>
        <v>0</v>
      </c>
      <c r="P28" s="1349">
        <f t="shared" si="25"/>
        <v>0</v>
      </c>
      <c r="Q28" s="1349">
        <f t="shared" si="25"/>
        <v>0</v>
      </c>
      <c r="R28" s="1349">
        <f t="shared" si="25"/>
        <v>0</v>
      </c>
      <c r="S28" s="1349">
        <f t="shared" si="25"/>
        <v>0</v>
      </c>
      <c r="T28" s="763">
        <f t="shared" si="25"/>
        <v>0</v>
      </c>
      <c r="U28" s="1349"/>
      <c r="V28" s="1349">
        <f>SUM(V26:V27)</f>
        <v>0</v>
      </c>
      <c r="W28" s="1349">
        <f>SUM(W26:W27)</f>
        <v>0</v>
      </c>
      <c r="X28" s="1349">
        <f>SUM(X26:X27)</f>
        <v>0</v>
      </c>
      <c r="Y28" s="763">
        <f>SUM(Y26:Y27)</f>
        <v>0</v>
      </c>
      <c r="Z28" s="1350"/>
      <c r="AA28" s="1349">
        <f>SUM(AA26:AA27)</f>
        <v>0</v>
      </c>
      <c r="AB28" s="1349">
        <f>SUM(AB26:AB27)</f>
        <v>0</v>
      </c>
      <c r="AC28" s="1349">
        <f>SUM(AC26:AC27)</f>
        <v>0</v>
      </c>
      <c r="AD28" s="1349">
        <f>SUM(AD26:AD27)</f>
        <v>0</v>
      </c>
      <c r="AE28" s="1349">
        <f>SUM(AE26:AE27)</f>
        <v>0</v>
      </c>
      <c r="AG28" s="76"/>
      <c r="AI28" s="729"/>
      <c r="AJ28" s="729"/>
      <c r="AK28" s="729"/>
      <c r="AL28" s="729"/>
      <c r="AN28" s="81" t="e">
        <f t="shared" si="20"/>
        <v>#DIV/0!</v>
      </c>
      <c r="AO28" s="81" t="e">
        <f t="shared" si="21"/>
        <v>#DIV/0!</v>
      </c>
      <c r="AP28" s="81" t="e">
        <f t="shared" si="22"/>
        <v>#DIV/0!</v>
      </c>
      <c r="AQ28" s="81" t="e">
        <f t="shared" si="23"/>
        <v>#DIV/0!</v>
      </c>
      <c r="AR28" s="81" t="e">
        <f t="shared" si="24"/>
        <v>#DIV/0!</v>
      </c>
    </row>
    <row r="29" spans="2:44" x14ac:dyDescent="0.25">
      <c r="C29" s="1">
        <f t="shared" si="18"/>
        <v>4</v>
      </c>
      <c r="D29" s="1722" t="s">
        <v>146</v>
      </c>
      <c r="E29" s="239" t="s">
        <v>147</v>
      </c>
      <c r="F29" s="23"/>
      <c r="G29" s="1370">
        <f>'A1'!AH55</f>
        <v>0</v>
      </c>
      <c r="H29" s="1351"/>
      <c r="I29" s="1352">
        <f t="shared" ref="I29:T30" si="26">I$23*$G29/1000</f>
        <v>0</v>
      </c>
      <c r="J29" s="1352">
        <f t="shared" si="26"/>
        <v>0</v>
      </c>
      <c r="K29" s="1352">
        <f t="shared" si="26"/>
        <v>0</v>
      </c>
      <c r="L29" s="1352">
        <f t="shared" si="26"/>
        <v>0</v>
      </c>
      <c r="M29" s="1352">
        <f t="shared" si="26"/>
        <v>0</v>
      </c>
      <c r="N29" s="1352">
        <f t="shared" si="26"/>
        <v>0</v>
      </c>
      <c r="O29" s="1352">
        <f t="shared" si="26"/>
        <v>0</v>
      </c>
      <c r="P29" s="1352">
        <f t="shared" si="26"/>
        <v>0</v>
      </c>
      <c r="Q29" s="1352">
        <f t="shared" si="26"/>
        <v>0</v>
      </c>
      <c r="R29" s="1352">
        <f t="shared" si="26"/>
        <v>0</v>
      </c>
      <c r="S29" s="1352">
        <f t="shared" si="26"/>
        <v>0</v>
      </c>
      <c r="T29" s="1353">
        <f t="shared" si="26"/>
        <v>0</v>
      </c>
      <c r="U29" s="1352"/>
      <c r="V29" s="1352">
        <f t="shared" ref="V29:Y30" si="27">V$23*$AI29/1000</f>
        <v>0</v>
      </c>
      <c r="W29" s="1352">
        <f t="shared" si="27"/>
        <v>0</v>
      </c>
      <c r="X29" s="1352">
        <f t="shared" si="27"/>
        <v>0</v>
      </c>
      <c r="Y29" s="1353">
        <f t="shared" si="27"/>
        <v>0</v>
      </c>
      <c r="Z29" s="1354"/>
      <c r="AA29" s="1352">
        <f>SUM(I29:T29)</f>
        <v>0</v>
      </c>
      <c r="AB29" s="1352">
        <f>SUM(V29:Y29)</f>
        <v>0</v>
      </c>
      <c r="AC29" s="1352">
        <f t="shared" ref="AC29:AE30" si="28">AC$23*AJ29/1000</f>
        <v>0</v>
      </c>
      <c r="AD29" s="1352">
        <f t="shared" si="28"/>
        <v>0</v>
      </c>
      <c r="AE29" s="1352">
        <f t="shared" si="28"/>
        <v>0</v>
      </c>
      <c r="AG29" s="76">
        <f>AG16</f>
        <v>0.04</v>
      </c>
      <c r="AI29" s="729">
        <f>G29*(1+AG29)</f>
        <v>0</v>
      </c>
      <c r="AJ29" s="729">
        <f t="shared" ref="AJ29:AL30" si="29">AI29*(1+$AG29)</f>
        <v>0</v>
      </c>
      <c r="AK29" s="729">
        <f t="shared" si="29"/>
        <v>0</v>
      </c>
      <c r="AL29" s="729">
        <f t="shared" si="29"/>
        <v>0</v>
      </c>
      <c r="AN29" s="81" t="e">
        <f t="shared" si="20"/>
        <v>#DIV/0!</v>
      </c>
      <c r="AO29" s="81" t="e">
        <f t="shared" si="21"/>
        <v>#DIV/0!</v>
      </c>
      <c r="AP29" s="81" t="e">
        <f t="shared" si="22"/>
        <v>#DIV/0!</v>
      </c>
      <c r="AQ29" s="81" t="e">
        <f t="shared" si="23"/>
        <v>#DIV/0!</v>
      </c>
      <c r="AR29" s="81" t="e">
        <f t="shared" si="24"/>
        <v>#DIV/0!</v>
      </c>
    </row>
    <row r="30" spans="2:44" ht="17.25" x14ac:dyDescent="0.4">
      <c r="C30" s="1">
        <f t="shared" si="18"/>
        <v>5</v>
      </c>
      <c r="D30" s="1723"/>
      <c r="E30" s="245" t="s">
        <v>65</v>
      </c>
      <c r="G30" s="286">
        <f>'A1'!AH56</f>
        <v>0</v>
      </c>
      <c r="H30" s="76"/>
      <c r="I30" s="761">
        <f t="shared" si="26"/>
        <v>0</v>
      </c>
      <c r="J30" s="761">
        <f t="shared" si="26"/>
        <v>0</v>
      </c>
      <c r="K30" s="761">
        <f t="shared" si="26"/>
        <v>0</v>
      </c>
      <c r="L30" s="761">
        <f t="shared" si="26"/>
        <v>0</v>
      </c>
      <c r="M30" s="761">
        <f t="shared" si="26"/>
        <v>0</v>
      </c>
      <c r="N30" s="761">
        <f t="shared" si="26"/>
        <v>0</v>
      </c>
      <c r="O30" s="761">
        <f t="shared" si="26"/>
        <v>0</v>
      </c>
      <c r="P30" s="761">
        <f t="shared" si="26"/>
        <v>0</v>
      </c>
      <c r="Q30" s="761">
        <f t="shared" si="26"/>
        <v>0</v>
      </c>
      <c r="R30" s="761">
        <f t="shared" si="26"/>
        <v>0</v>
      </c>
      <c r="S30" s="761">
        <f t="shared" si="26"/>
        <v>0</v>
      </c>
      <c r="T30" s="762">
        <f t="shared" si="26"/>
        <v>0</v>
      </c>
      <c r="U30" s="759"/>
      <c r="V30" s="761">
        <f t="shared" si="27"/>
        <v>0</v>
      </c>
      <c r="W30" s="761">
        <f t="shared" si="27"/>
        <v>0</v>
      </c>
      <c r="X30" s="761">
        <f t="shared" si="27"/>
        <v>0</v>
      </c>
      <c r="Y30" s="762">
        <f t="shared" si="27"/>
        <v>0</v>
      </c>
      <c r="Z30" s="80"/>
      <c r="AA30" s="761">
        <f>SUM(I30:T30)</f>
        <v>0</v>
      </c>
      <c r="AB30" s="761">
        <f>SUM(V30:Y30)</f>
        <v>0</v>
      </c>
      <c r="AC30" s="761">
        <f t="shared" si="28"/>
        <v>0</v>
      </c>
      <c r="AD30" s="761">
        <f t="shared" si="28"/>
        <v>0</v>
      </c>
      <c r="AE30" s="761">
        <f t="shared" si="28"/>
        <v>0</v>
      </c>
      <c r="AG30" s="76">
        <f>AG29</f>
        <v>0.04</v>
      </c>
      <c r="AI30" s="729">
        <f>G30*(1+AG30)</f>
        <v>0</v>
      </c>
      <c r="AJ30" s="729">
        <f t="shared" si="29"/>
        <v>0</v>
      </c>
      <c r="AK30" s="729">
        <f t="shared" si="29"/>
        <v>0</v>
      </c>
      <c r="AL30" s="729">
        <f t="shared" si="29"/>
        <v>0</v>
      </c>
      <c r="AN30" s="81" t="e">
        <f t="shared" si="20"/>
        <v>#DIV/0!</v>
      </c>
      <c r="AO30" s="81" t="e">
        <f t="shared" si="21"/>
        <v>#DIV/0!</v>
      </c>
      <c r="AP30" s="81" t="e">
        <f t="shared" si="22"/>
        <v>#DIV/0!</v>
      </c>
      <c r="AQ30" s="81" t="e">
        <f t="shared" si="23"/>
        <v>#DIV/0!</v>
      </c>
      <c r="AR30" s="81" t="e">
        <f t="shared" si="24"/>
        <v>#DIV/0!</v>
      </c>
    </row>
    <row r="31" spans="2:44" x14ac:dyDescent="0.25">
      <c r="C31" s="1">
        <f t="shared" si="18"/>
        <v>6</v>
      </c>
      <c r="D31" s="1724"/>
      <c r="E31" s="1346" t="s">
        <v>13</v>
      </c>
      <c r="F31" s="46"/>
      <c r="G31" s="1347"/>
      <c r="H31" s="1348"/>
      <c r="I31" s="1349">
        <f t="shared" ref="I31:T31" si="30">SUM(I29:I30)</f>
        <v>0</v>
      </c>
      <c r="J31" s="1349">
        <f t="shared" si="30"/>
        <v>0</v>
      </c>
      <c r="K31" s="1349">
        <f t="shared" si="30"/>
        <v>0</v>
      </c>
      <c r="L31" s="1349">
        <f t="shared" si="30"/>
        <v>0</v>
      </c>
      <c r="M31" s="1349">
        <f t="shared" si="30"/>
        <v>0</v>
      </c>
      <c r="N31" s="1349">
        <f t="shared" si="30"/>
        <v>0</v>
      </c>
      <c r="O31" s="1349">
        <f t="shared" si="30"/>
        <v>0</v>
      </c>
      <c r="P31" s="1349">
        <f t="shared" si="30"/>
        <v>0</v>
      </c>
      <c r="Q31" s="1349">
        <f t="shared" si="30"/>
        <v>0</v>
      </c>
      <c r="R31" s="1349">
        <f t="shared" si="30"/>
        <v>0</v>
      </c>
      <c r="S31" s="1349">
        <f t="shared" si="30"/>
        <v>0</v>
      </c>
      <c r="T31" s="763">
        <f t="shared" si="30"/>
        <v>0</v>
      </c>
      <c r="U31" s="1349"/>
      <c r="V31" s="1349">
        <f>SUM(V29:V30)</f>
        <v>0</v>
      </c>
      <c r="W31" s="1349">
        <f>SUM(W29:W30)</f>
        <v>0</v>
      </c>
      <c r="X31" s="1349">
        <f>SUM(X29:X30)</f>
        <v>0</v>
      </c>
      <c r="Y31" s="763">
        <f>SUM(Y29:Y30)</f>
        <v>0</v>
      </c>
      <c r="Z31" s="1350"/>
      <c r="AA31" s="1349">
        <f>SUM(AA29:AA30)</f>
        <v>0</v>
      </c>
      <c r="AB31" s="1349">
        <f>SUM(AB29:AB30)</f>
        <v>0</v>
      </c>
      <c r="AC31" s="1349">
        <f>SUM(AC29:AC30)</f>
        <v>0</v>
      </c>
      <c r="AD31" s="1349">
        <f>SUM(AD29:AD30)</f>
        <v>0</v>
      </c>
      <c r="AE31" s="1349">
        <f>SUM(AE29:AE30)</f>
        <v>0</v>
      </c>
      <c r="AG31" s="76"/>
      <c r="AI31" s="729"/>
      <c r="AJ31" s="729"/>
      <c r="AK31" s="729"/>
      <c r="AL31" s="729"/>
      <c r="AN31" s="81" t="e">
        <f t="shared" si="20"/>
        <v>#DIV/0!</v>
      </c>
      <c r="AO31" s="81" t="e">
        <f t="shared" si="21"/>
        <v>#DIV/0!</v>
      </c>
      <c r="AP31" s="81" t="e">
        <f t="shared" si="22"/>
        <v>#DIV/0!</v>
      </c>
      <c r="AQ31" s="81" t="e">
        <f t="shared" si="23"/>
        <v>#DIV/0!</v>
      </c>
      <c r="AR31" s="81" t="e">
        <f t="shared" si="24"/>
        <v>#DIV/0!</v>
      </c>
    </row>
    <row r="32" spans="2:44" x14ac:dyDescent="0.25">
      <c r="C32" s="1">
        <f t="shared" si="18"/>
        <v>7</v>
      </c>
      <c r="D32" s="81" t="s">
        <v>148</v>
      </c>
      <c r="E32" s="81"/>
      <c r="G32" s="286">
        <f>'A1'!AH57</f>
        <v>0</v>
      </c>
      <c r="H32" s="76"/>
      <c r="I32" s="759">
        <f t="shared" ref="I32:T32" si="31">I$23*$G32/1000</f>
        <v>0</v>
      </c>
      <c r="J32" s="759">
        <f t="shared" si="31"/>
        <v>0</v>
      </c>
      <c r="K32" s="759">
        <f t="shared" si="31"/>
        <v>0</v>
      </c>
      <c r="L32" s="759">
        <f t="shared" si="31"/>
        <v>0</v>
      </c>
      <c r="M32" s="759">
        <f t="shared" si="31"/>
        <v>0</v>
      </c>
      <c r="N32" s="759">
        <f t="shared" si="31"/>
        <v>0</v>
      </c>
      <c r="O32" s="759">
        <f t="shared" si="31"/>
        <v>0</v>
      </c>
      <c r="P32" s="759">
        <f t="shared" si="31"/>
        <v>0</v>
      </c>
      <c r="Q32" s="759">
        <f t="shared" si="31"/>
        <v>0</v>
      </c>
      <c r="R32" s="759">
        <f t="shared" si="31"/>
        <v>0</v>
      </c>
      <c r="S32" s="759">
        <f t="shared" si="31"/>
        <v>0</v>
      </c>
      <c r="T32" s="760">
        <f t="shared" si="31"/>
        <v>0</v>
      </c>
      <c r="U32" s="759"/>
      <c r="V32" s="759">
        <f>V$23*$AI32/1000</f>
        <v>0</v>
      </c>
      <c r="W32" s="759">
        <f>W$23*$AI32/1000</f>
        <v>0</v>
      </c>
      <c r="X32" s="759">
        <f>X$23*$AI32/1000</f>
        <v>0</v>
      </c>
      <c r="Y32" s="763">
        <f>Y$23*$AI32/1000</f>
        <v>0</v>
      </c>
      <c r="Z32" s="80"/>
      <c r="AA32" s="759">
        <f>SUM(I32:T32)</f>
        <v>0</v>
      </c>
      <c r="AB32" s="759">
        <f>SUM(V32:Y32)</f>
        <v>0</v>
      </c>
      <c r="AC32" s="759">
        <f>AC$23*AJ32/1000</f>
        <v>0</v>
      </c>
      <c r="AD32" s="759">
        <f>AD$23*AK32/1000</f>
        <v>0</v>
      </c>
      <c r="AE32" s="759">
        <f>AE$23*AL32/1000</f>
        <v>0</v>
      </c>
      <c r="AG32" s="76">
        <f>AG26</f>
        <v>0.04</v>
      </c>
      <c r="AI32" s="729">
        <f>G32*(1+AG32)</f>
        <v>0</v>
      </c>
      <c r="AJ32" s="729">
        <f>AI32*(1+$AG32)</f>
        <v>0</v>
      </c>
      <c r="AK32" s="729">
        <f>AJ32*(1+$AG32)</f>
        <v>0</v>
      </c>
      <c r="AL32" s="729">
        <f>AK32*(1+$AG32)</f>
        <v>0</v>
      </c>
      <c r="AN32" s="81" t="e">
        <f t="shared" si="20"/>
        <v>#DIV/0!</v>
      </c>
      <c r="AO32" s="81" t="e">
        <f t="shared" si="21"/>
        <v>#DIV/0!</v>
      </c>
      <c r="AP32" s="81" t="e">
        <f t="shared" si="22"/>
        <v>#DIV/0!</v>
      </c>
      <c r="AQ32" s="81" t="e">
        <f t="shared" si="23"/>
        <v>#DIV/0!</v>
      </c>
      <c r="AR32" s="81" t="e">
        <f t="shared" si="24"/>
        <v>#DIV/0!</v>
      </c>
    </row>
    <row r="33" spans="2:44" s="764" customFormat="1" x14ac:dyDescent="0.25">
      <c r="C33" s="1">
        <f t="shared" si="18"/>
        <v>8</v>
      </c>
      <c r="D33" s="1218" t="s">
        <v>13</v>
      </c>
      <c r="E33" s="1221"/>
      <c r="F33" s="1222"/>
      <c r="G33" s="1223"/>
      <c r="H33" s="1222"/>
      <c r="I33" s="1219">
        <f t="shared" ref="I33:T33" si="32">I28+I31+I32</f>
        <v>0</v>
      </c>
      <c r="J33" s="1219">
        <f t="shared" si="32"/>
        <v>0</v>
      </c>
      <c r="K33" s="1219">
        <f t="shared" si="32"/>
        <v>0</v>
      </c>
      <c r="L33" s="1219">
        <f t="shared" si="32"/>
        <v>0</v>
      </c>
      <c r="M33" s="1219">
        <f t="shared" si="32"/>
        <v>0</v>
      </c>
      <c r="N33" s="1219">
        <f t="shared" si="32"/>
        <v>0</v>
      </c>
      <c r="O33" s="1219">
        <f t="shared" si="32"/>
        <v>0</v>
      </c>
      <c r="P33" s="1219">
        <f t="shared" si="32"/>
        <v>0</v>
      </c>
      <c r="Q33" s="1219">
        <f t="shared" si="32"/>
        <v>0</v>
      </c>
      <c r="R33" s="1219">
        <f t="shared" si="32"/>
        <v>0</v>
      </c>
      <c r="S33" s="1219">
        <f t="shared" si="32"/>
        <v>0</v>
      </c>
      <c r="T33" s="1220">
        <f t="shared" si="32"/>
        <v>0</v>
      </c>
      <c r="U33" s="1224"/>
      <c r="V33" s="1219">
        <f>V28+V31+V32</f>
        <v>0</v>
      </c>
      <c r="W33" s="1219">
        <f>W28+W31+W32</f>
        <v>0</v>
      </c>
      <c r="X33" s="1219">
        <f>X28+X31+X32</f>
        <v>0</v>
      </c>
      <c r="Y33" s="1220">
        <f>Y28+Y31+Y32</f>
        <v>0</v>
      </c>
      <c r="Z33" s="1225"/>
      <c r="AA33" s="1219">
        <f>AA28+AA31+AA32</f>
        <v>0</v>
      </c>
      <c r="AB33" s="1219">
        <f>AB28+AB31+AB32</f>
        <v>0</v>
      </c>
      <c r="AC33" s="1219">
        <f>AC28+AC31+AC32</f>
        <v>0</v>
      </c>
      <c r="AD33" s="1219">
        <f>AD28+AD31+AD32</f>
        <v>0</v>
      </c>
      <c r="AE33" s="1219">
        <f>AE28+AE31+AE32</f>
        <v>0</v>
      </c>
      <c r="AN33" s="81" t="e">
        <f>AA33*1000/AA$23</f>
        <v>#DIV/0!</v>
      </c>
      <c r="AO33" s="81" t="e">
        <f>AB33*1000/AB$23</f>
        <v>#DIV/0!</v>
      </c>
      <c r="AP33" s="81" t="e">
        <f>AC33*1000/AC$23</f>
        <v>#DIV/0!</v>
      </c>
      <c r="AQ33" s="81" t="e">
        <f>AD33*1000/AD$23</f>
        <v>#DIV/0!</v>
      </c>
      <c r="AR33" s="81" t="e">
        <f>AE33*1000/AE$23</f>
        <v>#DIV/0!</v>
      </c>
    </row>
    <row r="34" spans="2:44" x14ac:dyDescent="0.25">
      <c r="T34" s="188"/>
      <c r="U34" s="36"/>
      <c r="Y34" s="188"/>
    </row>
    <row r="35" spans="2:44" x14ac:dyDescent="0.25">
      <c r="B35" s="533" t="str">
        <f>'A1'!G8 &amp; " - " &amp; 'A1'!$G$9</f>
        <v>Home Dialysis - Peritoneal</v>
      </c>
      <c r="G35" s="36"/>
      <c r="H35" s="36"/>
      <c r="I35" s="36"/>
      <c r="J35" s="36"/>
      <c r="K35" s="36"/>
      <c r="L35" s="36"/>
      <c r="M35" s="36"/>
      <c r="N35" s="36"/>
      <c r="O35" s="36"/>
      <c r="P35" s="36"/>
      <c r="Q35" s="36"/>
      <c r="R35" s="36"/>
      <c r="S35" s="36"/>
      <c r="T35" s="51"/>
      <c r="U35" s="36"/>
      <c r="V35" s="36"/>
      <c r="W35" s="36"/>
      <c r="X35" s="36"/>
      <c r="Y35" s="51"/>
      <c r="AA35" s="36"/>
      <c r="AB35" s="36"/>
      <c r="AC35" s="36"/>
      <c r="AD35" s="36"/>
      <c r="AE35" s="36"/>
    </row>
    <row r="36" spans="2:44" x14ac:dyDescent="0.25">
      <c r="D36" s="1" t="s">
        <v>151</v>
      </c>
      <c r="E36" s="81"/>
      <c r="G36" s="77"/>
      <c r="H36" s="76"/>
      <c r="I36" s="13">
        <f>'C3'!I17</f>
        <v>652.12185182854489</v>
      </c>
      <c r="J36" s="13">
        <f>'C3'!J17</f>
        <v>653.18929045313109</v>
      </c>
      <c r="K36" s="13">
        <f>'C3'!K17</f>
        <v>655.3276622185939</v>
      </c>
      <c r="L36" s="13">
        <f>'C3'!L17</f>
        <v>657.47303445677426</v>
      </c>
      <c r="M36" s="13">
        <f>'C3'!M17</f>
        <v>659.62543008539831</v>
      </c>
      <c r="N36" s="13">
        <f>'C3'!N17</f>
        <v>661.78487209721902</v>
      </c>
      <c r="O36" s="13">
        <f>'C3'!O17</f>
        <v>663.95138356026109</v>
      </c>
      <c r="P36" s="13">
        <f>'C3'!P17</f>
        <v>666.1249876180683</v>
      </c>
      <c r="Q36" s="13">
        <f>'C3'!Q17</f>
        <v>668.30570748995024</v>
      </c>
      <c r="R36" s="13">
        <f>'C3'!R17</f>
        <v>670.49356647123079</v>
      </c>
      <c r="S36" s="13">
        <f>'C3'!S17</f>
        <v>672.68858793349614</v>
      </c>
      <c r="T36" s="14">
        <f>'C3'!T17</f>
        <v>674.89079532484527</v>
      </c>
      <c r="U36" s="36"/>
      <c r="V36" s="13">
        <f>'C3'!V17</f>
        <v>2035.5860244232131</v>
      </c>
      <c r="W36" s="13">
        <f>'C3'!W17</f>
        <v>2050.7958826380809</v>
      </c>
      <c r="X36" s="13">
        <f>'C3'!X17</f>
        <v>2066.0057408529497</v>
      </c>
      <c r="Y36" s="14">
        <f>'C3'!Y17</f>
        <v>2081.2155990678179</v>
      </c>
      <c r="AA36" s="13">
        <f>'C3'!AA17</f>
        <v>7955.977169537513</v>
      </c>
      <c r="AB36" s="13">
        <f>'C3'!AB17</f>
        <v>8233.603246982062</v>
      </c>
      <c r="AC36" s="13">
        <f>'C3'!AC17</f>
        <v>8480.6113443915219</v>
      </c>
      <c r="AD36" s="13">
        <f>'C3'!AD17</f>
        <v>8735.0296847232694</v>
      </c>
      <c r="AE36" s="13">
        <f>'C3'!AE17</f>
        <v>8997.0805752649667</v>
      </c>
    </row>
    <row r="37" spans="2:44" x14ac:dyDescent="0.25">
      <c r="D37" s="1" t="s">
        <v>281</v>
      </c>
      <c r="E37" s="81"/>
      <c r="G37" s="765">
        <f>'A1'!$G$53</f>
        <v>2800</v>
      </c>
      <c r="H37" s="76"/>
      <c r="I37" s="13">
        <f t="shared" ref="I37:T37" si="33">I36*$G37</f>
        <v>1825941.1851199258</v>
      </c>
      <c r="J37" s="13">
        <f t="shared" si="33"/>
        <v>1828930.0132687672</v>
      </c>
      <c r="K37" s="13">
        <f t="shared" si="33"/>
        <v>1834917.454212063</v>
      </c>
      <c r="L37" s="13">
        <f t="shared" si="33"/>
        <v>1840924.4964789678</v>
      </c>
      <c r="M37" s="13">
        <f t="shared" si="33"/>
        <v>1846951.2042391154</v>
      </c>
      <c r="N37" s="13">
        <f t="shared" si="33"/>
        <v>1852997.6418722132</v>
      </c>
      <c r="O37" s="13">
        <f t="shared" si="33"/>
        <v>1859063.8739687311</v>
      </c>
      <c r="P37" s="13">
        <f t="shared" si="33"/>
        <v>1865149.9653305912</v>
      </c>
      <c r="Q37" s="13">
        <f t="shared" si="33"/>
        <v>1871255.9809718607</v>
      </c>
      <c r="R37" s="13">
        <f t="shared" si="33"/>
        <v>1877381.9861194461</v>
      </c>
      <c r="S37" s="13">
        <f t="shared" si="33"/>
        <v>1883528.0462137891</v>
      </c>
      <c r="T37" s="14">
        <f t="shared" si="33"/>
        <v>1889694.2269095667</v>
      </c>
      <c r="U37" s="36"/>
      <c r="V37" s="13">
        <f>V36*$G37</f>
        <v>5699640.8683849964</v>
      </c>
      <c r="W37" s="13">
        <f>W36*$G37</f>
        <v>5742228.4713866264</v>
      </c>
      <c r="X37" s="13">
        <f>X36*$G37</f>
        <v>5784816.0743882591</v>
      </c>
      <c r="Y37" s="14">
        <f>Y36*$G37</f>
        <v>5827403.67738989</v>
      </c>
      <c r="AA37" s="13">
        <f>SUM(I37:T37)</f>
        <v>22276736.074705038</v>
      </c>
      <c r="AB37" s="13">
        <f>SUM(V37:Y37)</f>
        <v>23054089.091549773</v>
      </c>
      <c r="AC37" s="13">
        <f>AC36*$G37</f>
        <v>23745711.76429626</v>
      </c>
      <c r="AD37" s="13">
        <f>AD36*$G37</f>
        <v>24458083.117225155</v>
      </c>
      <c r="AE37" s="13">
        <f>AE36*$G37</f>
        <v>25191825.610741906</v>
      </c>
    </row>
    <row r="38" spans="2:44" x14ac:dyDescent="0.25">
      <c r="D38" s="81"/>
      <c r="E38" s="81"/>
      <c r="G38" s="77"/>
      <c r="H38" s="76"/>
      <c r="I38" s="13"/>
      <c r="J38" s="13"/>
      <c r="K38" s="13"/>
      <c r="L38" s="13"/>
      <c r="M38" s="13"/>
      <c r="N38" s="13"/>
      <c r="O38" s="13"/>
      <c r="P38" s="13"/>
      <c r="Q38" s="13"/>
      <c r="R38" s="13"/>
      <c r="S38" s="13"/>
      <c r="T38" s="14"/>
      <c r="U38" s="36"/>
      <c r="V38" s="13"/>
      <c r="W38" s="13"/>
      <c r="X38" s="13"/>
      <c r="Y38" s="14"/>
      <c r="AA38" s="13"/>
      <c r="AB38" s="13"/>
      <c r="AC38" s="13"/>
      <c r="AD38" s="13"/>
      <c r="AE38" s="13"/>
    </row>
    <row r="39" spans="2:44" x14ac:dyDescent="0.25">
      <c r="C39" s="1">
        <v>1</v>
      </c>
      <c r="D39" s="1722" t="s">
        <v>142</v>
      </c>
      <c r="E39" s="81" t="s">
        <v>143</v>
      </c>
      <c r="G39" s="286">
        <f>'A1'!AI51</f>
        <v>1.21E-2</v>
      </c>
      <c r="H39" s="76"/>
      <c r="I39" s="759">
        <f>I37*$G39/1000</f>
        <v>22.0938883399511</v>
      </c>
      <c r="J39" s="759">
        <f t="shared" ref="J39:T39" si="34">J37*$G39/1000</f>
        <v>22.13005316055208</v>
      </c>
      <c r="K39" s="759">
        <f t="shared" si="34"/>
        <v>22.202501195965962</v>
      </c>
      <c r="L39" s="759">
        <f t="shared" si="34"/>
        <v>22.275186407395513</v>
      </c>
      <c r="M39" s="759">
        <f t="shared" si="34"/>
        <v>22.348109571293296</v>
      </c>
      <c r="N39" s="759">
        <f t="shared" si="34"/>
        <v>22.421271466653778</v>
      </c>
      <c r="O39" s="759">
        <f t="shared" si="34"/>
        <v>22.494672875021646</v>
      </c>
      <c r="P39" s="759">
        <f t="shared" si="34"/>
        <v>22.56831458050015</v>
      </c>
      <c r="Q39" s="759">
        <f t="shared" si="34"/>
        <v>22.642197369759511</v>
      </c>
      <c r="R39" s="759">
        <f t="shared" si="34"/>
        <v>22.716322032045298</v>
      </c>
      <c r="S39" s="759">
        <f t="shared" si="34"/>
        <v>22.790689359186846</v>
      </c>
      <c r="T39" s="760">
        <f t="shared" si="34"/>
        <v>22.865300145605758</v>
      </c>
      <c r="U39" s="759"/>
      <c r="V39" s="759">
        <f>V37*$AI39/1000</f>
        <v>71.724280687756789</v>
      </c>
      <c r="W39" s="759">
        <f>W37*$AI39/1000</f>
        <v>72.260203083929298</v>
      </c>
      <c r="X39" s="759">
        <f>X37*$AI39/1000</f>
        <v>72.79612548010185</v>
      </c>
      <c r="Y39" s="760">
        <f>Y37*$AI39/1000</f>
        <v>73.332047876274373</v>
      </c>
      <c r="Z39" s="80"/>
      <c r="AA39" s="759">
        <f>SUM(I39:T39)</f>
        <v>269.54850650393092</v>
      </c>
      <c r="AB39" s="759">
        <f>SUM(V39:Y39)</f>
        <v>290.11265712806232</v>
      </c>
      <c r="AC39" s="759">
        <f>AC37*AJ39/1000</f>
        <v>310.7686783155803</v>
      </c>
      <c r="AD39" s="759">
        <f>AD37*AK39/1000</f>
        <v>332.89540821164974</v>
      </c>
      <c r="AE39" s="759">
        <f>AE37*AL39/1000</f>
        <v>356.59756127631914</v>
      </c>
      <c r="AG39" s="1598">
        <f>AG13</f>
        <v>0.04</v>
      </c>
      <c r="AI39" s="729">
        <f>G39*(1+AG39)</f>
        <v>1.2584E-2</v>
      </c>
      <c r="AJ39" s="729">
        <f t="shared" ref="AJ39:AL40" si="35">AI39*(1+$AG39)</f>
        <v>1.3087359999999999E-2</v>
      </c>
      <c r="AK39" s="729">
        <f t="shared" si="35"/>
        <v>1.36108544E-2</v>
      </c>
      <c r="AL39" s="729">
        <f t="shared" si="35"/>
        <v>1.4155288576000001E-2</v>
      </c>
      <c r="AN39" s="81">
        <f>AA39/AA$36</f>
        <v>3.388E-2</v>
      </c>
      <c r="AO39" s="81">
        <f t="shared" ref="AO39:AR46" si="36">AB39/AB$36</f>
        <v>3.5235199999999994E-2</v>
      </c>
      <c r="AP39" s="81">
        <f t="shared" si="36"/>
        <v>3.6644607999999995E-2</v>
      </c>
      <c r="AQ39" s="81">
        <f t="shared" si="36"/>
        <v>3.8110392320000006E-2</v>
      </c>
      <c r="AR39" s="81">
        <f t="shared" si="36"/>
        <v>3.9634808012799998E-2</v>
      </c>
    </row>
    <row r="40" spans="2:44" ht="17.25" x14ac:dyDescent="0.4">
      <c r="C40" s="1">
        <f t="shared" ref="C40:C46" si="37">C39+1</f>
        <v>2</v>
      </c>
      <c r="D40" s="1723"/>
      <c r="E40" s="81" t="s">
        <v>144</v>
      </c>
      <c r="G40" s="286">
        <f>'A1'!AI53</f>
        <v>5.8832639782239902</v>
      </c>
      <c r="H40" s="76"/>
      <c r="I40" s="761">
        <f t="shared" ref="I40:T40" si="38">I$36*$G40/1000</f>
        <v>3.8366050002756005</v>
      </c>
      <c r="J40" s="761">
        <f t="shared" si="38"/>
        <v>3.8428850234845937</v>
      </c>
      <c r="K40" s="761">
        <f t="shared" si="38"/>
        <v>3.8554656290643918</v>
      </c>
      <c r="L40" s="761">
        <f t="shared" si="38"/>
        <v>3.8680874202731603</v>
      </c>
      <c r="M40" s="761">
        <f t="shared" si="38"/>
        <v>3.8807505319419309</v>
      </c>
      <c r="N40" s="761">
        <f t="shared" si="38"/>
        <v>3.8934550993431394</v>
      </c>
      <c r="O40" s="761">
        <f t="shared" si="38"/>
        <v>3.906201258192064</v>
      </c>
      <c r="P40" s="761">
        <f t="shared" si="38"/>
        <v>3.9189891446482825</v>
      </c>
      <c r="Q40" s="761">
        <f t="shared" si="38"/>
        <v>3.9318188953171229</v>
      </c>
      <c r="R40" s="761">
        <f t="shared" si="38"/>
        <v>3.9446906472511247</v>
      </c>
      <c r="S40" s="761">
        <f t="shared" si="38"/>
        <v>3.9576045379514988</v>
      </c>
      <c r="T40" s="762">
        <f t="shared" si="38"/>
        <v>3.9705607053696017</v>
      </c>
      <c r="U40" s="759"/>
      <c r="V40" s="761">
        <f>V$36*$AI40/1000</f>
        <v>12.45492552934788</v>
      </c>
      <c r="W40" s="761">
        <f>W$36*$AI40/1000</f>
        <v>12.547988484735283</v>
      </c>
      <c r="X40" s="761">
        <f>X$36*$AI40/1000</f>
        <v>12.641051440122691</v>
      </c>
      <c r="Y40" s="762">
        <f>Y$36*$AI40/1000</f>
        <v>12.734114395510097</v>
      </c>
      <c r="Z40" s="80"/>
      <c r="AA40" s="761">
        <f>SUM(I40:T40)</f>
        <v>46.807113893112501</v>
      </c>
      <c r="AB40" s="761">
        <f>SUM(V40:Y40)</f>
        <v>50.378079849715952</v>
      </c>
      <c r="AC40" s="761">
        <f>AC$36*AJ40/1000</f>
        <v>53.964999135015717</v>
      </c>
      <c r="AD40" s="761">
        <f>AD$36*AK40/1000</f>
        <v>57.807307073428845</v>
      </c>
      <c r="AE40" s="761">
        <f>AE$36*AL40/1000</f>
        <v>61.923187337056987</v>
      </c>
      <c r="AG40" s="76">
        <f>AG39</f>
        <v>0.04</v>
      </c>
      <c r="AI40" s="729">
        <f>G40*(1+AG40)</f>
        <v>6.1185945373529496</v>
      </c>
      <c r="AJ40" s="729">
        <f t="shared" si="35"/>
        <v>6.3633383188470676</v>
      </c>
      <c r="AK40" s="729">
        <f t="shared" si="35"/>
        <v>6.6178718516009507</v>
      </c>
      <c r="AL40" s="729">
        <f t="shared" si="35"/>
        <v>6.8825867256649893</v>
      </c>
      <c r="AN40" s="81">
        <f t="shared" ref="AN40:AN46" si="39">AA40/AA$36</f>
        <v>5.8832639782239893E-3</v>
      </c>
      <c r="AO40" s="81">
        <f t="shared" si="36"/>
        <v>6.1185945373529492E-3</v>
      </c>
      <c r="AP40" s="81">
        <f t="shared" si="36"/>
        <v>6.3633383188470673E-3</v>
      </c>
      <c r="AQ40" s="81">
        <f t="shared" si="36"/>
        <v>6.6178718516009503E-3</v>
      </c>
      <c r="AR40" s="81">
        <f t="shared" si="36"/>
        <v>6.8825867256649895E-3</v>
      </c>
    </row>
    <row r="41" spans="2:44" x14ac:dyDescent="0.25">
      <c r="C41" s="1">
        <f t="shared" si="37"/>
        <v>3</v>
      </c>
      <c r="D41" s="1724"/>
      <c r="E41" s="1346" t="s">
        <v>13</v>
      </c>
      <c r="F41" s="46"/>
      <c r="G41" s="1347"/>
      <c r="H41" s="1348"/>
      <c r="I41" s="1349">
        <f t="shared" ref="I41:T41" si="40">SUM(I39:I40)</f>
        <v>25.9304933402267</v>
      </c>
      <c r="J41" s="1349">
        <f t="shared" si="40"/>
        <v>25.972938184036675</v>
      </c>
      <c r="K41" s="1349">
        <f t="shared" si="40"/>
        <v>26.057966825030352</v>
      </c>
      <c r="L41" s="1349">
        <f t="shared" si="40"/>
        <v>26.143273827668672</v>
      </c>
      <c r="M41" s="1349">
        <f t="shared" si="40"/>
        <v>26.228860103235228</v>
      </c>
      <c r="N41" s="1349">
        <f t="shared" si="40"/>
        <v>26.314726565996917</v>
      </c>
      <c r="O41" s="1349">
        <f t="shared" si="40"/>
        <v>26.400874133213708</v>
      </c>
      <c r="P41" s="1349">
        <f t="shared" si="40"/>
        <v>26.487303725148433</v>
      </c>
      <c r="Q41" s="1349">
        <f t="shared" si="40"/>
        <v>26.574016265076633</v>
      </c>
      <c r="R41" s="1349">
        <f t="shared" si="40"/>
        <v>26.661012679296423</v>
      </c>
      <c r="S41" s="1349">
        <f t="shared" si="40"/>
        <v>26.748293897138346</v>
      </c>
      <c r="T41" s="763">
        <f t="shared" si="40"/>
        <v>26.835860850975358</v>
      </c>
      <c r="U41" s="1349"/>
      <c r="V41" s="1349">
        <f>SUM(V39:V40)</f>
        <v>84.179206217104664</v>
      </c>
      <c r="W41" s="1349">
        <f>SUM(W39:W40)</f>
        <v>84.808191568664583</v>
      </c>
      <c r="X41" s="1349">
        <f>SUM(X39:X40)</f>
        <v>85.437176920224545</v>
      </c>
      <c r="Y41" s="763">
        <f>SUM(Y39:Y40)</f>
        <v>86.066162271784464</v>
      </c>
      <c r="Z41" s="1350"/>
      <c r="AA41" s="1349">
        <f>SUM(AA39:AA40)</f>
        <v>316.35562039704342</v>
      </c>
      <c r="AB41" s="1349">
        <f>SUM(AB39:AB40)</f>
        <v>340.49073697777828</v>
      </c>
      <c r="AC41" s="1349">
        <f>SUM(AC39:AC40)</f>
        <v>364.73367745059602</v>
      </c>
      <c r="AD41" s="1349">
        <f>SUM(AD39:AD40)</f>
        <v>390.70271528507857</v>
      </c>
      <c r="AE41" s="1349">
        <f>SUM(AE39:AE40)</f>
        <v>418.5207486133761</v>
      </c>
      <c r="AG41" s="76"/>
      <c r="AI41" s="1473"/>
      <c r="AJ41" s="1474"/>
      <c r="AK41" s="1474"/>
      <c r="AL41" s="1475"/>
      <c r="AN41" s="81">
        <f t="shared" si="39"/>
        <v>3.9763263978223988E-2</v>
      </c>
      <c r="AO41" s="81">
        <f t="shared" si="36"/>
        <v>4.1353794537352946E-2</v>
      </c>
      <c r="AP41" s="81">
        <f t="shared" si="36"/>
        <v>4.3007946318847065E-2</v>
      </c>
      <c r="AQ41" s="81">
        <f t="shared" si="36"/>
        <v>4.4728264171600952E-2</v>
      </c>
      <c r="AR41" s="81">
        <f t="shared" si="36"/>
        <v>4.6517394738464987E-2</v>
      </c>
    </row>
    <row r="42" spans="2:44" x14ac:dyDescent="0.25">
      <c r="C42" s="1">
        <f t="shared" si="37"/>
        <v>4</v>
      </c>
      <c r="D42" s="1722" t="s">
        <v>146</v>
      </c>
      <c r="E42" s="239" t="s">
        <v>147</v>
      </c>
      <c r="F42" s="23"/>
      <c r="G42" s="1370">
        <f>'A1'!AI55</f>
        <v>118</v>
      </c>
      <c r="H42" s="1351"/>
      <c r="I42" s="1352">
        <f t="shared" ref="I42:T43" si="41">I$36*$G42/1000</f>
        <v>76.950378515768307</v>
      </c>
      <c r="J42" s="1352">
        <f t="shared" si="41"/>
        <v>77.076336273469465</v>
      </c>
      <c r="K42" s="1352">
        <f t="shared" si="41"/>
        <v>77.328664141794079</v>
      </c>
      <c r="L42" s="1352">
        <f t="shared" si="41"/>
        <v>77.58181806589937</v>
      </c>
      <c r="M42" s="1352">
        <f t="shared" si="41"/>
        <v>77.835800750076999</v>
      </c>
      <c r="N42" s="1352">
        <f t="shared" si="41"/>
        <v>78.090614907471846</v>
      </c>
      <c r="O42" s="1352">
        <f t="shared" si="41"/>
        <v>78.346263260110803</v>
      </c>
      <c r="P42" s="1352">
        <f t="shared" si="41"/>
        <v>78.602748538932062</v>
      </c>
      <c r="Q42" s="1352">
        <f t="shared" si="41"/>
        <v>78.860073483814119</v>
      </c>
      <c r="R42" s="1352">
        <f t="shared" si="41"/>
        <v>79.118240843605236</v>
      </c>
      <c r="S42" s="1352">
        <f t="shared" si="41"/>
        <v>79.377253376152538</v>
      </c>
      <c r="T42" s="1353">
        <f t="shared" si="41"/>
        <v>79.637113848331751</v>
      </c>
      <c r="U42" s="1352"/>
      <c r="V42" s="1352">
        <f t="shared" ref="V42:Y43" si="42">V$36*$AI42/1000</f>
        <v>249.80711691721672</v>
      </c>
      <c r="W42" s="1352">
        <f t="shared" si="42"/>
        <v>251.67367071734529</v>
      </c>
      <c r="X42" s="1352">
        <f t="shared" si="42"/>
        <v>253.54022451747397</v>
      </c>
      <c r="Y42" s="1353">
        <f t="shared" si="42"/>
        <v>255.4067783176026</v>
      </c>
      <c r="Z42" s="1354"/>
      <c r="AA42" s="1352">
        <f>SUM(I42:T42)</f>
        <v>938.80530600542659</v>
      </c>
      <c r="AB42" s="1352">
        <f>SUM(V42:Y42)</f>
        <v>1010.4277904696387</v>
      </c>
      <c r="AC42" s="1352">
        <f t="shared" ref="AC42:AE43" si="43">AC$36*AJ42/1000</f>
        <v>1082.3702491510767</v>
      </c>
      <c r="AD42" s="1352">
        <f t="shared" si="43"/>
        <v>1159.4350108906337</v>
      </c>
      <c r="AE42" s="1352">
        <f t="shared" si="43"/>
        <v>1241.9867836660469</v>
      </c>
      <c r="AG42" s="76">
        <f>AG16</f>
        <v>0.04</v>
      </c>
      <c r="AI42" s="729">
        <f>G42*(1+$AG42)</f>
        <v>122.72</v>
      </c>
      <c r="AJ42" s="729">
        <f t="shared" ref="AJ42:AL43" si="44">AI42*(1+$AG42)</f>
        <v>127.6288</v>
      </c>
      <c r="AK42" s="729">
        <f t="shared" si="44"/>
        <v>132.73395200000002</v>
      </c>
      <c r="AL42" s="729">
        <f t="shared" si="44"/>
        <v>138.04331008000003</v>
      </c>
      <c r="AN42" s="81">
        <f t="shared" si="39"/>
        <v>0.11800000000000001</v>
      </c>
      <c r="AO42" s="81">
        <f t="shared" si="36"/>
        <v>0.12272000000000001</v>
      </c>
      <c r="AP42" s="81">
        <f t="shared" si="36"/>
        <v>0.12762879999999999</v>
      </c>
      <c r="AQ42" s="81">
        <f t="shared" si="36"/>
        <v>0.13273395200000002</v>
      </c>
      <c r="AR42" s="81">
        <f t="shared" si="36"/>
        <v>0.13804331008000004</v>
      </c>
    </row>
    <row r="43" spans="2:44" ht="17.25" x14ac:dyDescent="0.4">
      <c r="C43" s="1">
        <f t="shared" si="37"/>
        <v>5</v>
      </c>
      <c r="D43" s="1723"/>
      <c r="E43" s="245" t="s">
        <v>65</v>
      </c>
      <c r="G43" s="286">
        <f>'A1'!AI56</f>
        <v>0.32476518075209276</v>
      </c>
      <c r="H43" s="76"/>
      <c r="I43" s="761">
        <f t="shared" si="41"/>
        <v>0.21178647108148685</v>
      </c>
      <c r="J43" s="761">
        <f t="shared" si="41"/>
        <v>0.21213313797934233</v>
      </c>
      <c r="K43" s="761">
        <f t="shared" si="41"/>
        <v>0.21282760667226805</v>
      </c>
      <c r="L43" s="761">
        <f t="shared" si="41"/>
        <v>0.2135243488749812</v>
      </c>
      <c r="M43" s="761">
        <f t="shared" si="41"/>
        <v>0.21422337203036129</v>
      </c>
      <c r="N43" s="761">
        <f t="shared" si="41"/>
        <v>0.21492468360565395</v>
      </c>
      <c r="O43" s="761">
        <f t="shared" si="41"/>
        <v>0.21562829109255024</v>
      </c>
      <c r="P43" s="761">
        <f t="shared" si="41"/>
        <v>0.2163342020072675</v>
      </c>
      <c r="Q43" s="761">
        <f t="shared" si="41"/>
        <v>0.21704242389062892</v>
      </c>
      <c r="R43" s="761">
        <f t="shared" si="41"/>
        <v>0.21775296430814459</v>
      </c>
      <c r="S43" s="761">
        <f t="shared" si="41"/>
        <v>0.21846583085009191</v>
      </c>
      <c r="T43" s="762">
        <f t="shared" si="41"/>
        <v>0.21918103113159704</v>
      </c>
      <c r="U43" s="759"/>
      <c r="V43" s="761">
        <f t="shared" si="42"/>
        <v>0.68753096168456829</v>
      </c>
      <c r="W43" s="761">
        <f t="shared" si="42"/>
        <v>0.69266817933102809</v>
      </c>
      <c r="X43" s="761">
        <f t="shared" si="42"/>
        <v>0.69780539697748822</v>
      </c>
      <c r="Y43" s="762">
        <f t="shared" si="42"/>
        <v>0.70294261462394836</v>
      </c>
      <c r="Z43" s="80"/>
      <c r="AA43" s="761">
        <f>SUM(I43:T43)</f>
        <v>2.5838243635243741</v>
      </c>
      <c r="AB43" s="761">
        <f>SUM(V43:Y43)</f>
        <v>2.7809471526170331</v>
      </c>
      <c r="AC43" s="761">
        <f t="shared" si="43"/>
        <v>2.9789505898833655</v>
      </c>
      <c r="AD43" s="761">
        <f t="shared" si="43"/>
        <v>3.1910518718830621</v>
      </c>
      <c r="AE43" s="761">
        <f t="shared" si="43"/>
        <v>3.4182547651611364</v>
      </c>
      <c r="AG43" s="76">
        <f>AG42</f>
        <v>0.04</v>
      </c>
      <c r="AI43" s="729">
        <f>G43*(1+AG43)</f>
        <v>0.33775578798217648</v>
      </c>
      <c r="AJ43" s="729">
        <f t="shared" si="44"/>
        <v>0.35126601950146358</v>
      </c>
      <c r="AK43" s="729">
        <f t="shared" si="44"/>
        <v>0.36531666028152215</v>
      </c>
      <c r="AL43" s="729">
        <f t="shared" si="44"/>
        <v>0.37992932669278306</v>
      </c>
      <c r="AN43" s="81">
        <f t="shared" si="39"/>
        <v>3.2476518075209279E-4</v>
      </c>
      <c r="AO43" s="81">
        <f t="shared" si="36"/>
        <v>3.3775578798217644E-4</v>
      </c>
      <c r="AP43" s="81">
        <f t="shared" si="36"/>
        <v>3.5126601950146358E-4</v>
      </c>
      <c r="AQ43" s="81">
        <f t="shared" si="36"/>
        <v>3.6531666028152214E-4</v>
      </c>
      <c r="AR43" s="81">
        <f t="shared" si="36"/>
        <v>3.7992932669278311E-4</v>
      </c>
    </row>
    <row r="44" spans="2:44" x14ac:dyDescent="0.25">
      <c r="C44" s="1">
        <f t="shared" si="37"/>
        <v>6</v>
      </c>
      <c r="D44" s="1724"/>
      <c r="E44" s="1346" t="s">
        <v>13</v>
      </c>
      <c r="F44" s="46"/>
      <c r="G44" s="1347"/>
      <c r="H44" s="1348"/>
      <c r="I44" s="1349">
        <f t="shared" ref="I44:T44" si="45">SUM(I42:I43)</f>
        <v>77.162164986849788</v>
      </c>
      <c r="J44" s="1349">
        <f t="shared" si="45"/>
        <v>77.288469411448801</v>
      </c>
      <c r="K44" s="1349">
        <f t="shared" si="45"/>
        <v>77.541491748466342</v>
      </c>
      <c r="L44" s="1349">
        <f t="shared" si="45"/>
        <v>77.795342414774353</v>
      </c>
      <c r="M44" s="1349">
        <f t="shared" si="45"/>
        <v>78.050024122107359</v>
      </c>
      <c r="N44" s="1349">
        <f t="shared" si="45"/>
        <v>78.305539591077505</v>
      </c>
      <c r="O44" s="1349">
        <f t="shared" si="45"/>
        <v>78.56189155120336</v>
      </c>
      <c r="P44" s="1349">
        <f t="shared" si="45"/>
        <v>78.819082740939322</v>
      </c>
      <c r="Q44" s="1349">
        <f t="shared" si="45"/>
        <v>79.077115907704751</v>
      </c>
      <c r="R44" s="1349">
        <f t="shared" si="45"/>
        <v>79.335993807913383</v>
      </c>
      <c r="S44" s="1349">
        <f t="shared" si="45"/>
        <v>79.595719207002631</v>
      </c>
      <c r="T44" s="763">
        <f t="shared" si="45"/>
        <v>79.856294879463348</v>
      </c>
      <c r="U44" s="1349"/>
      <c r="V44" s="1349">
        <f>SUM(V42:V43)</f>
        <v>250.49464787890128</v>
      </c>
      <c r="W44" s="1349">
        <f>SUM(W42:W43)</f>
        <v>252.36633889667633</v>
      </c>
      <c r="X44" s="1349">
        <f>SUM(X42:X43)</f>
        <v>254.23802991445146</v>
      </c>
      <c r="Y44" s="763">
        <f>SUM(Y42:Y43)</f>
        <v>256.10972093222654</v>
      </c>
      <c r="Z44" s="1350"/>
      <c r="AA44" s="1349">
        <f>SUM(AA42:AA43)</f>
        <v>941.38913036895099</v>
      </c>
      <c r="AB44" s="1349">
        <f>SUM(AB42:AB43)</f>
        <v>1013.2087376222557</v>
      </c>
      <c r="AC44" s="1349">
        <f>SUM(AC42:AC43)</f>
        <v>1085.3491997409601</v>
      </c>
      <c r="AD44" s="1349">
        <f>SUM(AD42:AD43)</f>
        <v>1162.6260627625168</v>
      </c>
      <c r="AE44" s="1349">
        <f>SUM(AE42:AE43)</f>
        <v>1245.4050384312081</v>
      </c>
      <c r="AG44" s="76"/>
      <c r="AI44" s="729"/>
      <c r="AJ44" s="729"/>
      <c r="AK44" s="729"/>
      <c r="AL44" s="729"/>
      <c r="AN44" s="81">
        <f t="shared" si="39"/>
        <v>0.11832476518075211</v>
      </c>
      <c r="AO44" s="81">
        <f t="shared" si="36"/>
        <v>0.12305775578798218</v>
      </c>
      <c r="AP44" s="81">
        <f t="shared" si="36"/>
        <v>0.12798006601950146</v>
      </c>
      <c r="AQ44" s="81">
        <f t="shared" si="36"/>
        <v>0.13309926866028154</v>
      </c>
      <c r="AR44" s="81">
        <f t="shared" si="36"/>
        <v>0.13842323940669282</v>
      </c>
    </row>
    <row r="45" spans="2:44" x14ac:dyDescent="0.25">
      <c r="C45" s="1">
        <f t="shared" si="37"/>
        <v>7</v>
      </c>
      <c r="D45" s="81" t="s">
        <v>148</v>
      </c>
      <c r="E45" s="81"/>
      <c r="G45" s="286">
        <f>'A1'!AI57</f>
        <v>5.7341193579059233</v>
      </c>
      <c r="H45" s="76"/>
      <c r="I45" s="759">
        <f t="shared" ref="I45:T45" si="46">I$36*$G45/1000</f>
        <v>3.7393445342835174</v>
      </c>
      <c r="J45" s="759">
        <f t="shared" si="46"/>
        <v>3.7454653547641339</v>
      </c>
      <c r="K45" s="759">
        <f t="shared" si="46"/>
        <v>3.7577270336988735</v>
      </c>
      <c r="L45" s="759">
        <f t="shared" si="46"/>
        <v>3.7700288541797371</v>
      </c>
      <c r="M45" s="759">
        <f t="shared" si="46"/>
        <v>3.7823709476197029</v>
      </c>
      <c r="N45" s="759">
        <f t="shared" si="46"/>
        <v>3.7947534458619594</v>
      </c>
      <c r="O45" s="759">
        <f t="shared" si="46"/>
        <v>3.8071764811813136</v>
      </c>
      <c r="P45" s="759">
        <f t="shared" si="46"/>
        <v>3.8196401862856089</v>
      </c>
      <c r="Q45" s="759">
        <f t="shared" si="46"/>
        <v>3.8321446943171371</v>
      </c>
      <c r="R45" s="759">
        <f t="shared" si="46"/>
        <v>3.8446901388540664</v>
      </c>
      <c r="S45" s="759">
        <f t="shared" si="46"/>
        <v>3.8572766539118613</v>
      </c>
      <c r="T45" s="760">
        <f t="shared" si="46"/>
        <v>3.8699043739447196</v>
      </c>
      <c r="U45" s="759"/>
      <c r="V45" s="759">
        <f>V$36*$AI45/1000</f>
        <v>12.139184956421023</v>
      </c>
      <c r="W45" s="759">
        <f>W$36*$AI45/1000</f>
        <v>12.229888704538736</v>
      </c>
      <c r="X45" s="759">
        <f>X$36*$AI45/1000</f>
        <v>12.320592452656454</v>
      </c>
      <c r="Y45" s="760">
        <f>Y$36*$AI45/1000</f>
        <v>12.411296200774171</v>
      </c>
      <c r="Z45" s="80"/>
      <c r="AA45" s="759">
        <f>SUM(I45:T45)</f>
        <v>45.62052269890264</v>
      </c>
      <c r="AB45" s="759">
        <f>SUM(V45:Y45)</f>
        <v>49.100962314390387</v>
      </c>
      <c r="AC45" s="759">
        <f>AC$36*AJ45/1000</f>
        <v>52.596950831174965</v>
      </c>
      <c r="AD45" s="759">
        <f>AD$36*AK45/1000</f>
        <v>56.341853730354643</v>
      </c>
      <c r="AE45" s="759">
        <f>AE$36*AL45/1000</f>
        <v>60.353393715955882</v>
      </c>
      <c r="AG45" s="76">
        <f>AG39</f>
        <v>0.04</v>
      </c>
      <c r="AI45" s="729">
        <f>G45*(1+AG45)</f>
        <v>5.9634841322221606</v>
      </c>
      <c r="AJ45" s="729">
        <f>AI45*(1+$AG45)</f>
        <v>6.2020234975110471</v>
      </c>
      <c r="AK45" s="729">
        <f>AJ45*(1+$AG45)</f>
        <v>6.4501044374114889</v>
      </c>
      <c r="AL45" s="729">
        <f>AK45*(1+$AG45)</f>
        <v>6.7081086149079487</v>
      </c>
      <c r="AN45" s="81">
        <f t="shared" si="39"/>
        <v>5.7341193579059247E-3</v>
      </c>
      <c r="AO45" s="81">
        <f t="shared" si="36"/>
        <v>5.963484132222161E-3</v>
      </c>
      <c r="AP45" s="81">
        <f t="shared" si="36"/>
        <v>6.2020234975110463E-3</v>
      </c>
      <c r="AQ45" s="81">
        <f t="shared" si="36"/>
        <v>6.4501044374114897E-3</v>
      </c>
      <c r="AR45" s="81">
        <f t="shared" si="36"/>
        <v>6.7081086149079483E-3</v>
      </c>
    </row>
    <row r="46" spans="2:44" s="764" customFormat="1" x14ac:dyDescent="0.25">
      <c r="C46" s="1">
        <f t="shared" si="37"/>
        <v>8</v>
      </c>
      <c r="D46" s="1218" t="s">
        <v>13</v>
      </c>
      <c r="E46" s="1221"/>
      <c r="F46" s="1222"/>
      <c r="G46" s="1223"/>
      <c r="H46" s="1222"/>
      <c r="I46" s="1219">
        <f t="shared" ref="I46:T46" si="47">I41+I44+I45</f>
        <v>106.83200286136001</v>
      </c>
      <c r="J46" s="1219">
        <f t="shared" si="47"/>
        <v>107.00687295024962</v>
      </c>
      <c r="K46" s="1219">
        <f t="shared" si="47"/>
        <v>107.35718560719556</v>
      </c>
      <c r="L46" s="1219">
        <f t="shared" si="47"/>
        <v>107.70864509662277</v>
      </c>
      <c r="M46" s="1219">
        <f t="shared" si="47"/>
        <v>108.06125517296228</v>
      </c>
      <c r="N46" s="1219">
        <f t="shared" si="47"/>
        <v>108.41501960293638</v>
      </c>
      <c r="O46" s="1219">
        <f t="shared" si="47"/>
        <v>108.76994216559838</v>
      </c>
      <c r="P46" s="1219">
        <f t="shared" si="47"/>
        <v>109.12602665237337</v>
      </c>
      <c r="Q46" s="1219">
        <f t="shared" si="47"/>
        <v>109.48327686709852</v>
      </c>
      <c r="R46" s="1219">
        <f t="shared" si="47"/>
        <v>109.84169662606386</v>
      </c>
      <c r="S46" s="1219">
        <f t="shared" si="47"/>
        <v>110.20128975805284</v>
      </c>
      <c r="T46" s="1220">
        <f t="shared" si="47"/>
        <v>110.56206010438343</v>
      </c>
      <c r="U46" s="1224"/>
      <c r="V46" s="1219">
        <f>V41+V44+V45</f>
        <v>346.81303905242697</v>
      </c>
      <c r="W46" s="1219">
        <f>W41+W44+W45</f>
        <v>349.40441916987965</v>
      </c>
      <c r="X46" s="1219">
        <f>X41+X44+X45</f>
        <v>351.99579928733249</v>
      </c>
      <c r="Y46" s="1220">
        <f>Y41+Y44+Y45</f>
        <v>354.58717940478522</v>
      </c>
      <c r="Z46" s="1225"/>
      <c r="AA46" s="1219">
        <f>AA41+AA44+AA45</f>
        <v>1303.3652734648972</v>
      </c>
      <c r="AB46" s="1219">
        <f>AB41+AB44+AB45</f>
        <v>1402.8004369144246</v>
      </c>
      <c r="AC46" s="1219">
        <f>AC41+AC44+AC45</f>
        <v>1502.6798280227313</v>
      </c>
      <c r="AD46" s="1219">
        <f>AD41+AD44+AD45</f>
        <v>1609.6706317779499</v>
      </c>
      <c r="AE46" s="1219">
        <f>AE41+AE44+AE45</f>
        <v>1724.2791807605402</v>
      </c>
      <c r="AN46" s="81">
        <f t="shared" si="39"/>
        <v>0.16382214851688204</v>
      </c>
      <c r="AO46" s="81">
        <f t="shared" si="36"/>
        <v>0.17037503445755731</v>
      </c>
      <c r="AP46" s="81">
        <f t="shared" si="36"/>
        <v>0.1771900358358596</v>
      </c>
      <c r="AQ46" s="81">
        <f t="shared" si="36"/>
        <v>0.18427763726929397</v>
      </c>
      <c r="AR46" s="81">
        <f t="shared" si="36"/>
        <v>0.19164874276006577</v>
      </c>
    </row>
    <row r="47" spans="2:44" x14ac:dyDescent="0.25">
      <c r="T47" s="188"/>
      <c r="U47" s="36"/>
      <c r="Y47" s="188"/>
    </row>
    <row r="48" spans="2:44" x14ac:dyDescent="0.25">
      <c r="B48" s="533" t="str">
        <f>'A1'!G8 &amp; " - " &amp; 'A1'!$H$9</f>
        <v>Home Dialysis - Home HD</v>
      </c>
      <c r="G48" s="36"/>
      <c r="H48" s="36"/>
      <c r="I48" s="36"/>
      <c r="J48" s="36"/>
      <c r="K48" s="36"/>
      <c r="L48" s="36"/>
      <c r="M48" s="36"/>
      <c r="N48" s="36"/>
      <c r="O48" s="36"/>
      <c r="P48" s="36"/>
      <c r="Q48" s="36"/>
      <c r="R48" s="36"/>
      <c r="S48" s="36"/>
      <c r="T48" s="51"/>
      <c r="U48" s="36"/>
      <c r="V48" s="36"/>
      <c r="W48" s="36"/>
      <c r="X48" s="36"/>
      <c r="Y48" s="51"/>
      <c r="AA48" s="36"/>
      <c r="AB48" s="36"/>
      <c r="AC48" s="36"/>
      <c r="AD48" s="36"/>
      <c r="AE48" s="36"/>
    </row>
    <row r="49" spans="2:45" x14ac:dyDescent="0.25">
      <c r="D49" s="1" t="s">
        <v>151</v>
      </c>
      <c r="E49" s="81"/>
      <c r="G49" s="77"/>
      <c r="H49" s="76"/>
      <c r="I49" s="13">
        <f>'C4'!I17</f>
        <v>98.954473071149494</v>
      </c>
      <c r="J49" s="13">
        <f>'C4'!J17</f>
        <v>99.116448668709268</v>
      </c>
      <c r="K49" s="13">
        <f>'C4'!K17</f>
        <v>99.440930129786295</v>
      </c>
      <c r="L49" s="13">
        <f>'C4'!L17</f>
        <v>99.766473858731047</v>
      </c>
      <c r="M49" s="13">
        <f>'C4'!M17</f>
        <v>100.09308333313206</v>
      </c>
      <c r="N49" s="13">
        <f>'C4'!N17</f>
        <v>100.42076204196269</v>
      </c>
      <c r="O49" s="13">
        <f>'C4'!O17</f>
        <v>100.74951348561819</v>
      </c>
      <c r="P49" s="13">
        <f>'C4'!P17</f>
        <v>101.07934117595325</v>
      </c>
      <c r="Q49" s="13">
        <f>'C4'!Q17</f>
        <v>101.41024863631942</v>
      </c>
      <c r="R49" s="13">
        <f>'C4'!R17</f>
        <v>101.74223940160283</v>
      </c>
      <c r="S49" s="13">
        <f>'C4'!S17</f>
        <v>102.07531701826186</v>
      </c>
      <c r="T49" s="14">
        <f>'C4'!T17</f>
        <v>102.40948504436511</v>
      </c>
      <c r="U49" s="36"/>
      <c r="V49" s="13">
        <f>'C4'!V17</f>
        <v>308.88451578947377</v>
      </c>
      <c r="W49" s="13">
        <f>'C4'!W17</f>
        <v>311.19249473684226</v>
      </c>
      <c r="X49" s="13">
        <f>'C4'!X17</f>
        <v>313.50047368421065</v>
      </c>
      <c r="Y49" s="14">
        <f>'C4'!Y17</f>
        <v>315.80845263157909</v>
      </c>
      <c r="AA49" s="13">
        <f>'C4'!AA17</f>
        <v>1207.2583158655914</v>
      </c>
      <c r="AB49" s="13">
        <f>'C4'!AB17</f>
        <v>1249.3859368421058</v>
      </c>
      <c r="AC49" s="13">
        <f>'C4'!AC17</f>
        <v>1286.8675149473688</v>
      </c>
      <c r="AD49" s="13">
        <f>'C4'!AD17</f>
        <v>1325.47354039579</v>
      </c>
      <c r="AE49" s="13">
        <f>'C4'!AE17</f>
        <v>1365.2377466076639</v>
      </c>
    </row>
    <row r="50" spans="2:45" x14ac:dyDescent="0.25">
      <c r="D50" s="1" t="s">
        <v>281</v>
      </c>
      <c r="E50" s="81"/>
      <c r="G50" s="765">
        <f>'A1'!$H$53</f>
        <v>2800</v>
      </c>
      <c r="H50" s="76"/>
      <c r="I50" s="13">
        <f t="shared" ref="I50:T50" si="48">I49*$G50</f>
        <v>277072.52459921857</v>
      </c>
      <c r="J50" s="13">
        <f t="shared" si="48"/>
        <v>277526.05627238593</v>
      </c>
      <c r="K50" s="13">
        <f t="shared" si="48"/>
        <v>278434.60436340165</v>
      </c>
      <c r="L50" s="13">
        <f t="shared" si="48"/>
        <v>279346.12680444692</v>
      </c>
      <c r="M50" s="13">
        <f t="shared" si="48"/>
        <v>280260.63333276974</v>
      </c>
      <c r="N50" s="13">
        <f t="shared" si="48"/>
        <v>281178.13371749554</v>
      </c>
      <c r="O50" s="13">
        <f t="shared" si="48"/>
        <v>282098.63775973092</v>
      </c>
      <c r="P50" s="13">
        <f t="shared" si="48"/>
        <v>283022.15529266908</v>
      </c>
      <c r="Q50" s="13">
        <f t="shared" si="48"/>
        <v>283948.69618169439</v>
      </c>
      <c r="R50" s="13">
        <f t="shared" si="48"/>
        <v>284878.27032448794</v>
      </c>
      <c r="S50" s="13">
        <f t="shared" si="48"/>
        <v>285810.88765113318</v>
      </c>
      <c r="T50" s="14">
        <f t="shared" si="48"/>
        <v>286746.55812422233</v>
      </c>
      <c r="U50" s="36"/>
      <c r="V50" s="13">
        <f>V49*$G50</f>
        <v>864876.6442105266</v>
      </c>
      <c r="W50" s="13">
        <f>W49*$G50</f>
        <v>871338.98526315833</v>
      </c>
      <c r="X50" s="13">
        <f>X49*$G50</f>
        <v>877801.32631578983</v>
      </c>
      <c r="Y50" s="14">
        <f>Y49*$G50</f>
        <v>884263.66736842145</v>
      </c>
      <c r="AA50" s="13">
        <f>SUM(I50:T50)</f>
        <v>3380323.2844236563</v>
      </c>
      <c r="AB50" s="13">
        <f>SUM(V50:Y50)</f>
        <v>3498280.6231578961</v>
      </c>
      <c r="AC50" s="13">
        <f>AC49*$G50</f>
        <v>3603229.0418526325</v>
      </c>
      <c r="AD50" s="13">
        <f>AD49*$G50</f>
        <v>3711325.9131082119</v>
      </c>
      <c r="AE50" s="13">
        <f>AE49*$G50</f>
        <v>3822665.6905014589</v>
      </c>
    </row>
    <row r="51" spans="2:45" x14ac:dyDescent="0.25">
      <c r="D51" s="81"/>
      <c r="E51" s="81"/>
      <c r="G51" s="77"/>
      <c r="H51" s="76"/>
      <c r="I51" s="13"/>
      <c r="J51" s="13"/>
      <c r="K51" s="13"/>
      <c r="L51" s="13"/>
      <c r="M51" s="13"/>
      <c r="N51" s="13"/>
      <c r="O51" s="13"/>
      <c r="P51" s="13"/>
      <c r="Q51" s="13"/>
      <c r="R51" s="13"/>
      <c r="S51" s="13"/>
      <c r="T51" s="14"/>
      <c r="U51" s="36"/>
      <c r="V51" s="13"/>
      <c r="W51" s="13"/>
      <c r="X51" s="13"/>
      <c r="Y51" s="14"/>
      <c r="AA51" s="13"/>
      <c r="AB51" s="13"/>
      <c r="AC51" s="13"/>
      <c r="AD51" s="13"/>
      <c r="AE51" s="13"/>
    </row>
    <row r="52" spans="2:45" x14ac:dyDescent="0.25">
      <c r="C52" s="1">
        <v>1</v>
      </c>
      <c r="D52" s="1722" t="s">
        <v>142</v>
      </c>
      <c r="E52" s="81" t="s">
        <v>143</v>
      </c>
      <c r="G52" s="286">
        <f>'A1'!AJ51</f>
        <v>1.21E-2</v>
      </c>
      <c r="H52" s="76"/>
      <c r="I52" s="759">
        <f>I50*$G52/1000</f>
        <v>3.3525775476505446</v>
      </c>
      <c r="J52" s="759">
        <f t="shared" ref="J52:T52" si="49">J50*$G52/1000</f>
        <v>3.35806528089587</v>
      </c>
      <c r="K52" s="759">
        <f t="shared" si="49"/>
        <v>3.3690587127971598</v>
      </c>
      <c r="L52" s="759">
        <f t="shared" si="49"/>
        <v>3.3800881343338078</v>
      </c>
      <c r="M52" s="759">
        <f t="shared" si="49"/>
        <v>3.3911536633265138</v>
      </c>
      <c r="N52" s="759">
        <f t="shared" si="49"/>
        <v>3.4022554179816962</v>
      </c>
      <c r="O52" s="759">
        <f t="shared" si="49"/>
        <v>3.4133935168927443</v>
      </c>
      <c r="P52" s="759">
        <f t="shared" si="49"/>
        <v>3.4245680790412956</v>
      </c>
      <c r="Q52" s="759">
        <f t="shared" si="49"/>
        <v>3.4357792237985021</v>
      </c>
      <c r="R52" s="759">
        <f t="shared" si="49"/>
        <v>3.4470270709263042</v>
      </c>
      <c r="S52" s="759">
        <f t="shared" si="49"/>
        <v>3.4583117405787109</v>
      </c>
      <c r="T52" s="760">
        <f t="shared" si="49"/>
        <v>3.4696333533030903</v>
      </c>
      <c r="U52" s="759"/>
      <c r="V52" s="759">
        <f>V50*$AI52/1000</f>
        <v>10.883607690745267</v>
      </c>
      <c r="W52" s="759">
        <f>W50*$AI52/1000</f>
        <v>10.964929790551585</v>
      </c>
      <c r="X52" s="759">
        <f>X50*$AI52/1000</f>
        <v>11.046251890357899</v>
      </c>
      <c r="Y52" s="760">
        <f>Y50*$AI52/1000</f>
        <v>11.127573990164215</v>
      </c>
      <c r="Z52" s="80"/>
      <c r="AA52" s="759">
        <f>SUM(I52:T52)</f>
        <v>40.901911741526234</v>
      </c>
      <c r="AB52" s="759">
        <f>SUM(V52:Y52)</f>
        <v>44.022363361818968</v>
      </c>
      <c r="AC52" s="759">
        <f>AC50*AJ52/1000</f>
        <v>47.156755633180467</v>
      </c>
      <c r="AD52" s="759">
        <f>AD50*AK52/1000</f>
        <v>50.514316634262926</v>
      </c>
      <c r="AE52" s="759">
        <f>AE50*AL52/1000</f>
        <v>54.110935978622457</v>
      </c>
      <c r="AG52" s="76">
        <f>AG13</f>
        <v>0.04</v>
      </c>
      <c r="AI52" s="729">
        <f>G52*(1+AG52)</f>
        <v>1.2584E-2</v>
      </c>
      <c r="AJ52" s="729">
        <f t="shared" ref="AJ52:AL53" si="50">AI52*(1+$AG52)</f>
        <v>1.3087359999999999E-2</v>
      </c>
      <c r="AK52" s="729">
        <f t="shared" si="50"/>
        <v>1.36108544E-2</v>
      </c>
      <c r="AL52" s="729">
        <f t="shared" si="50"/>
        <v>1.4155288576000001E-2</v>
      </c>
      <c r="AN52" s="81">
        <f>AA52/AA$49</f>
        <v>3.388E-2</v>
      </c>
      <c r="AO52" s="81">
        <f t="shared" ref="AO52:AO59" si="51">AB52/AB$49</f>
        <v>3.5235200000000001E-2</v>
      </c>
      <c r="AP52" s="81">
        <f t="shared" ref="AP52:AP59" si="52">AC52/AC$49</f>
        <v>3.6644607999999995E-2</v>
      </c>
      <c r="AQ52" s="81">
        <f t="shared" ref="AQ52:AQ59" si="53">AD52/AD$49</f>
        <v>3.8110392319999999E-2</v>
      </c>
      <c r="AR52" s="81">
        <f t="shared" ref="AR52:AR59" si="54">AE52/AE$49</f>
        <v>3.9634808012800005E-2</v>
      </c>
      <c r="AS52" s="81"/>
    </row>
    <row r="53" spans="2:45" ht="17.25" x14ac:dyDescent="0.4">
      <c r="C53" s="1">
        <f t="shared" ref="C53:C59" si="55">C52+1</f>
        <v>2</v>
      </c>
      <c r="D53" s="1723"/>
      <c r="E53" s="81" t="s">
        <v>144</v>
      </c>
      <c r="G53" s="286">
        <f>'A1'!AJ53</f>
        <v>0</v>
      </c>
      <c r="H53" s="76"/>
      <c r="I53" s="761">
        <f t="shared" ref="I53:T53" si="56">I$49*$G53/1000</f>
        <v>0</v>
      </c>
      <c r="J53" s="761">
        <f t="shared" si="56"/>
        <v>0</v>
      </c>
      <c r="K53" s="761">
        <f t="shared" si="56"/>
        <v>0</v>
      </c>
      <c r="L53" s="761">
        <f t="shared" si="56"/>
        <v>0</v>
      </c>
      <c r="M53" s="761">
        <f t="shared" si="56"/>
        <v>0</v>
      </c>
      <c r="N53" s="761">
        <f t="shared" si="56"/>
        <v>0</v>
      </c>
      <c r="O53" s="761">
        <f t="shared" si="56"/>
        <v>0</v>
      </c>
      <c r="P53" s="761">
        <f t="shared" si="56"/>
        <v>0</v>
      </c>
      <c r="Q53" s="761">
        <f t="shared" si="56"/>
        <v>0</v>
      </c>
      <c r="R53" s="761">
        <f t="shared" si="56"/>
        <v>0</v>
      </c>
      <c r="S53" s="761">
        <f t="shared" si="56"/>
        <v>0</v>
      </c>
      <c r="T53" s="762">
        <f t="shared" si="56"/>
        <v>0</v>
      </c>
      <c r="U53" s="759"/>
      <c r="V53" s="761">
        <f>V$49*$AI53/1000</f>
        <v>0</v>
      </c>
      <c r="W53" s="761">
        <f>W$49*$AI53/1000</f>
        <v>0</v>
      </c>
      <c r="X53" s="761">
        <f>X$49*$AI53/1000</f>
        <v>0</v>
      </c>
      <c r="Y53" s="762">
        <f>Y$49*$AI53/1000</f>
        <v>0</v>
      </c>
      <c r="Z53" s="80"/>
      <c r="AA53" s="761">
        <f>SUM(I53:T53)</f>
        <v>0</v>
      </c>
      <c r="AB53" s="761">
        <f>SUM(V53:Y53)</f>
        <v>0</v>
      </c>
      <c r="AC53" s="761">
        <f>AC$49*AJ53/1000</f>
        <v>0</v>
      </c>
      <c r="AD53" s="761">
        <f>AD$49*AK53/1000</f>
        <v>0</v>
      </c>
      <c r="AE53" s="761">
        <f>AE$49*AL53/1000</f>
        <v>0</v>
      </c>
      <c r="AG53" s="76">
        <f>AG52</f>
        <v>0.04</v>
      </c>
      <c r="AI53" s="729">
        <f>G53*(1+AG53)</f>
        <v>0</v>
      </c>
      <c r="AJ53" s="729">
        <f t="shared" si="50"/>
        <v>0</v>
      </c>
      <c r="AK53" s="729">
        <f t="shared" si="50"/>
        <v>0</v>
      </c>
      <c r="AL53" s="729">
        <f t="shared" si="50"/>
        <v>0</v>
      </c>
      <c r="AN53" s="81">
        <f t="shared" ref="AN53:AN59" si="57">AA53/AA$49</f>
        <v>0</v>
      </c>
      <c r="AO53" s="81">
        <f t="shared" si="51"/>
        <v>0</v>
      </c>
      <c r="AP53" s="81">
        <f t="shared" si="52"/>
        <v>0</v>
      </c>
      <c r="AQ53" s="81">
        <f t="shared" si="53"/>
        <v>0</v>
      </c>
      <c r="AR53" s="81">
        <f t="shared" si="54"/>
        <v>0</v>
      </c>
      <c r="AS53" s="81"/>
    </row>
    <row r="54" spans="2:45" x14ac:dyDescent="0.25">
      <c r="C54" s="1">
        <f t="shared" si="55"/>
        <v>3</v>
      </c>
      <c r="D54" s="1724"/>
      <c r="E54" s="1346" t="s">
        <v>13</v>
      </c>
      <c r="F54" s="46"/>
      <c r="G54" s="1347"/>
      <c r="H54" s="1348"/>
      <c r="I54" s="1349">
        <f t="shared" ref="I54:T54" si="58">SUM(I52:I53)</f>
        <v>3.3525775476505446</v>
      </c>
      <c r="J54" s="1349">
        <f t="shared" si="58"/>
        <v>3.35806528089587</v>
      </c>
      <c r="K54" s="1349">
        <f t="shared" si="58"/>
        <v>3.3690587127971598</v>
      </c>
      <c r="L54" s="1349">
        <f t="shared" si="58"/>
        <v>3.3800881343338078</v>
      </c>
      <c r="M54" s="1349">
        <f t="shared" si="58"/>
        <v>3.3911536633265138</v>
      </c>
      <c r="N54" s="1349">
        <f t="shared" si="58"/>
        <v>3.4022554179816962</v>
      </c>
      <c r="O54" s="1349">
        <f t="shared" si="58"/>
        <v>3.4133935168927443</v>
      </c>
      <c r="P54" s="1349">
        <f t="shared" si="58"/>
        <v>3.4245680790412956</v>
      </c>
      <c r="Q54" s="1349">
        <f t="shared" si="58"/>
        <v>3.4357792237985021</v>
      </c>
      <c r="R54" s="1349">
        <f t="shared" si="58"/>
        <v>3.4470270709263042</v>
      </c>
      <c r="S54" s="1349">
        <f t="shared" si="58"/>
        <v>3.4583117405787109</v>
      </c>
      <c r="T54" s="763">
        <f t="shared" si="58"/>
        <v>3.4696333533030903</v>
      </c>
      <c r="U54" s="1349"/>
      <c r="V54" s="1349">
        <f>SUM(V52:V53)</f>
        <v>10.883607690745267</v>
      </c>
      <c r="W54" s="1349">
        <f>SUM(W52:W53)</f>
        <v>10.964929790551585</v>
      </c>
      <c r="X54" s="1349">
        <f>SUM(X52:X53)</f>
        <v>11.046251890357899</v>
      </c>
      <c r="Y54" s="763">
        <f>SUM(Y52:Y53)</f>
        <v>11.127573990164215</v>
      </c>
      <c r="Z54" s="1350"/>
      <c r="AA54" s="1349">
        <f>SUM(AA52:AA53)</f>
        <v>40.901911741526234</v>
      </c>
      <c r="AB54" s="1349">
        <f>SUM(AB52:AB53)</f>
        <v>44.022363361818968</v>
      </c>
      <c r="AC54" s="1349">
        <f>SUM(AC52:AC53)</f>
        <v>47.156755633180467</v>
      </c>
      <c r="AD54" s="1349">
        <f>SUM(AD52:AD53)</f>
        <v>50.514316634262926</v>
      </c>
      <c r="AE54" s="1349">
        <f>SUM(AE52:AE53)</f>
        <v>54.110935978622457</v>
      </c>
      <c r="AG54" s="76"/>
      <c r="AI54" s="729"/>
      <c r="AJ54" s="729"/>
      <c r="AK54" s="729"/>
      <c r="AL54" s="729"/>
      <c r="AN54" s="81">
        <f t="shared" si="57"/>
        <v>3.388E-2</v>
      </c>
      <c r="AO54" s="81">
        <f t="shared" si="51"/>
        <v>3.5235200000000001E-2</v>
      </c>
      <c r="AP54" s="81">
        <f t="shared" si="52"/>
        <v>3.6644607999999995E-2</v>
      </c>
      <c r="AQ54" s="81">
        <f t="shared" si="53"/>
        <v>3.8110392319999999E-2</v>
      </c>
      <c r="AR54" s="81">
        <f t="shared" si="54"/>
        <v>3.9634808012800005E-2</v>
      </c>
      <c r="AS54" s="81"/>
    </row>
    <row r="55" spans="2:45" x14ac:dyDescent="0.25">
      <c r="C55" s="1">
        <f t="shared" si="55"/>
        <v>4</v>
      </c>
      <c r="D55" s="1722" t="s">
        <v>146</v>
      </c>
      <c r="E55" s="239" t="s">
        <v>147</v>
      </c>
      <c r="F55" s="23"/>
      <c r="G55" s="1370">
        <f>'A1'!AJ55</f>
        <v>120</v>
      </c>
      <c r="H55" s="1351"/>
      <c r="I55" s="1352">
        <f t="shared" ref="I55:T56" si="59">I$49*$G55/1000</f>
        <v>11.874536768537938</v>
      </c>
      <c r="J55" s="1352">
        <f t="shared" si="59"/>
        <v>11.893973840245112</v>
      </c>
      <c r="K55" s="1352">
        <f t="shared" si="59"/>
        <v>11.932911615574357</v>
      </c>
      <c r="L55" s="1352">
        <f t="shared" si="59"/>
        <v>11.971976863047727</v>
      </c>
      <c r="M55" s="1352">
        <f t="shared" si="59"/>
        <v>12.011169999975847</v>
      </c>
      <c r="N55" s="1352">
        <f t="shared" si="59"/>
        <v>12.050491445035522</v>
      </c>
      <c r="O55" s="1352">
        <f t="shared" si="59"/>
        <v>12.089941618274183</v>
      </c>
      <c r="P55" s="1352">
        <f t="shared" si="59"/>
        <v>12.129520941114389</v>
      </c>
      <c r="Q55" s="1352">
        <f t="shared" si="59"/>
        <v>12.16922983635833</v>
      </c>
      <c r="R55" s="1352">
        <f t="shared" si="59"/>
        <v>12.20906872819234</v>
      </c>
      <c r="S55" s="1352">
        <f t="shared" si="59"/>
        <v>12.249038042191422</v>
      </c>
      <c r="T55" s="1353">
        <f t="shared" si="59"/>
        <v>12.289138205323814</v>
      </c>
      <c r="U55" s="1352"/>
      <c r="V55" s="1352">
        <f t="shared" ref="V55:Y56" si="60">V$49*$AI55/1000</f>
        <v>38.548787570526329</v>
      </c>
      <c r="W55" s="1352">
        <f t="shared" si="60"/>
        <v>38.836823343157924</v>
      </c>
      <c r="X55" s="1352">
        <f t="shared" si="60"/>
        <v>39.124859115789491</v>
      </c>
      <c r="Y55" s="1353">
        <f t="shared" si="60"/>
        <v>39.412894888421079</v>
      </c>
      <c r="Z55" s="1354"/>
      <c r="AA55" s="1352">
        <f>SUM(I55:T55)</f>
        <v>144.87099790387097</v>
      </c>
      <c r="AB55" s="1352">
        <f>SUM(V55:Y55)</f>
        <v>155.92336491789482</v>
      </c>
      <c r="AC55" s="1352">
        <f t="shared" ref="AC55:AE56" si="61">AC$49*AJ55/1000</f>
        <v>167.02510850004893</v>
      </c>
      <c r="AD55" s="1352">
        <f t="shared" si="61"/>
        <v>178.91729622525244</v>
      </c>
      <c r="AE55" s="1352">
        <f t="shared" si="61"/>
        <v>191.65620771649043</v>
      </c>
      <c r="AG55" s="76">
        <f>AG16</f>
        <v>0.04</v>
      </c>
      <c r="AI55" s="729">
        <f>G55*(1+AG55)</f>
        <v>124.80000000000001</v>
      </c>
      <c r="AJ55" s="729">
        <f t="shared" ref="AJ55:AL56" si="62">AI55*(1+$AG55)</f>
        <v>129.79200000000003</v>
      </c>
      <c r="AK55" s="729">
        <f t="shared" si="62"/>
        <v>134.98368000000005</v>
      </c>
      <c r="AL55" s="729">
        <f t="shared" si="62"/>
        <v>140.38302720000004</v>
      </c>
      <c r="AN55" s="81">
        <f t="shared" si="57"/>
        <v>0.12000000000000001</v>
      </c>
      <c r="AO55" s="81">
        <f t="shared" si="51"/>
        <v>0.12480000000000001</v>
      </c>
      <c r="AP55" s="81">
        <f t="shared" si="52"/>
        <v>0.12979200000000002</v>
      </c>
      <c r="AQ55" s="81">
        <f t="shared" si="53"/>
        <v>0.13498368000000005</v>
      </c>
      <c r="AR55" s="81">
        <f t="shared" si="54"/>
        <v>0.14038302720000004</v>
      </c>
      <c r="AS55" s="81"/>
    </row>
    <row r="56" spans="2:45" ht="17.25" x14ac:dyDescent="0.4">
      <c r="C56" s="1">
        <f t="shared" si="55"/>
        <v>5</v>
      </c>
      <c r="D56" s="1723"/>
      <c r="E56" s="245" t="s">
        <v>65</v>
      </c>
      <c r="G56" s="286">
        <f>'A1'!AJ56</f>
        <v>0</v>
      </c>
      <c r="H56" s="76"/>
      <c r="I56" s="761">
        <f t="shared" si="59"/>
        <v>0</v>
      </c>
      <c r="J56" s="761">
        <f t="shared" si="59"/>
        <v>0</v>
      </c>
      <c r="K56" s="761">
        <f t="shared" si="59"/>
        <v>0</v>
      </c>
      <c r="L56" s="761">
        <f t="shared" si="59"/>
        <v>0</v>
      </c>
      <c r="M56" s="761">
        <f t="shared" si="59"/>
        <v>0</v>
      </c>
      <c r="N56" s="761">
        <f t="shared" si="59"/>
        <v>0</v>
      </c>
      <c r="O56" s="761">
        <f t="shared" si="59"/>
        <v>0</v>
      </c>
      <c r="P56" s="761">
        <f t="shared" si="59"/>
        <v>0</v>
      </c>
      <c r="Q56" s="761">
        <f t="shared" si="59"/>
        <v>0</v>
      </c>
      <c r="R56" s="761">
        <f t="shared" si="59"/>
        <v>0</v>
      </c>
      <c r="S56" s="761">
        <f t="shared" si="59"/>
        <v>0</v>
      </c>
      <c r="T56" s="762">
        <f t="shared" si="59"/>
        <v>0</v>
      </c>
      <c r="U56" s="759"/>
      <c r="V56" s="761">
        <f t="shared" si="60"/>
        <v>0</v>
      </c>
      <c r="W56" s="761">
        <f t="shared" si="60"/>
        <v>0</v>
      </c>
      <c r="X56" s="761">
        <f t="shared" si="60"/>
        <v>0</v>
      </c>
      <c r="Y56" s="762">
        <f t="shared" si="60"/>
        <v>0</v>
      </c>
      <c r="Z56" s="80"/>
      <c r="AA56" s="761">
        <f>SUM(I56:T56)</f>
        <v>0</v>
      </c>
      <c r="AB56" s="761">
        <f>SUM(V56:Y56)</f>
        <v>0</v>
      </c>
      <c r="AC56" s="761">
        <f t="shared" si="61"/>
        <v>0</v>
      </c>
      <c r="AD56" s="761">
        <f t="shared" si="61"/>
        <v>0</v>
      </c>
      <c r="AE56" s="761">
        <f t="shared" si="61"/>
        <v>0</v>
      </c>
      <c r="AG56" s="76">
        <f>AG55</f>
        <v>0.04</v>
      </c>
      <c r="AI56" s="729">
        <f>G56*(1+AG56)</f>
        <v>0</v>
      </c>
      <c r="AJ56" s="729">
        <f t="shared" si="62"/>
        <v>0</v>
      </c>
      <c r="AK56" s="729">
        <f t="shared" si="62"/>
        <v>0</v>
      </c>
      <c r="AL56" s="729">
        <f t="shared" si="62"/>
        <v>0</v>
      </c>
      <c r="AN56" s="81">
        <f t="shared" si="57"/>
        <v>0</v>
      </c>
      <c r="AO56" s="81">
        <f t="shared" si="51"/>
        <v>0</v>
      </c>
      <c r="AP56" s="81">
        <f t="shared" si="52"/>
        <v>0</v>
      </c>
      <c r="AQ56" s="81">
        <f t="shared" si="53"/>
        <v>0</v>
      </c>
      <c r="AR56" s="81">
        <f t="shared" si="54"/>
        <v>0</v>
      </c>
      <c r="AS56" s="81"/>
    </row>
    <row r="57" spans="2:45" x14ac:dyDescent="0.25">
      <c r="C57" s="1">
        <f t="shared" si="55"/>
        <v>6</v>
      </c>
      <c r="D57" s="1724"/>
      <c r="E57" s="1346" t="s">
        <v>13</v>
      </c>
      <c r="F57" s="46"/>
      <c r="G57" s="1347"/>
      <c r="H57" s="1348"/>
      <c r="I57" s="1349">
        <f t="shared" ref="I57:T57" si="63">SUM(I55:I56)</f>
        <v>11.874536768537938</v>
      </c>
      <c r="J57" s="1349">
        <f t="shared" si="63"/>
        <v>11.893973840245112</v>
      </c>
      <c r="K57" s="1349">
        <f t="shared" si="63"/>
        <v>11.932911615574357</v>
      </c>
      <c r="L57" s="1349">
        <f t="shared" si="63"/>
        <v>11.971976863047727</v>
      </c>
      <c r="M57" s="1349">
        <f t="shared" si="63"/>
        <v>12.011169999975847</v>
      </c>
      <c r="N57" s="1349">
        <f t="shared" si="63"/>
        <v>12.050491445035522</v>
      </c>
      <c r="O57" s="1349">
        <f t="shared" si="63"/>
        <v>12.089941618274183</v>
      </c>
      <c r="P57" s="1349">
        <f t="shared" si="63"/>
        <v>12.129520941114389</v>
      </c>
      <c r="Q57" s="1349">
        <f t="shared" si="63"/>
        <v>12.16922983635833</v>
      </c>
      <c r="R57" s="1349">
        <f t="shared" si="63"/>
        <v>12.20906872819234</v>
      </c>
      <c r="S57" s="1349">
        <f t="shared" si="63"/>
        <v>12.249038042191422</v>
      </c>
      <c r="T57" s="763">
        <f t="shared" si="63"/>
        <v>12.289138205323814</v>
      </c>
      <c r="U57" s="1349"/>
      <c r="V57" s="1349">
        <f>SUM(V55:V56)</f>
        <v>38.548787570526329</v>
      </c>
      <c r="W57" s="1349">
        <f>SUM(W55:W56)</f>
        <v>38.836823343157924</v>
      </c>
      <c r="X57" s="1349">
        <f>SUM(X55:X56)</f>
        <v>39.124859115789491</v>
      </c>
      <c r="Y57" s="763">
        <f>SUM(Y55:Y56)</f>
        <v>39.412894888421079</v>
      </c>
      <c r="Z57" s="1350"/>
      <c r="AA57" s="1349">
        <f>SUM(AA55:AA56)</f>
        <v>144.87099790387097</v>
      </c>
      <c r="AB57" s="1349">
        <f>SUM(AB55:AB56)</f>
        <v>155.92336491789482</v>
      </c>
      <c r="AC57" s="1349">
        <f>SUM(AC55:AC56)</f>
        <v>167.02510850004893</v>
      </c>
      <c r="AD57" s="1349">
        <f>SUM(AD55:AD56)</f>
        <v>178.91729622525244</v>
      </c>
      <c r="AE57" s="1349">
        <f>SUM(AE55:AE56)</f>
        <v>191.65620771649043</v>
      </c>
      <c r="AG57" s="76"/>
      <c r="AI57" s="729"/>
      <c r="AJ57" s="729"/>
      <c r="AK57" s="729"/>
      <c r="AL57" s="729"/>
      <c r="AN57" s="81">
        <f t="shared" si="57"/>
        <v>0.12000000000000001</v>
      </c>
      <c r="AO57" s="81">
        <f t="shared" si="51"/>
        <v>0.12480000000000001</v>
      </c>
      <c r="AP57" s="81">
        <f t="shared" si="52"/>
        <v>0.12979200000000002</v>
      </c>
      <c r="AQ57" s="81">
        <f t="shared" si="53"/>
        <v>0.13498368000000005</v>
      </c>
      <c r="AR57" s="81">
        <f t="shared" si="54"/>
        <v>0.14038302720000004</v>
      </c>
      <c r="AS57" s="81"/>
    </row>
    <row r="58" spans="2:45" x14ac:dyDescent="0.25">
      <c r="C58" s="1">
        <f t="shared" si="55"/>
        <v>7</v>
      </c>
      <c r="D58" s="81" t="s">
        <v>148</v>
      </c>
      <c r="E58" s="81"/>
      <c r="G58" s="286">
        <f>'A1'!AJ57</f>
        <v>0</v>
      </c>
      <c r="H58" s="76"/>
      <c r="I58" s="759">
        <f t="shared" ref="I58:T58" si="64">I$49*$G58/1000</f>
        <v>0</v>
      </c>
      <c r="J58" s="759">
        <f t="shared" si="64"/>
        <v>0</v>
      </c>
      <c r="K58" s="759">
        <f t="shared" si="64"/>
        <v>0</v>
      </c>
      <c r="L58" s="759">
        <f t="shared" si="64"/>
        <v>0</v>
      </c>
      <c r="M58" s="759">
        <f t="shared" si="64"/>
        <v>0</v>
      </c>
      <c r="N58" s="759">
        <f t="shared" si="64"/>
        <v>0</v>
      </c>
      <c r="O58" s="759">
        <f t="shared" si="64"/>
        <v>0</v>
      </c>
      <c r="P58" s="759">
        <f t="shared" si="64"/>
        <v>0</v>
      </c>
      <c r="Q58" s="759">
        <f t="shared" si="64"/>
        <v>0</v>
      </c>
      <c r="R58" s="759">
        <f t="shared" si="64"/>
        <v>0</v>
      </c>
      <c r="S58" s="759">
        <f t="shared" si="64"/>
        <v>0</v>
      </c>
      <c r="T58" s="760">
        <f t="shared" si="64"/>
        <v>0</v>
      </c>
      <c r="U58" s="759"/>
      <c r="V58" s="759">
        <f>V$49*$AI58/1000</f>
        <v>0</v>
      </c>
      <c r="W58" s="759">
        <f>W$49*$AI58/1000</f>
        <v>0</v>
      </c>
      <c r="X58" s="759">
        <f>X$49*$AI58/1000</f>
        <v>0</v>
      </c>
      <c r="Y58" s="763">
        <f>Y$49*$AI58/1000</f>
        <v>0</v>
      </c>
      <c r="Z58" s="80"/>
      <c r="AA58" s="759">
        <f>SUM(I58:T58)</f>
        <v>0</v>
      </c>
      <c r="AB58" s="759">
        <f>SUM(V58:Y58)</f>
        <v>0</v>
      </c>
      <c r="AC58" s="759">
        <f>AC$49*AJ58/1000</f>
        <v>0</v>
      </c>
      <c r="AD58" s="759">
        <f>AD$49*AK58/1000</f>
        <v>0</v>
      </c>
      <c r="AE58" s="759">
        <f>AE$49*AL58/1000</f>
        <v>0</v>
      </c>
      <c r="AG58" s="76">
        <f>AG52</f>
        <v>0.04</v>
      </c>
      <c r="AI58" s="729">
        <f>G58*(1+AG58)</f>
        <v>0</v>
      </c>
      <c r="AJ58" s="729">
        <f>AI58*(1+$AG58)</f>
        <v>0</v>
      </c>
      <c r="AK58" s="729">
        <f>AJ58*(1+$AG58)</f>
        <v>0</v>
      </c>
      <c r="AL58" s="729">
        <f>AK58*(1+$AG58)</f>
        <v>0</v>
      </c>
      <c r="AN58" s="81">
        <f t="shared" si="57"/>
        <v>0</v>
      </c>
      <c r="AO58" s="81">
        <f t="shared" si="51"/>
        <v>0</v>
      </c>
      <c r="AP58" s="81">
        <f t="shared" si="52"/>
        <v>0</v>
      </c>
      <c r="AQ58" s="81">
        <f t="shared" si="53"/>
        <v>0</v>
      </c>
      <c r="AR58" s="81">
        <f t="shared" si="54"/>
        <v>0</v>
      </c>
      <c r="AS58" s="81"/>
    </row>
    <row r="59" spans="2:45" s="106" customFormat="1" x14ac:dyDescent="0.25">
      <c r="C59" s="1">
        <f t="shared" si="55"/>
        <v>8</v>
      </c>
      <c r="D59" s="1218" t="s">
        <v>13</v>
      </c>
      <c r="E59" s="1221"/>
      <c r="F59" s="1222"/>
      <c r="G59" s="1223"/>
      <c r="H59" s="1222"/>
      <c r="I59" s="1219">
        <f t="shared" ref="I59:T59" si="65">I54+I57+I58</f>
        <v>15.227114316188484</v>
      </c>
      <c r="J59" s="1219">
        <f t="shared" si="65"/>
        <v>15.252039121140982</v>
      </c>
      <c r="K59" s="1219">
        <f t="shared" si="65"/>
        <v>15.301970328371517</v>
      </c>
      <c r="L59" s="1219">
        <f t="shared" si="65"/>
        <v>15.352064997381536</v>
      </c>
      <c r="M59" s="1219">
        <f t="shared" si="65"/>
        <v>15.402323663302361</v>
      </c>
      <c r="N59" s="1219">
        <f t="shared" si="65"/>
        <v>15.452746863017218</v>
      </c>
      <c r="O59" s="1219">
        <f t="shared" si="65"/>
        <v>15.503335135166928</v>
      </c>
      <c r="P59" s="1219">
        <f t="shared" si="65"/>
        <v>15.554089020155685</v>
      </c>
      <c r="Q59" s="1219">
        <f t="shared" si="65"/>
        <v>15.605009060156831</v>
      </c>
      <c r="R59" s="1219">
        <f t="shared" si="65"/>
        <v>15.656095799118646</v>
      </c>
      <c r="S59" s="1219">
        <f t="shared" si="65"/>
        <v>15.707349782770134</v>
      </c>
      <c r="T59" s="1220">
        <f t="shared" si="65"/>
        <v>15.758771558626904</v>
      </c>
      <c r="U59" s="1224"/>
      <c r="V59" s="1219">
        <f>V54+V57+V58</f>
        <v>49.432395261271594</v>
      </c>
      <c r="W59" s="1219">
        <f>W54+W57+W58</f>
        <v>49.801753133709511</v>
      </c>
      <c r="X59" s="1219">
        <f>X54+X57+X58</f>
        <v>50.171111006147392</v>
      </c>
      <c r="Y59" s="1220">
        <f>Y54+Y57+Y58</f>
        <v>50.540468878585294</v>
      </c>
      <c r="Z59" s="1225"/>
      <c r="AA59" s="1219">
        <f>AA54+AA57+AA58</f>
        <v>185.77290964539719</v>
      </c>
      <c r="AB59" s="1219">
        <f>AB54+AB57+AB58</f>
        <v>199.94572827971379</v>
      </c>
      <c r="AC59" s="1219">
        <f>AC54+AC57+AC58</f>
        <v>214.1818641332294</v>
      </c>
      <c r="AD59" s="1219">
        <f>AD54+AD57+AD58</f>
        <v>229.43161285951538</v>
      </c>
      <c r="AE59" s="1219">
        <f>AE54+AE57+AE58</f>
        <v>245.76714369511288</v>
      </c>
      <c r="AN59" s="81">
        <f t="shared" si="57"/>
        <v>0.15387999999999999</v>
      </c>
      <c r="AO59" s="81">
        <f t="shared" si="51"/>
        <v>0.16003520000000002</v>
      </c>
      <c r="AP59" s="81">
        <f t="shared" si="52"/>
        <v>0.16643660800000001</v>
      </c>
      <c r="AQ59" s="81">
        <f t="shared" si="53"/>
        <v>0.17309407232000004</v>
      </c>
      <c r="AR59" s="81">
        <f t="shared" si="54"/>
        <v>0.18001783521280001</v>
      </c>
      <c r="AS59" s="107"/>
    </row>
    <row r="60" spans="2:45" x14ac:dyDescent="0.25">
      <c r="T60" s="188"/>
      <c r="U60" s="36"/>
      <c r="Y60" s="188"/>
      <c r="AN60" s="81"/>
      <c r="AO60" s="81"/>
      <c r="AP60" s="81"/>
      <c r="AQ60" s="81"/>
      <c r="AR60" s="81"/>
      <c r="AS60" s="81"/>
    </row>
    <row r="61" spans="2:45" x14ac:dyDescent="0.25">
      <c r="B61" s="533" t="s">
        <v>883</v>
      </c>
      <c r="G61" s="36"/>
      <c r="H61" s="36"/>
      <c r="I61" s="36"/>
      <c r="J61" s="36"/>
      <c r="K61" s="36"/>
      <c r="L61" s="36"/>
      <c r="M61" s="36"/>
      <c r="N61" s="36"/>
      <c r="O61" s="36"/>
      <c r="P61" s="36"/>
      <c r="Q61" s="36"/>
      <c r="R61" s="36"/>
      <c r="S61" s="36"/>
      <c r="T61" s="51"/>
      <c r="U61" s="36"/>
      <c r="V61" s="36"/>
      <c r="W61" s="36"/>
      <c r="X61" s="36"/>
      <c r="Y61" s="51"/>
      <c r="AA61" s="36"/>
      <c r="AB61" s="36"/>
      <c r="AC61" s="36"/>
      <c r="AD61" s="36"/>
      <c r="AE61" s="36"/>
      <c r="AN61" s="81"/>
      <c r="AO61" s="81"/>
      <c r="AP61" s="81"/>
      <c r="AQ61" s="81"/>
      <c r="AR61" s="81"/>
      <c r="AS61" s="81"/>
    </row>
    <row r="62" spans="2:45" x14ac:dyDescent="0.25">
      <c r="D62" s="1" t="s">
        <v>151</v>
      </c>
      <c r="E62" s="81"/>
      <c r="G62" s="77"/>
      <c r="H62" s="76"/>
      <c r="I62" s="13">
        <f>'C5'!I15</f>
        <v>0</v>
      </c>
      <c r="J62" s="13">
        <f>'C5'!J15</f>
        <v>0</v>
      </c>
      <c r="K62" s="13">
        <f>'C5'!K15</f>
        <v>0</v>
      </c>
      <c r="L62" s="13">
        <f>'C5'!L15</f>
        <v>0</v>
      </c>
      <c r="M62" s="13">
        <f>'C5'!M15</f>
        <v>0</v>
      </c>
      <c r="N62" s="13">
        <f>'C5'!N15</f>
        <v>0</v>
      </c>
      <c r="O62" s="13">
        <f>'C5'!O15</f>
        <v>0</v>
      </c>
      <c r="P62" s="13">
        <f>'C5'!P15</f>
        <v>0</v>
      </c>
      <c r="Q62" s="13">
        <f>'C5'!Q15</f>
        <v>0</v>
      </c>
      <c r="R62" s="13">
        <f>'C5'!R15</f>
        <v>0</v>
      </c>
      <c r="S62" s="13">
        <f>'C5'!S15</f>
        <v>0</v>
      </c>
      <c r="T62" s="14">
        <f>'C5'!T15</f>
        <v>0</v>
      </c>
      <c r="U62" s="36">
        <f>'C5'!U15</f>
        <v>0</v>
      </c>
      <c r="V62" s="13">
        <f>'C5'!V15</f>
        <v>0</v>
      </c>
      <c r="W62" s="13">
        <f>'C5'!W15</f>
        <v>0</v>
      </c>
      <c r="X62" s="13">
        <f>'C5'!X15</f>
        <v>0</v>
      </c>
      <c r="Y62" s="14">
        <f>'C5'!Y15</f>
        <v>0</v>
      </c>
      <c r="AA62" s="13">
        <f>'C5'!AA15</f>
        <v>0</v>
      </c>
      <c r="AB62" s="13">
        <f>'C5'!AB15</f>
        <v>0</v>
      </c>
      <c r="AC62" s="13">
        <f>'C5'!AC15</f>
        <v>0</v>
      </c>
      <c r="AD62" s="13">
        <f>'C5'!AD15</f>
        <v>0</v>
      </c>
      <c r="AE62" s="13">
        <f>'C5'!AE15</f>
        <v>0</v>
      </c>
    </row>
    <row r="63" spans="2:45" x14ac:dyDescent="0.25">
      <c r="D63" s="1" t="s">
        <v>281</v>
      </c>
      <c r="E63" s="81"/>
      <c r="G63" s="765"/>
      <c r="H63" s="76"/>
      <c r="I63" s="13"/>
      <c r="J63" s="13"/>
      <c r="K63" s="13"/>
      <c r="L63" s="13"/>
      <c r="M63" s="13"/>
      <c r="N63" s="13"/>
      <c r="O63" s="13"/>
      <c r="P63" s="13"/>
      <c r="Q63" s="13"/>
      <c r="R63" s="13"/>
      <c r="S63" s="13"/>
      <c r="T63" s="14"/>
      <c r="U63" s="36"/>
      <c r="V63" s="13"/>
      <c r="W63" s="13"/>
      <c r="X63" s="13"/>
      <c r="Y63" s="14"/>
      <c r="AA63" s="13"/>
      <c r="AB63" s="13"/>
      <c r="AC63" s="13"/>
      <c r="AD63" s="13"/>
      <c r="AE63" s="13"/>
    </row>
    <row r="64" spans="2:45" x14ac:dyDescent="0.25">
      <c r="D64" s="81"/>
      <c r="E64" s="81"/>
      <c r="G64" s="77"/>
      <c r="H64" s="76"/>
      <c r="I64" s="13"/>
      <c r="J64" s="13"/>
      <c r="K64" s="13"/>
      <c r="L64" s="13"/>
      <c r="M64" s="13"/>
      <c r="N64" s="13"/>
      <c r="O64" s="13"/>
      <c r="P64" s="13"/>
      <c r="Q64" s="13"/>
      <c r="R64" s="13"/>
      <c r="S64" s="13"/>
      <c r="T64" s="14"/>
      <c r="U64" s="36"/>
      <c r="V64" s="13"/>
      <c r="W64" s="13"/>
      <c r="X64" s="13"/>
      <c r="Y64" s="14"/>
      <c r="AA64" s="13"/>
      <c r="AB64" s="13"/>
      <c r="AC64" s="13"/>
      <c r="AD64" s="13"/>
      <c r="AE64" s="13"/>
    </row>
    <row r="65" spans="2:44" x14ac:dyDescent="0.25">
      <c r="C65" s="1">
        <v>1</v>
      </c>
      <c r="D65" s="1722" t="s">
        <v>142</v>
      </c>
      <c r="E65" s="81" t="s">
        <v>143</v>
      </c>
      <c r="G65" s="286"/>
      <c r="H65" s="76"/>
      <c r="I65" s="759"/>
      <c r="J65" s="759"/>
      <c r="K65" s="759"/>
      <c r="L65" s="759"/>
      <c r="M65" s="759"/>
      <c r="N65" s="759"/>
      <c r="O65" s="759"/>
      <c r="P65" s="759"/>
      <c r="Q65" s="759"/>
      <c r="R65" s="759"/>
      <c r="S65" s="759"/>
      <c r="T65" s="760"/>
      <c r="U65" s="759"/>
      <c r="V65" s="759"/>
      <c r="W65" s="759"/>
      <c r="X65" s="759"/>
      <c r="Y65" s="760"/>
      <c r="Z65" s="80"/>
      <c r="AA65" s="759"/>
      <c r="AB65" s="759"/>
      <c r="AC65" s="759"/>
      <c r="AD65" s="759"/>
      <c r="AE65" s="759"/>
      <c r="AG65" s="76">
        <f>AG13</f>
        <v>0.04</v>
      </c>
      <c r="AI65" s="729">
        <f>G65*(1+AG65)</f>
        <v>0</v>
      </c>
      <c r="AJ65" s="729">
        <f t="shared" ref="AJ65:AL66" si="66">AI65*(1+$AG65)</f>
        <v>0</v>
      </c>
      <c r="AK65" s="729">
        <f t="shared" si="66"/>
        <v>0</v>
      </c>
      <c r="AL65" s="729">
        <f t="shared" si="66"/>
        <v>0</v>
      </c>
    </row>
    <row r="66" spans="2:44" ht="17.25" x14ac:dyDescent="0.4">
      <c r="C66" s="1">
        <f t="shared" ref="C66:C72" si="67">C65+1</f>
        <v>2</v>
      </c>
      <c r="D66" s="1723"/>
      <c r="E66" s="81" t="s">
        <v>144</v>
      </c>
      <c r="G66" s="286">
        <f>'A1'!AK53</f>
        <v>0</v>
      </c>
      <c r="H66" s="76"/>
      <c r="I66" s="761">
        <f t="shared" ref="I66:T66" si="68">I$62*$G66/1000</f>
        <v>0</v>
      </c>
      <c r="J66" s="761">
        <f t="shared" si="68"/>
        <v>0</v>
      </c>
      <c r="K66" s="761">
        <f t="shared" si="68"/>
        <v>0</v>
      </c>
      <c r="L66" s="761">
        <f t="shared" si="68"/>
        <v>0</v>
      </c>
      <c r="M66" s="761">
        <f t="shared" si="68"/>
        <v>0</v>
      </c>
      <c r="N66" s="761">
        <f t="shared" si="68"/>
        <v>0</v>
      </c>
      <c r="O66" s="761">
        <f t="shared" si="68"/>
        <v>0</v>
      </c>
      <c r="P66" s="761">
        <f t="shared" si="68"/>
        <v>0</v>
      </c>
      <c r="Q66" s="761">
        <f t="shared" si="68"/>
        <v>0</v>
      </c>
      <c r="R66" s="761">
        <f t="shared" si="68"/>
        <v>0</v>
      </c>
      <c r="S66" s="761">
        <f t="shared" si="68"/>
        <v>0</v>
      </c>
      <c r="T66" s="762">
        <f t="shared" si="68"/>
        <v>0</v>
      </c>
      <c r="U66" s="759"/>
      <c r="V66" s="761">
        <f>V$62*$AI66/1000</f>
        <v>0</v>
      </c>
      <c r="W66" s="761">
        <f>W$62*$AI66/1000</f>
        <v>0</v>
      </c>
      <c r="X66" s="761">
        <f>X$62*$AI66/1000</f>
        <v>0</v>
      </c>
      <c r="Y66" s="762">
        <f>Y$62*$AI66/1000</f>
        <v>0</v>
      </c>
      <c r="Z66" s="80"/>
      <c r="AA66" s="761">
        <f>SUM(I66:T66)</f>
        <v>0</v>
      </c>
      <c r="AB66" s="761">
        <f>SUM(V66:Y66)</f>
        <v>0</v>
      </c>
      <c r="AC66" s="761">
        <f>AC$62*AJ66/1000</f>
        <v>0</v>
      </c>
      <c r="AD66" s="761">
        <f>AD$62*AK66/1000</f>
        <v>0</v>
      </c>
      <c r="AE66" s="761">
        <f>AE$62*AL66/1000</f>
        <v>0</v>
      </c>
      <c r="AG66" s="76">
        <f>AG65</f>
        <v>0.04</v>
      </c>
      <c r="AI66" s="729">
        <f>G66*(1+AG66)</f>
        <v>0</v>
      </c>
      <c r="AJ66" s="729">
        <f t="shared" si="66"/>
        <v>0</v>
      </c>
      <c r="AK66" s="729">
        <f t="shared" si="66"/>
        <v>0</v>
      </c>
      <c r="AL66" s="729">
        <f t="shared" si="66"/>
        <v>0</v>
      </c>
      <c r="AN66" s="81" t="e">
        <f>AA66/AA$62</f>
        <v>#DIV/0!</v>
      </c>
      <c r="AO66" s="81" t="e">
        <f t="shared" ref="AO66:AR72" si="69">AB66/AB$62</f>
        <v>#DIV/0!</v>
      </c>
      <c r="AP66" s="81" t="e">
        <f t="shared" si="69"/>
        <v>#DIV/0!</v>
      </c>
      <c r="AQ66" s="81" t="e">
        <f t="shared" si="69"/>
        <v>#DIV/0!</v>
      </c>
      <c r="AR66" s="81" t="e">
        <f t="shared" si="69"/>
        <v>#DIV/0!</v>
      </c>
    </row>
    <row r="67" spans="2:44" x14ac:dyDescent="0.25">
      <c r="C67" s="1">
        <f t="shared" si="67"/>
        <v>3</v>
      </c>
      <c r="D67" s="1724"/>
      <c r="E67" s="1346" t="s">
        <v>13</v>
      </c>
      <c r="F67" s="46"/>
      <c r="G67" s="1347"/>
      <c r="H67" s="1348"/>
      <c r="I67" s="1349">
        <f t="shared" ref="I67:T67" si="70">SUM(I65:I66)</f>
        <v>0</v>
      </c>
      <c r="J67" s="1349">
        <f t="shared" si="70"/>
        <v>0</v>
      </c>
      <c r="K67" s="1349">
        <f t="shared" si="70"/>
        <v>0</v>
      </c>
      <c r="L67" s="1349">
        <f t="shared" si="70"/>
        <v>0</v>
      </c>
      <c r="M67" s="1349">
        <f t="shared" si="70"/>
        <v>0</v>
      </c>
      <c r="N67" s="1349">
        <f t="shared" si="70"/>
        <v>0</v>
      </c>
      <c r="O67" s="1349">
        <f t="shared" si="70"/>
        <v>0</v>
      </c>
      <c r="P67" s="1349">
        <f t="shared" si="70"/>
        <v>0</v>
      </c>
      <c r="Q67" s="1349">
        <f t="shared" si="70"/>
        <v>0</v>
      </c>
      <c r="R67" s="1349">
        <f t="shared" si="70"/>
        <v>0</v>
      </c>
      <c r="S67" s="1349">
        <f t="shared" si="70"/>
        <v>0</v>
      </c>
      <c r="T67" s="763">
        <f t="shared" si="70"/>
        <v>0</v>
      </c>
      <c r="U67" s="1349"/>
      <c r="V67" s="1349">
        <f>SUM(V65:V66)</f>
        <v>0</v>
      </c>
      <c r="W67" s="1349">
        <f>SUM(W65:W66)</f>
        <v>0</v>
      </c>
      <c r="X67" s="1349">
        <f>SUM(X65:X66)</f>
        <v>0</v>
      </c>
      <c r="Y67" s="763">
        <f>SUM(Y65:Y66)</f>
        <v>0</v>
      </c>
      <c r="Z67" s="1350"/>
      <c r="AA67" s="1349">
        <f>SUM(AA65:AA66)</f>
        <v>0</v>
      </c>
      <c r="AB67" s="1349">
        <f>SUM(AB65:AB66)</f>
        <v>0</v>
      </c>
      <c r="AC67" s="1349">
        <f>SUM(AC65:AC66)</f>
        <v>0</v>
      </c>
      <c r="AD67" s="1349">
        <f>SUM(AD65:AD66)</f>
        <v>0</v>
      </c>
      <c r="AE67" s="1349">
        <f>SUM(AE65:AE66)</f>
        <v>0</v>
      </c>
      <c r="AF67" s="46"/>
      <c r="AG67" s="1348"/>
      <c r="AH67" s="46"/>
      <c r="AI67" s="1356"/>
      <c r="AJ67" s="1356"/>
      <c r="AK67" s="1356"/>
      <c r="AL67" s="1356"/>
      <c r="AM67" s="46"/>
      <c r="AN67" s="1355" t="e">
        <f t="shared" ref="AN67:AN72" si="71">AA67/AA$62</f>
        <v>#DIV/0!</v>
      </c>
      <c r="AO67" s="1355" t="e">
        <f t="shared" si="69"/>
        <v>#DIV/0!</v>
      </c>
      <c r="AP67" s="1355" t="e">
        <f t="shared" si="69"/>
        <v>#DIV/0!</v>
      </c>
      <c r="AQ67" s="1355" t="e">
        <f t="shared" si="69"/>
        <v>#DIV/0!</v>
      </c>
      <c r="AR67" s="1355" t="e">
        <f t="shared" si="69"/>
        <v>#DIV/0!</v>
      </c>
    </row>
    <row r="68" spans="2:44" x14ac:dyDescent="0.25">
      <c r="C68" s="1">
        <f t="shared" si="67"/>
        <v>4</v>
      </c>
      <c r="D68" s="1722" t="s">
        <v>146</v>
      </c>
      <c r="E68" s="239" t="s">
        <v>147</v>
      </c>
      <c r="F68" s="23"/>
      <c r="G68" s="1370">
        <f>'A1'!AK55</f>
        <v>0</v>
      </c>
      <c r="H68" s="1351"/>
      <c r="I68" s="1352">
        <f t="shared" ref="I68:T69" si="72">I$62*$G68/1000</f>
        <v>0</v>
      </c>
      <c r="J68" s="1352">
        <f t="shared" si="72"/>
        <v>0</v>
      </c>
      <c r="K68" s="1352">
        <f t="shared" si="72"/>
        <v>0</v>
      </c>
      <c r="L68" s="1352">
        <f t="shared" si="72"/>
        <v>0</v>
      </c>
      <c r="M68" s="1352">
        <f t="shared" si="72"/>
        <v>0</v>
      </c>
      <c r="N68" s="1352">
        <f t="shared" si="72"/>
        <v>0</v>
      </c>
      <c r="O68" s="1352">
        <f t="shared" si="72"/>
        <v>0</v>
      </c>
      <c r="P68" s="1352">
        <f t="shared" si="72"/>
        <v>0</v>
      </c>
      <c r="Q68" s="1352">
        <f t="shared" si="72"/>
        <v>0</v>
      </c>
      <c r="R68" s="1352">
        <f t="shared" si="72"/>
        <v>0</v>
      </c>
      <c r="S68" s="1352">
        <f t="shared" si="72"/>
        <v>0</v>
      </c>
      <c r="T68" s="1353">
        <f t="shared" si="72"/>
        <v>0</v>
      </c>
      <c r="U68" s="1352"/>
      <c r="V68" s="1352">
        <f t="shared" ref="V68:Y69" si="73">V$62*$AI68/1000</f>
        <v>0</v>
      </c>
      <c r="W68" s="1352">
        <f t="shared" si="73"/>
        <v>0</v>
      </c>
      <c r="X68" s="1352">
        <f t="shared" si="73"/>
        <v>0</v>
      </c>
      <c r="Y68" s="1353">
        <f t="shared" si="73"/>
        <v>0</v>
      </c>
      <c r="Z68" s="1354"/>
      <c r="AA68" s="1352">
        <f>SUM(I68:T68)</f>
        <v>0</v>
      </c>
      <c r="AB68" s="1352">
        <f>SUM(V68:Y68)</f>
        <v>0</v>
      </c>
      <c r="AC68" s="1352">
        <f t="shared" ref="AC68:AE69" si="74">AC$62*AJ68/1000</f>
        <v>0</v>
      </c>
      <c r="AD68" s="1352">
        <f t="shared" si="74"/>
        <v>0</v>
      </c>
      <c r="AE68" s="1352">
        <f t="shared" si="74"/>
        <v>0</v>
      </c>
      <c r="AG68" s="76">
        <f>AG16</f>
        <v>0.04</v>
      </c>
      <c r="AI68" s="729">
        <f>G68*(1+AG68)</f>
        <v>0</v>
      </c>
      <c r="AJ68" s="729">
        <f t="shared" ref="AJ68:AL69" si="75">AI68*(1+$AG68)</f>
        <v>0</v>
      </c>
      <c r="AK68" s="729">
        <f t="shared" si="75"/>
        <v>0</v>
      </c>
      <c r="AL68" s="729">
        <f t="shared" si="75"/>
        <v>0</v>
      </c>
      <c r="AN68" s="81" t="e">
        <f t="shared" si="71"/>
        <v>#DIV/0!</v>
      </c>
      <c r="AO68" s="81" t="e">
        <f t="shared" si="69"/>
        <v>#DIV/0!</v>
      </c>
      <c r="AP68" s="81" t="e">
        <f t="shared" si="69"/>
        <v>#DIV/0!</v>
      </c>
      <c r="AQ68" s="81" t="e">
        <f t="shared" si="69"/>
        <v>#DIV/0!</v>
      </c>
      <c r="AR68" s="81" t="e">
        <f t="shared" si="69"/>
        <v>#DIV/0!</v>
      </c>
    </row>
    <row r="69" spans="2:44" ht="17.25" x14ac:dyDescent="0.4">
      <c r="C69" s="1">
        <f t="shared" si="67"/>
        <v>5</v>
      </c>
      <c r="D69" s="1723"/>
      <c r="E69" s="245" t="s">
        <v>65</v>
      </c>
      <c r="G69" s="286">
        <f>'A1'!AK56</f>
        <v>0</v>
      </c>
      <c r="H69" s="76"/>
      <c r="I69" s="761">
        <f t="shared" si="72"/>
        <v>0</v>
      </c>
      <c r="J69" s="761">
        <f t="shared" si="72"/>
        <v>0</v>
      </c>
      <c r="K69" s="761">
        <f t="shared" si="72"/>
        <v>0</v>
      </c>
      <c r="L69" s="761">
        <f t="shared" si="72"/>
        <v>0</v>
      </c>
      <c r="M69" s="761">
        <f t="shared" si="72"/>
        <v>0</v>
      </c>
      <c r="N69" s="761">
        <f t="shared" si="72"/>
        <v>0</v>
      </c>
      <c r="O69" s="761">
        <f t="shared" si="72"/>
        <v>0</v>
      </c>
      <c r="P69" s="761">
        <f t="shared" si="72"/>
        <v>0</v>
      </c>
      <c r="Q69" s="761">
        <f t="shared" si="72"/>
        <v>0</v>
      </c>
      <c r="R69" s="761">
        <f t="shared" si="72"/>
        <v>0</v>
      </c>
      <c r="S69" s="761">
        <f t="shared" si="72"/>
        <v>0</v>
      </c>
      <c r="T69" s="762">
        <f t="shared" si="72"/>
        <v>0</v>
      </c>
      <c r="U69" s="759"/>
      <c r="V69" s="761">
        <f t="shared" si="73"/>
        <v>0</v>
      </c>
      <c r="W69" s="761">
        <f t="shared" si="73"/>
        <v>0</v>
      </c>
      <c r="X69" s="761">
        <f t="shared" si="73"/>
        <v>0</v>
      </c>
      <c r="Y69" s="762">
        <f t="shared" si="73"/>
        <v>0</v>
      </c>
      <c r="Z69" s="80"/>
      <c r="AA69" s="761">
        <f>SUM(I69:T69)</f>
        <v>0</v>
      </c>
      <c r="AB69" s="761">
        <f>SUM(V69:Y69)</f>
        <v>0</v>
      </c>
      <c r="AC69" s="761">
        <f t="shared" si="74"/>
        <v>0</v>
      </c>
      <c r="AD69" s="761">
        <f t="shared" si="74"/>
        <v>0</v>
      </c>
      <c r="AE69" s="761">
        <f t="shared" si="74"/>
        <v>0</v>
      </c>
      <c r="AG69" s="76">
        <f>AG68</f>
        <v>0.04</v>
      </c>
      <c r="AI69" s="729">
        <f>G69*(1+AG69)</f>
        <v>0</v>
      </c>
      <c r="AJ69" s="729">
        <f t="shared" si="75"/>
        <v>0</v>
      </c>
      <c r="AK69" s="729">
        <f t="shared" si="75"/>
        <v>0</v>
      </c>
      <c r="AL69" s="729">
        <f t="shared" si="75"/>
        <v>0</v>
      </c>
      <c r="AN69" s="81" t="e">
        <f t="shared" si="71"/>
        <v>#DIV/0!</v>
      </c>
      <c r="AO69" s="81" t="e">
        <f t="shared" si="69"/>
        <v>#DIV/0!</v>
      </c>
      <c r="AP69" s="81" t="e">
        <f t="shared" si="69"/>
        <v>#DIV/0!</v>
      </c>
      <c r="AQ69" s="81" t="e">
        <f t="shared" si="69"/>
        <v>#DIV/0!</v>
      </c>
      <c r="AR69" s="81" t="e">
        <f t="shared" si="69"/>
        <v>#DIV/0!</v>
      </c>
    </row>
    <row r="70" spans="2:44" x14ac:dyDescent="0.25">
      <c r="C70" s="1">
        <f t="shared" si="67"/>
        <v>6</v>
      </c>
      <c r="D70" s="1724"/>
      <c r="E70" s="1346" t="s">
        <v>13</v>
      </c>
      <c r="F70" s="46"/>
      <c r="G70" s="1347"/>
      <c r="H70" s="1348"/>
      <c r="I70" s="1349">
        <f t="shared" ref="I70:T70" si="76">SUM(I68:I69)</f>
        <v>0</v>
      </c>
      <c r="J70" s="1349">
        <f t="shared" si="76"/>
        <v>0</v>
      </c>
      <c r="K70" s="1349">
        <f t="shared" si="76"/>
        <v>0</v>
      </c>
      <c r="L70" s="1349">
        <f t="shared" si="76"/>
        <v>0</v>
      </c>
      <c r="M70" s="1349">
        <f t="shared" si="76"/>
        <v>0</v>
      </c>
      <c r="N70" s="1349">
        <f t="shared" si="76"/>
        <v>0</v>
      </c>
      <c r="O70" s="1349">
        <f t="shared" si="76"/>
        <v>0</v>
      </c>
      <c r="P70" s="1349">
        <f t="shared" si="76"/>
        <v>0</v>
      </c>
      <c r="Q70" s="1349">
        <f t="shared" si="76"/>
        <v>0</v>
      </c>
      <c r="R70" s="1349">
        <f t="shared" si="76"/>
        <v>0</v>
      </c>
      <c r="S70" s="1349">
        <f t="shared" si="76"/>
        <v>0</v>
      </c>
      <c r="T70" s="763">
        <f t="shared" si="76"/>
        <v>0</v>
      </c>
      <c r="U70" s="1349"/>
      <c r="V70" s="1349">
        <f>SUM(V68:V69)</f>
        <v>0</v>
      </c>
      <c r="W70" s="1349">
        <f>SUM(W68:W69)</f>
        <v>0</v>
      </c>
      <c r="X70" s="1349">
        <f>SUM(X68:X69)</f>
        <v>0</v>
      </c>
      <c r="Y70" s="763">
        <f>SUM(Y68:Y69)</f>
        <v>0</v>
      </c>
      <c r="Z70" s="1350"/>
      <c r="AA70" s="1349">
        <f>SUM(AA68:AA69)</f>
        <v>0</v>
      </c>
      <c r="AB70" s="1349">
        <f>SUM(AB68:AB69)</f>
        <v>0</v>
      </c>
      <c r="AC70" s="1349">
        <f>SUM(AC68:AC69)</f>
        <v>0</v>
      </c>
      <c r="AD70" s="1349">
        <f>SUM(AD68:AD69)</f>
        <v>0</v>
      </c>
      <c r="AE70" s="1349">
        <f>SUM(AE68:AE69)</f>
        <v>0</v>
      </c>
      <c r="AG70" s="76"/>
      <c r="AI70" s="729"/>
      <c r="AJ70" s="729"/>
      <c r="AK70" s="729"/>
      <c r="AL70" s="729"/>
      <c r="AN70" s="81" t="e">
        <f t="shared" si="71"/>
        <v>#DIV/0!</v>
      </c>
      <c r="AO70" s="81" t="e">
        <f t="shared" si="69"/>
        <v>#DIV/0!</v>
      </c>
      <c r="AP70" s="81" t="e">
        <f t="shared" si="69"/>
        <v>#DIV/0!</v>
      </c>
      <c r="AQ70" s="81" t="e">
        <f t="shared" si="69"/>
        <v>#DIV/0!</v>
      </c>
      <c r="AR70" s="81" t="e">
        <f t="shared" si="69"/>
        <v>#DIV/0!</v>
      </c>
    </row>
    <row r="71" spans="2:44" x14ac:dyDescent="0.25">
      <c r="C71" s="1">
        <f t="shared" si="67"/>
        <v>7</v>
      </c>
      <c r="D71" s="81" t="s">
        <v>148</v>
      </c>
      <c r="E71" s="81"/>
      <c r="G71" s="286">
        <f>'A1'!AK57</f>
        <v>0</v>
      </c>
      <c r="H71" s="76"/>
      <c r="I71" s="759">
        <f t="shared" ref="I71:T71" si="77">I$62*$G71/1000</f>
        <v>0</v>
      </c>
      <c r="J71" s="759">
        <f t="shared" si="77"/>
        <v>0</v>
      </c>
      <c r="K71" s="759">
        <f t="shared" si="77"/>
        <v>0</v>
      </c>
      <c r="L71" s="759">
        <f t="shared" si="77"/>
        <v>0</v>
      </c>
      <c r="M71" s="759">
        <f t="shared" si="77"/>
        <v>0</v>
      </c>
      <c r="N71" s="759">
        <f t="shared" si="77"/>
        <v>0</v>
      </c>
      <c r="O71" s="759">
        <f t="shared" si="77"/>
        <v>0</v>
      </c>
      <c r="P71" s="759">
        <f t="shared" si="77"/>
        <v>0</v>
      </c>
      <c r="Q71" s="759">
        <f t="shared" si="77"/>
        <v>0</v>
      </c>
      <c r="R71" s="759">
        <f t="shared" si="77"/>
        <v>0</v>
      </c>
      <c r="S71" s="759">
        <f t="shared" si="77"/>
        <v>0</v>
      </c>
      <c r="T71" s="760">
        <f t="shared" si="77"/>
        <v>0</v>
      </c>
      <c r="U71" s="759"/>
      <c r="V71" s="759">
        <f>V$62*$AI71/1000</f>
        <v>0</v>
      </c>
      <c r="W71" s="759">
        <f>W$62*$AI71/1000</f>
        <v>0</v>
      </c>
      <c r="X71" s="759">
        <f>X$62*$AI71/1000</f>
        <v>0</v>
      </c>
      <c r="Y71" s="760">
        <f>Y$62*$AI71/1000</f>
        <v>0</v>
      </c>
      <c r="Z71" s="80"/>
      <c r="AA71" s="759">
        <f>SUM(I71:T71)</f>
        <v>0</v>
      </c>
      <c r="AB71" s="759">
        <f>SUM(V71:Y71)</f>
        <v>0</v>
      </c>
      <c r="AC71" s="759">
        <f>AC$62*AJ71/1000</f>
        <v>0</v>
      </c>
      <c r="AD71" s="759">
        <f>AD$62*AK71/1000</f>
        <v>0</v>
      </c>
      <c r="AE71" s="759">
        <f>AE$62*AL71/1000</f>
        <v>0</v>
      </c>
      <c r="AG71" s="76">
        <f>AG65</f>
        <v>0.04</v>
      </c>
      <c r="AI71" s="729">
        <f>G71*(1+AG71)</f>
        <v>0</v>
      </c>
      <c r="AJ71" s="729">
        <f>AI71*(1+$AG71)</f>
        <v>0</v>
      </c>
      <c r="AK71" s="729">
        <f>AJ71*(1+$AG71)</f>
        <v>0</v>
      </c>
      <c r="AL71" s="729">
        <f>AK71*(1+$AG71)</f>
        <v>0</v>
      </c>
      <c r="AN71" s="81" t="e">
        <f t="shared" si="71"/>
        <v>#DIV/0!</v>
      </c>
      <c r="AO71" s="81" t="e">
        <f t="shared" si="69"/>
        <v>#DIV/0!</v>
      </c>
      <c r="AP71" s="81" t="e">
        <f t="shared" si="69"/>
        <v>#DIV/0!</v>
      </c>
      <c r="AQ71" s="81" t="e">
        <f t="shared" si="69"/>
        <v>#DIV/0!</v>
      </c>
      <c r="AR71" s="81" t="e">
        <f t="shared" si="69"/>
        <v>#DIV/0!</v>
      </c>
    </row>
    <row r="72" spans="2:44" s="106" customFormat="1" x14ac:dyDescent="0.25">
      <c r="C72" s="1">
        <f t="shared" si="67"/>
        <v>8</v>
      </c>
      <c r="D72" s="1218" t="s">
        <v>13</v>
      </c>
      <c r="E72" s="1221"/>
      <c r="F72" s="1222"/>
      <c r="G72" s="1223"/>
      <c r="H72" s="1222"/>
      <c r="I72" s="1219">
        <f t="shared" ref="I72:T72" si="78">I67+I70+I71</f>
        <v>0</v>
      </c>
      <c r="J72" s="1219">
        <f t="shared" si="78"/>
        <v>0</v>
      </c>
      <c r="K72" s="1219">
        <f t="shared" si="78"/>
        <v>0</v>
      </c>
      <c r="L72" s="1219">
        <f t="shared" si="78"/>
        <v>0</v>
      </c>
      <c r="M72" s="1219">
        <f t="shared" si="78"/>
        <v>0</v>
      </c>
      <c r="N72" s="1219">
        <f t="shared" si="78"/>
        <v>0</v>
      </c>
      <c r="O72" s="1219">
        <f t="shared" si="78"/>
        <v>0</v>
      </c>
      <c r="P72" s="1219">
        <f t="shared" si="78"/>
        <v>0</v>
      </c>
      <c r="Q72" s="1219">
        <f t="shared" si="78"/>
        <v>0</v>
      </c>
      <c r="R72" s="1219">
        <f t="shared" si="78"/>
        <v>0</v>
      </c>
      <c r="S72" s="1219">
        <f t="shared" si="78"/>
        <v>0</v>
      </c>
      <c r="T72" s="1220">
        <f t="shared" si="78"/>
        <v>0</v>
      </c>
      <c r="U72" s="1224"/>
      <c r="V72" s="1219">
        <f>V67+V70+V71</f>
        <v>0</v>
      </c>
      <c r="W72" s="1219">
        <f>W67+W70+W71</f>
        <v>0</v>
      </c>
      <c r="X72" s="1219">
        <f>X67+X70+X71</f>
        <v>0</v>
      </c>
      <c r="Y72" s="1220">
        <f>Y67+Y70+Y71</f>
        <v>0</v>
      </c>
      <c r="Z72" s="1225"/>
      <c r="AA72" s="1219">
        <f>AA67+AA70+AA71</f>
        <v>0</v>
      </c>
      <c r="AB72" s="1219">
        <f>AB67+AB70+AB71</f>
        <v>0</v>
      </c>
      <c r="AC72" s="1219">
        <f>AC67+AC70+AC71</f>
        <v>0</v>
      </c>
      <c r="AD72" s="1219">
        <f>AD67+AD70+AD71</f>
        <v>0</v>
      </c>
      <c r="AE72" s="1219">
        <f>AE67+AE70+AE71</f>
        <v>0</v>
      </c>
      <c r="AN72" s="81" t="e">
        <f t="shared" si="71"/>
        <v>#DIV/0!</v>
      </c>
      <c r="AO72" s="81" t="e">
        <f t="shared" si="69"/>
        <v>#DIV/0!</v>
      </c>
      <c r="AP72" s="81" t="e">
        <f t="shared" si="69"/>
        <v>#DIV/0!</v>
      </c>
      <c r="AQ72" s="81" t="e">
        <f t="shared" si="69"/>
        <v>#DIV/0!</v>
      </c>
      <c r="AR72" s="81" t="e">
        <f t="shared" si="69"/>
        <v>#DIV/0!</v>
      </c>
    </row>
    <row r="73" spans="2:44" x14ac:dyDescent="0.25">
      <c r="T73" s="188"/>
      <c r="U73" s="36"/>
      <c r="Y73" s="188"/>
    </row>
    <row r="74" spans="2:44" x14ac:dyDescent="0.25">
      <c r="B74" s="1" t="s">
        <v>13</v>
      </c>
      <c r="T74" s="188"/>
      <c r="U74" s="36"/>
      <c r="Y74" s="188"/>
      <c r="AM74" s="313" t="s">
        <v>1058</v>
      </c>
      <c r="AN74" s="686">
        <f>AA10+AA23+AA36+AA49+AA62</f>
        <v>9163.2354854031037</v>
      </c>
      <c r="AO74" s="686">
        <f>AB10+AB23+AB36+AB49+AB62</f>
        <v>9482.9891838241674</v>
      </c>
      <c r="AP74" s="686">
        <f>AC10+AC23+AC36+AC49+AC62</f>
        <v>9767.4788593388912</v>
      </c>
      <c r="AQ74" s="686">
        <f>AD10+AD23+AD36+AD49+AD62</f>
        <v>10060.503225119059</v>
      </c>
      <c r="AR74" s="1345">
        <f>AE10+AE23+AE36+AE49+AE62</f>
        <v>10362.31832187263</v>
      </c>
    </row>
    <row r="75" spans="2:44" x14ac:dyDescent="0.25">
      <c r="C75" s="1">
        <v>3</v>
      </c>
      <c r="D75" s="82" t="str">
        <f>D52</f>
        <v>Pharmacy</v>
      </c>
      <c r="I75" s="759">
        <f>SUMIF($C$13:$C$72,$C75,I$13:I$72)</f>
        <v>29.283070887877244</v>
      </c>
      <c r="J75" s="759">
        <f t="shared" ref="J75:AE77" si="79">SUMIF($C$13:$C$72,$C75,J$13:J$72)</f>
        <v>29.331003464932543</v>
      </c>
      <c r="K75" s="759">
        <f t="shared" si="79"/>
        <v>29.427025537827511</v>
      </c>
      <c r="L75" s="759">
        <f t="shared" si="79"/>
        <v>29.523361962002479</v>
      </c>
      <c r="M75" s="759">
        <f t="shared" si="79"/>
        <v>29.62001376656174</v>
      </c>
      <c r="N75" s="759">
        <f t="shared" si="79"/>
        <v>29.716981983978613</v>
      </c>
      <c r="O75" s="759">
        <f t="shared" si="79"/>
        <v>29.814267650106451</v>
      </c>
      <c r="P75" s="759">
        <f t="shared" si="79"/>
        <v>29.91187180418973</v>
      </c>
      <c r="Q75" s="759">
        <f t="shared" si="79"/>
        <v>30.009795488875135</v>
      </c>
      <c r="R75" s="759">
        <f t="shared" si="79"/>
        <v>30.108039750222726</v>
      </c>
      <c r="S75" s="759">
        <f t="shared" si="79"/>
        <v>30.206605637717058</v>
      </c>
      <c r="T75" s="760">
        <f t="shared" si="79"/>
        <v>30.30549420427845</v>
      </c>
      <c r="U75" s="759"/>
      <c r="V75" s="759">
        <f t="shared" si="79"/>
        <v>95.062813907849929</v>
      </c>
      <c r="W75" s="759">
        <f t="shared" si="79"/>
        <v>95.773121359216162</v>
      </c>
      <c r="X75" s="759">
        <f t="shared" si="79"/>
        <v>96.483428810582438</v>
      </c>
      <c r="Y75" s="760">
        <f t="shared" si="79"/>
        <v>97.193736261948686</v>
      </c>
      <c r="Z75" s="80"/>
      <c r="AA75" s="759">
        <f t="shared" si="79"/>
        <v>357.25753213856967</v>
      </c>
      <c r="AB75" s="759">
        <f t="shared" si="79"/>
        <v>384.51310033959726</v>
      </c>
      <c r="AC75" s="759">
        <f t="shared" si="79"/>
        <v>411.89043308377649</v>
      </c>
      <c r="AD75" s="759">
        <f t="shared" si="79"/>
        <v>441.21703191934148</v>
      </c>
      <c r="AE75" s="759">
        <f t="shared" si="79"/>
        <v>472.63168459199858</v>
      </c>
      <c r="AN75" s="81">
        <f t="shared" ref="AN75:AR78" si="80">AA75*1000/AN$74</f>
        <v>38.988142638882913</v>
      </c>
      <c r="AO75" s="81">
        <f t="shared" si="80"/>
        <v>40.547668344438222</v>
      </c>
      <c r="AP75" s="81">
        <f t="shared" si="80"/>
        <v>42.16957507821575</v>
      </c>
      <c r="AQ75" s="81">
        <f t="shared" si="80"/>
        <v>43.856358081344382</v>
      </c>
      <c r="AR75" s="81">
        <f t="shared" si="80"/>
        <v>45.610612404598164</v>
      </c>
    </row>
    <row r="76" spans="2:44" x14ac:dyDescent="0.25">
      <c r="C76" s="1">
        <v>6</v>
      </c>
      <c r="D76" s="82" t="str">
        <f>D55</f>
        <v>Dialysis Supplies</v>
      </c>
      <c r="I76" s="759">
        <f t="shared" ref="I76:X77" si="81">SUMIF($C$13:$C$72,$C76,I$13:I$72)</f>
        <v>89.036701755387725</v>
      </c>
      <c r="J76" s="759">
        <f t="shared" si="81"/>
        <v>89.182443251693911</v>
      </c>
      <c r="K76" s="759">
        <f t="shared" si="81"/>
        <v>89.474403364040697</v>
      </c>
      <c r="L76" s="759">
        <f t="shared" si="81"/>
        <v>89.767319277822082</v>
      </c>
      <c r="M76" s="759">
        <f t="shared" si="81"/>
        <v>90.061194122083208</v>
      </c>
      <c r="N76" s="759">
        <f t="shared" si="81"/>
        <v>90.356031036113023</v>
      </c>
      <c r="O76" s="759">
        <f t="shared" si="81"/>
        <v>90.651833169477541</v>
      </c>
      <c r="P76" s="759">
        <f t="shared" si="81"/>
        <v>90.948603682053715</v>
      </c>
      <c r="Q76" s="759">
        <f t="shared" si="81"/>
        <v>91.246345744063078</v>
      </c>
      <c r="R76" s="759">
        <f t="shared" si="81"/>
        <v>91.545062536105718</v>
      </c>
      <c r="S76" s="759">
        <f t="shared" si="81"/>
        <v>91.84475724919406</v>
      </c>
      <c r="T76" s="760">
        <f t="shared" si="81"/>
        <v>92.145433084787157</v>
      </c>
      <c r="U76" s="759"/>
      <c r="V76" s="759">
        <f t="shared" si="81"/>
        <v>289.04343544942759</v>
      </c>
      <c r="W76" s="759">
        <f t="shared" si="81"/>
        <v>291.20316223983423</v>
      </c>
      <c r="X76" s="759">
        <f t="shared" si="81"/>
        <v>293.36288903024092</v>
      </c>
      <c r="Y76" s="760">
        <f t="shared" si="79"/>
        <v>295.52261582064762</v>
      </c>
      <c r="Z76" s="80"/>
      <c r="AA76" s="759">
        <f t="shared" si="79"/>
        <v>1086.2601282728219</v>
      </c>
      <c r="AB76" s="759">
        <f t="shared" si="79"/>
        <v>1169.1321025401505</v>
      </c>
      <c r="AC76" s="759">
        <f t="shared" si="79"/>
        <v>1252.374308241009</v>
      </c>
      <c r="AD76" s="759">
        <f t="shared" si="79"/>
        <v>1341.5433589877691</v>
      </c>
      <c r="AE76" s="759">
        <f t="shared" si="79"/>
        <v>1437.0612461476985</v>
      </c>
      <c r="AN76" s="81">
        <f t="shared" si="80"/>
        <v>118.54547774126486</v>
      </c>
      <c r="AO76" s="81">
        <f t="shared" si="80"/>
        <v>123.28729685091545</v>
      </c>
      <c r="AP76" s="81">
        <f t="shared" si="80"/>
        <v>128.21878872495205</v>
      </c>
      <c r="AQ76" s="81">
        <f t="shared" si="80"/>
        <v>133.34754027395016</v>
      </c>
      <c r="AR76" s="81">
        <f t="shared" si="80"/>
        <v>138.6814418849082</v>
      </c>
    </row>
    <row r="77" spans="2:44" x14ac:dyDescent="0.25">
      <c r="C77" s="1">
        <v>7</v>
      </c>
      <c r="D77" s="82" t="str">
        <f>D58</f>
        <v>Lab Expense</v>
      </c>
      <c r="I77" s="759">
        <f t="shared" si="81"/>
        <v>3.7393445342835174</v>
      </c>
      <c r="J77" s="759">
        <f t="shared" si="79"/>
        <v>3.7454653547641339</v>
      </c>
      <c r="K77" s="759">
        <f t="shared" si="79"/>
        <v>3.7577270336988735</v>
      </c>
      <c r="L77" s="759">
        <f t="shared" si="79"/>
        <v>3.7700288541797371</v>
      </c>
      <c r="M77" s="759">
        <f t="shared" si="79"/>
        <v>3.7823709476197029</v>
      </c>
      <c r="N77" s="759">
        <f t="shared" si="79"/>
        <v>3.7947534458619594</v>
      </c>
      <c r="O77" s="759">
        <f t="shared" si="79"/>
        <v>3.8071764811813136</v>
      </c>
      <c r="P77" s="759">
        <f t="shared" si="79"/>
        <v>3.8196401862856089</v>
      </c>
      <c r="Q77" s="759">
        <f t="shared" si="79"/>
        <v>3.8321446943171371</v>
      </c>
      <c r="R77" s="759">
        <f t="shared" si="79"/>
        <v>3.8446901388540664</v>
      </c>
      <c r="S77" s="759">
        <f t="shared" si="79"/>
        <v>3.8572766539118613</v>
      </c>
      <c r="T77" s="760">
        <f t="shared" si="79"/>
        <v>3.8699043739447196</v>
      </c>
      <c r="U77" s="759"/>
      <c r="V77" s="759">
        <f t="shared" si="79"/>
        <v>12.139184956421023</v>
      </c>
      <c r="W77" s="759">
        <f t="shared" si="79"/>
        <v>12.229888704538736</v>
      </c>
      <c r="X77" s="759">
        <f t="shared" si="79"/>
        <v>12.320592452656454</v>
      </c>
      <c r="Y77" s="760">
        <f t="shared" si="79"/>
        <v>12.411296200774171</v>
      </c>
      <c r="Z77" s="80"/>
      <c r="AA77" s="759">
        <f t="shared" si="79"/>
        <v>45.62052269890264</v>
      </c>
      <c r="AB77" s="759">
        <f t="shared" si="79"/>
        <v>49.100962314390387</v>
      </c>
      <c r="AC77" s="759">
        <f t="shared" si="79"/>
        <v>52.596950831174965</v>
      </c>
      <c r="AD77" s="759">
        <f t="shared" si="79"/>
        <v>56.341853730354643</v>
      </c>
      <c r="AE77" s="759">
        <f t="shared" si="79"/>
        <v>60.353393715955882</v>
      </c>
      <c r="AN77" s="81">
        <f t="shared" si="80"/>
        <v>4.978647855506436</v>
      </c>
      <c r="AO77" s="81">
        <f t="shared" si="80"/>
        <v>5.1777937697266925</v>
      </c>
      <c r="AP77" s="81">
        <f t="shared" si="80"/>
        <v>5.3849055205157592</v>
      </c>
      <c r="AQ77" s="81">
        <f t="shared" si="80"/>
        <v>5.6003017413363905</v>
      </c>
      <c r="AR77" s="81">
        <f t="shared" si="80"/>
        <v>5.824313810989846</v>
      </c>
    </row>
    <row r="78" spans="2:44" ht="15.75" thickBot="1" x14ac:dyDescent="0.3">
      <c r="D78" s="698" t="s">
        <v>152</v>
      </c>
      <c r="E78" s="698"/>
      <c r="F78" s="698"/>
      <c r="G78" s="767"/>
      <c r="H78" s="698"/>
      <c r="I78" s="768">
        <f>SUM(I75:I77)</f>
        <v>122.05911717754849</v>
      </c>
      <c r="J78" s="768">
        <f t="shared" ref="J78:AE78" si="82">SUM(J75:J77)</f>
        <v>122.25891207139058</v>
      </c>
      <c r="K78" s="768">
        <f t="shared" si="82"/>
        <v>122.65915593556707</v>
      </c>
      <c r="L78" s="768">
        <f t="shared" si="82"/>
        <v>123.06071009400431</v>
      </c>
      <c r="M78" s="768">
        <f t="shared" si="82"/>
        <v>123.46357883626465</v>
      </c>
      <c r="N78" s="768">
        <f t="shared" si="82"/>
        <v>123.86776646595359</v>
      </c>
      <c r="O78" s="768">
        <f t="shared" si="82"/>
        <v>124.27327730076532</v>
      </c>
      <c r="P78" s="768">
        <f t="shared" si="82"/>
        <v>124.68011567252906</v>
      </c>
      <c r="Q78" s="768">
        <f t="shared" si="82"/>
        <v>125.08828592725534</v>
      </c>
      <c r="R78" s="768">
        <f t="shared" si="82"/>
        <v>125.49779242518251</v>
      </c>
      <c r="S78" s="768">
        <f t="shared" si="82"/>
        <v>125.90863954082299</v>
      </c>
      <c r="T78" s="769">
        <f t="shared" si="82"/>
        <v>126.32083166301032</v>
      </c>
      <c r="U78" s="768"/>
      <c r="V78" s="768">
        <f t="shared" si="82"/>
        <v>396.24543431369858</v>
      </c>
      <c r="W78" s="768">
        <f t="shared" si="82"/>
        <v>399.20617230358909</v>
      </c>
      <c r="X78" s="768">
        <f t="shared" si="82"/>
        <v>402.16691029347982</v>
      </c>
      <c r="Y78" s="769">
        <f t="shared" si="82"/>
        <v>405.12764828337049</v>
      </c>
      <c r="Z78" s="770"/>
      <c r="AA78" s="768">
        <f t="shared" si="82"/>
        <v>1489.1381831102944</v>
      </c>
      <c r="AB78" s="768">
        <f t="shared" si="82"/>
        <v>1602.7461651941383</v>
      </c>
      <c r="AC78" s="768">
        <f t="shared" si="82"/>
        <v>1716.8616921559606</v>
      </c>
      <c r="AD78" s="768">
        <f t="shared" si="82"/>
        <v>1839.1022446374652</v>
      </c>
      <c r="AE78" s="768">
        <f t="shared" si="82"/>
        <v>1970.0463244556531</v>
      </c>
      <c r="AN78" s="81">
        <f t="shared" si="80"/>
        <v>162.51226823565423</v>
      </c>
      <c r="AO78" s="81">
        <f t="shared" si="80"/>
        <v>169.01275896508037</v>
      </c>
      <c r="AP78" s="81">
        <f t="shared" si="80"/>
        <v>175.77326932368356</v>
      </c>
      <c r="AQ78" s="81">
        <f t="shared" si="80"/>
        <v>182.80420009663092</v>
      </c>
      <c r="AR78" s="81">
        <f t="shared" si="80"/>
        <v>190.1163681004962</v>
      </c>
    </row>
    <row r="79" spans="2:44" ht="15.75" thickTop="1" x14ac:dyDescent="0.25">
      <c r="U79" s="36"/>
    </row>
    <row r="80" spans="2:44" x14ac:dyDescent="0.25">
      <c r="U80" s="36"/>
      <c r="AH80" s="4" t="s">
        <v>1059</v>
      </c>
    </row>
    <row r="81" spans="6:44" x14ac:dyDescent="0.25">
      <c r="T81" s="80">
        <f>SUM(I75:T75)</f>
        <v>357.25753213856962</v>
      </c>
      <c r="U81" s="36"/>
      <c r="Y81" s="80">
        <f>SUM(V75:Y75)</f>
        <v>384.5131003395972</v>
      </c>
      <c r="AA81" s="759">
        <f>ApndxA1!J23</f>
        <v>357.25753213856962</v>
      </c>
      <c r="AB81" s="759">
        <f>ApndxA1!K23</f>
        <v>384.5131003395972</v>
      </c>
      <c r="AC81" s="759">
        <f>ApndxA1!L23</f>
        <v>411.89043308377649</v>
      </c>
      <c r="AD81" s="759">
        <f>ApndxA1!M23</f>
        <v>441.21703191934148</v>
      </c>
      <c r="AE81" s="759">
        <f>ApndxA1!N23</f>
        <v>472.63168459199858</v>
      </c>
      <c r="AH81" s="81">
        <f>ApndxA1!J23</f>
        <v>357.25753213856962</v>
      </c>
      <c r="AI81" s="81">
        <f>ApndxA1!K23</f>
        <v>384.5131003395972</v>
      </c>
      <c r="AJ81" s="81">
        <f>ApndxA1!L23</f>
        <v>411.89043308377649</v>
      </c>
      <c r="AK81" s="81">
        <f>ApndxA1!M23</f>
        <v>441.21703191934148</v>
      </c>
      <c r="AL81" s="81">
        <f>ApndxA1!N23</f>
        <v>472.63168459199858</v>
      </c>
      <c r="AN81" s="81">
        <f>ApndxA1!P23</f>
        <v>38.988142638882898</v>
      </c>
      <c r="AO81" s="81">
        <f>ApndxA1!Q23</f>
        <v>40.547668344438215</v>
      </c>
      <c r="AP81" s="81">
        <f>ApndxA1!R23</f>
        <v>42.16957507821575</v>
      </c>
      <c r="AQ81" s="81">
        <f>ApndxA1!S23</f>
        <v>43.856358081344389</v>
      </c>
      <c r="AR81" s="81">
        <f>ApndxA1!T23</f>
        <v>45.610612404598164</v>
      </c>
    </row>
    <row r="82" spans="6:44" x14ac:dyDescent="0.25">
      <c r="T82" s="80">
        <f>SUM(I76:T76)</f>
        <v>1086.2601282728219</v>
      </c>
      <c r="U82" s="36"/>
      <c r="Y82" s="80">
        <f>SUM(V76:Y76)</f>
        <v>1169.1321025401503</v>
      </c>
      <c r="AA82" s="759">
        <f>ApndxA1!J24</f>
        <v>1086.2601282728219</v>
      </c>
      <c r="AB82" s="759">
        <f>ApndxA1!K24</f>
        <v>1169.1321025401503</v>
      </c>
      <c r="AC82" s="759">
        <f>ApndxA1!L24</f>
        <v>1252.374308241009</v>
      </c>
      <c r="AD82" s="759">
        <f>ApndxA1!M24</f>
        <v>1341.5433589877691</v>
      </c>
      <c r="AE82" s="759">
        <f>ApndxA1!N24</f>
        <v>1437.0612461476985</v>
      </c>
      <c r="AH82" s="81">
        <f>ApndxA1!J24</f>
        <v>1086.2601282728219</v>
      </c>
      <c r="AI82" s="81">
        <f>ApndxA1!K24</f>
        <v>1169.1321025401503</v>
      </c>
      <c r="AJ82" s="81">
        <f>ApndxA1!L24</f>
        <v>1252.374308241009</v>
      </c>
      <c r="AK82" s="81">
        <f>ApndxA1!M24</f>
        <v>1341.5433589877691</v>
      </c>
      <c r="AL82" s="81">
        <f>ApndxA1!N24</f>
        <v>1437.0612461476985</v>
      </c>
      <c r="AN82" s="81">
        <f>ApndxA1!P24</f>
        <v>118.54547774126486</v>
      </c>
      <c r="AO82" s="81">
        <f>ApndxA1!Q24</f>
        <v>123.28729685091542</v>
      </c>
      <c r="AP82" s="81">
        <f>ApndxA1!R24</f>
        <v>128.21878872495205</v>
      </c>
      <c r="AQ82" s="81">
        <f>ApndxA1!S24</f>
        <v>133.34754027395016</v>
      </c>
      <c r="AR82" s="81">
        <f>ApndxA1!T24</f>
        <v>138.6814418849082</v>
      </c>
    </row>
    <row r="83" spans="6:44" x14ac:dyDescent="0.25">
      <c r="I83" s="1607"/>
      <c r="J83" s="13"/>
      <c r="K83" s="13"/>
      <c r="T83" s="80">
        <f>SUM(I77:T77)</f>
        <v>45.62052269890264</v>
      </c>
      <c r="U83" s="36"/>
      <c r="Y83" s="80">
        <f>SUM(V77:Y77)</f>
        <v>49.100962314390387</v>
      </c>
      <c r="AA83" s="759">
        <f>ApndxA1!J25</f>
        <v>45.62052269890264</v>
      </c>
      <c r="AB83" s="759">
        <f>ApndxA1!K25</f>
        <v>49.100962314390387</v>
      </c>
      <c r="AC83" s="759">
        <f>ApndxA1!L25</f>
        <v>52.596950831174965</v>
      </c>
      <c r="AD83" s="759">
        <f>ApndxA1!M25</f>
        <v>56.341853730354643</v>
      </c>
      <c r="AE83" s="759">
        <f>ApndxA1!N25</f>
        <v>60.353393715955882</v>
      </c>
      <c r="AH83" s="81">
        <f>ApndxA1!J25</f>
        <v>45.62052269890264</v>
      </c>
      <c r="AI83" s="81">
        <f>ApndxA1!K25</f>
        <v>49.100962314390387</v>
      </c>
      <c r="AJ83" s="81">
        <f>ApndxA1!L25</f>
        <v>52.596950831174965</v>
      </c>
      <c r="AK83" s="81">
        <f>ApndxA1!M25</f>
        <v>56.341853730354643</v>
      </c>
      <c r="AL83" s="81">
        <f>ApndxA1!N25</f>
        <v>60.353393715955882</v>
      </c>
      <c r="AN83" s="81">
        <f>ApndxA1!P25</f>
        <v>4.978647855506436</v>
      </c>
      <c r="AO83" s="81">
        <f>ApndxA1!Q25</f>
        <v>5.1777937697266925</v>
      </c>
      <c r="AP83" s="81">
        <f>ApndxA1!R25</f>
        <v>5.3849055205157583</v>
      </c>
      <c r="AQ83" s="81">
        <f>ApndxA1!S25</f>
        <v>5.6003017413363914</v>
      </c>
      <c r="AR83" s="81">
        <f>ApndxA1!T25</f>
        <v>5.824313810989846</v>
      </c>
    </row>
    <row r="84" spans="6:44" x14ac:dyDescent="0.25">
      <c r="T84" s="80">
        <f>SUM(I78:T78)</f>
        <v>1489.1381831102942</v>
      </c>
      <c r="U84" s="36"/>
      <c r="Y84" s="80">
        <f>SUM(V78:Y78)</f>
        <v>1602.746165194138</v>
      </c>
      <c r="AA84" s="759">
        <f>ApndxA1!J26</f>
        <v>2459.2925902784514</v>
      </c>
      <c r="AB84" s="759">
        <f>ApndxA1!K26</f>
        <v>2629.1574483554373</v>
      </c>
      <c r="AC84" s="759">
        <f>ApndxA1!L26</f>
        <v>2798.9478063426727</v>
      </c>
      <c r="AD84" s="759">
        <f>ApndxA1!M26</f>
        <v>2980.0487785754644</v>
      </c>
      <c r="AE84" s="759">
        <f>ApndxA1!N26</f>
        <v>3173.2267189697127</v>
      </c>
      <c r="AN84" s="81"/>
      <c r="AO84" s="81"/>
      <c r="AP84" s="81"/>
      <c r="AQ84" s="81"/>
      <c r="AR84" s="81"/>
    </row>
    <row r="85" spans="6:44" x14ac:dyDescent="0.25">
      <c r="I85" s="1608"/>
      <c r="J85" s="1608"/>
      <c r="K85" s="1608"/>
    </row>
    <row r="86" spans="6:44" x14ac:dyDescent="0.25">
      <c r="I86" s="1608"/>
      <c r="J86" s="1608"/>
      <c r="K86" s="1608"/>
    </row>
    <row r="87" spans="6:44" x14ac:dyDescent="0.25">
      <c r="J87" s="1609"/>
      <c r="K87" s="1609"/>
    </row>
    <row r="88" spans="6:44" x14ac:dyDescent="0.25">
      <c r="J88" s="1609"/>
      <c r="K88" s="1609"/>
    </row>
    <row r="89" spans="6:44" x14ac:dyDescent="0.25">
      <c r="J89" s="1610"/>
      <c r="K89" s="1610"/>
    </row>
    <row r="90" spans="6:44" x14ac:dyDescent="0.25">
      <c r="J90" s="1610"/>
      <c r="K90" s="1611"/>
    </row>
    <row r="92" spans="6:44" x14ac:dyDescent="0.25">
      <c r="J92" s="1612"/>
    </row>
    <row r="94" spans="6:44" x14ac:dyDescent="0.25">
      <c r="F94" s="106"/>
    </row>
    <row r="97" spans="6:12" x14ac:dyDescent="0.25">
      <c r="I97" s="1607"/>
      <c r="K97" s="1607"/>
    </row>
    <row r="98" spans="6:12" ht="36" customHeight="1" x14ac:dyDescent="0.25">
      <c r="F98" s="1721"/>
      <c r="G98" s="1721"/>
      <c r="I98" s="1607"/>
      <c r="J98" s="1607"/>
      <c r="K98" s="1607"/>
      <c r="L98" s="1607"/>
    </row>
    <row r="99" spans="6:12" x14ac:dyDescent="0.25">
      <c r="I99" s="1607"/>
      <c r="J99" s="1607"/>
      <c r="K99" s="1607"/>
      <c r="L99" s="1607"/>
    </row>
    <row r="101" spans="6:12" x14ac:dyDescent="0.25">
      <c r="J101" s="1608"/>
      <c r="K101" s="1608"/>
      <c r="L101" s="1608"/>
    </row>
    <row r="102" spans="6:12" x14ac:dyDescent="0.25">
      <c r="I102" s="1608"/>
      <c r="J102" s="1608"/>
      <c r="K102" s="1608"/>
      <c r="L102" s="1608"/>
    </row>
    <row r="103" spans="6:12" x14ac:dyDescent="0.25">
      <c r="J103" s="1609"/>
      <c r="K103" s="1609"/>
      <c r="L103" s="1609"/>
    </row>
    <row r="104" spans="6:12" x14ac:dyDescent="0.25">
      <c r="J104" s="1609"/>
      <c r="K104" s="1609"/>
      <c r="L104" s="1609"/>
    </row>
    <row r="105" spans="6:12" x14ac:dyDescent="0.25">
      <c r="J105" s="1610"/>
      <c r="K105" s="1610"/>
      <c r="L105" s="1610"/>
    </row>
    <row r="106" spans="6:12" x14ac:dyDescent="0.25">
      <c r="J106" s="1610"/>
      <c r="K106" s="1611"/>
    </row>
    <row r="108" spans="6:12" x14ac:dyDescent="0.25">
      <c r="J108" s="1609"/>
    </row>
  </sheetData>
  <mergeCells count="11">
    <mergeCell ref="F98:G98"/>
    <mergeCell ref="D13:D15"/>
    <mergeCell ref="D16:D18"/>
    <mergeCell ref="D52:D54"/>
    <mergeCell ref="D39:D41"/>
    <mergeCell ref="D42:D44"/>
    <mergeCell ref="D65:D67"/>
    <mergeCell ref="D68:D70"/>
    <mergeCell ref="D55:D57"/>
    <mergeCell ref="D26:D28"/>
    <mergeCell ref="D29:D31"/>
  </mergeCells>
  <printOptions horizontalCentered="1"/>
  <pageMargins left="0.5" right="0.5" top="0.75" bottom="0.75" header="0.3" footer="0.3"/>
  <pageSetup scale="45" orientation="landscape" r:id="rId1"/>
  <ignoredErrors>
    <ignoredError sqref="I15:AE24 I57:AE65 I70:AE70 I67:AE67 U66 Z66:AB66 U71 Z71:AB71 I26:AE54 I25:O25 Q25:AE25" formula="1"/>
  </ignoredError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>
    <tabColor theme="9" tint="-0.249977111117893"/>
    <pageSetUpPr fitToPage="1"/>
  </sheetPr>
  <dimension ref="A1:AR104"/>
  <sheetViews>
    <sheetView showGridLines="0" view="pageBreakPreview" topLeftCell="A2" zoomScale="80" zoomScaleNormal="132" zoomScaleSheetLayoutView="80" workbookViewId="0">
      <pane xSplit="7" ySplit="6" topLeftCell="H8" activePane="bottomRight" state="frozenSplit"/>
      <selection pane="topRight"/>
      <selection pane="bottomLeft"/>
      <selection pane="bottomRight" activeCell="H8" sqref="H8"/>
    </sheetView>
  </sheetViews>
  <sheetFormatPr defaultColWidth="9.42578125" defaultRowHeight="15" x14ac:dyDescent="0.25"/>
  <cols>
    <col min="1" max="1" width="1.5703125" style="1" customWidth="1"/>
    <col min="2" max="3" width="3" style="1" customWidth="1"/>
    <col min="4" max="4" width="3.5703125" style="1" customWidth="1"/>
    <col min="5" max="5" width="3" style="1" customWidth="1"/>
    <col min="6" max="6" width="18.42578125" style="1" customWidth="1"/>
    <col min="7" max="7" width="9.5703125" style="173" customWidth="1"/>
    <col min="8" max="8" width="9" style="1" customWidth="1"/>
    <col min="9" max="20" width="8.42578125" style="1" customWidth="1"/>
    <col min="21" max="21" width="2.42578125" style="1" customWidth="1"/>
    <col min="22" max="25" width="7.5703125" style="1" customWidth="1"/>
    <col min="26" max="26" width="3.42578125" style="1" customWidth="1"/>
    <col min="27" max="32" width="8.5703125" style="1" customWidth="1"/>
    <col min="33" max="16384" width="9.42578125" style="1"/>
  </cols>
  <sheetData>
    <row r="1" spans="1:44" ht="6" customHeight="1" thickBot="1" x14ac:dyDescent="0.3">
      <c r="B1" s="85"/>
      <c r="C1" s="86"/>
      <c r="D1" s="85"/>
      <c r="E1" s="85"/>
      <c r="F1" s="85"/>
      <c r="G1" s="505"/>
      <c r="H1" s="85"/>
      <c r="I1" s="85"/>
      <c r="J1" s="85"/>
      <c r="K1" s="85"/>
      <c r="L1" s="85"/>
      <c r="M1" s="85"/>
      <c r="N1" s="85"/>
      <c r="O1" s="85"/>
      <c r="P1" s="85"/>
      <c r="Q1" s="85"/>
      <c r="R1" s="85"/>
      <c r="S1" s="85"/>
      <c r="T1" s="85"/>
      <c r="U1" s="85"/>
      <c r="V1" s="85"/>
      <c r="W1" s="85"/>
      <c r="X1" s="85"/>
      <c r="Y1" s="85"/>
      <c r="Z1" s="85"/>
      <c r="AA1" s="85"/>
      <c r="AB1" s="85"/>
      <c r="AC1" s="85"/>
      <c r="AD1" s="85"/>
      <c r="AE1" s="85"/>
    </row>
    <row r="2" spans="1:44" ht="16.5" thickTop="1" x14ac:dyDescent="0.25">
      <c r="B2" s="110" t="str">
        <f>MainOutline!B2</f>
        <v>WB Santa Cruz</v>
      </c>
      <c r="C2" s="111"/>
      <c r="D2" s="111"/>
      <c r="E2" s="111"/>
      <c r="F2" s="111"/>
      <c r="G2" s="506"/>
      <c r="H2" s="111"/>
      <c r="I2" s="508" t="str">
        <f>'A1'!$C$90</f>
        <v>Acquisition of an existing facility</v>
      </c>
      <c r="J2" s="111"/>
      <c r="K2" s="111"/>
      <c r="L2" s="111"/>
      <c r="M2" s="111"/>
      <c r="N2" s="111"/>
      <c r="O2" s="111"/>
      <c r="P2" s="111"/>
      <c r="Q2" s="111"/>
      <c r="R2" s="111"/>
      <c r="S2" s="111"/>
      <c r="T2" s="1409"/>
      <c r="U2" s="111"/>
      <c r="V2" s="111"/>
      <c r="W2" s="111"/>
      <c r="X2" s="111"/>
      <c r="Y2" s="111"/>
      <c r="Z2" s="111"/>
      <c r="AA2" s="111"/>
      <c r="AB2" s="111"/>
      <c r="AC2" s="111"/>
      <c r="AD2" s="111"/>
      <c r="AE2" s="1409">
        <f>$A3</f>
        <v>38</v>
      </c>
      <c r="AK2" s="82">
        <f>D9</f>
        <v>0</v>
      </c>
      <c r="AL2" s="82" t="str">
        <f>D11</f>
        <v>Treatments</v>
      </c>
    </row>
    <row r="3" spans="1:44" ht="15.75" x14ac:dyDescent="0.25">
      <c r="A3" s="123">
        <f>MainOutline!B53</f>
        <v>38</v>
      </c>
      <c r="B3" s="102" t="str">
        <f>MainOutline!C53</f>
        <v>Appendix C8</v>
      </c>
      <c r="C3" s="89"/>
      <c r="D3" s="89"/>
      <c r="E3" s="89"/>
      <c r="F3" s="89"/>
      <c r="G3" s="509"/>
      <c r="H3" s="89"/>
      <c r="I3" s="89"/>
      <c r="J3" s="89"/>
      <c r="K3" s="89"/>
      <c r="L3" s="89"/>
      <c r="M3" s="89"/>
      <c r="N3" s="89"/>
      <c r="O3" s="89"/>
      <c r="P3" s="89"/>
      <c r="Q3" s="89"/>
      <c r="R3" s="89"/>
      <c r="S3" s="89"/>
      <c r="T3" s="89"/>
      <c r="U3" s="89"/>
      <c r="V3" s="89"/>
      <c r="W3" s="89"/>
      <c r="X3" s="89"/>
      <c r="Y3" s="89"/>
      <c r="Z3" s="89"/>
      <c r="AA3" s="89"/>
      <c r="AB3" s="89"/>
      <c r="AC3" s="89"/>
      <c r="AD3" s="89"/>
      <c r="AE3" s="89"/>
      <c r="AI3" s="1" t="s">
        <v>114</v>
      </c>
      <c r="AK3" s="1">
        <f>'A1'!AG9</f>
        <v>0</v>
      </c>
      <c r="AL3" s="1">
        <f>'A1'!AH9</f>
        <v>0</v>
      </c>
    </row>
    <row r="4" spans="1:44" ht="16.5" thickBot="1" x14ac:dyDescent="0.3">
      <c r="B4" s="104" t="s">
        <v>1034</v>
      </c>
      <c r="C4" s="97"/>
      <c r="D4" s="97"/>
      <c r="E4" s="97"/>
      <c r="F4" s="97"/>
      <c r="G4" s="510"/>
      <c r="H4" s="97"/>
      <c r="I4" s="97"/>
      <c r="J4" s="97"/>
      <c r="K4" s="97"/>
      <c r="L4" s="97"/>
      <c r="M4" s="97"/>
      <c r="N4" s="97"/>
      <c r="O4" s="97"/>
      <c r="P4" s="97"/>
      <c r="Q4" s="97"/>
      <c r="R4" s="97"/>
      <c r="S4" s="97"/>
      <c r="T4" s="388"/>
      <c r="U4" s="97"/>
      <c r="V4" s="97"/>
      <c r="W4" s="97"/>
      <c r="X4" s="97"/>
      <c r="Y4" s="97"/>
      <c r="Z4" s="97"/>
      <c r="AA4" s="97"/>
      <c r="AB4" s="97"/>
      <c r="AC4" s="97"/>
      <c r="AD4" s="97"/>
      <c r="AE4" s="138" t="s">
        <v>19</v>
      </c>
      <c r="AI4" s="1" t="s">
        <v>110</v>
      </c>
      <c r="AK4" s="1">
        <f>'A1'!AG43</f>
        <v>0</v>
      </c>
      <c r="AL4" s="1">
        <f>'A1'!AH43</f>
        <v>0</v>
      </c>
    </row>
    <row r="5" spans="1:44" ht="15.75" thickTop="1" x14ac:dyDescent="0.25">
      <c r="AI5" s="1" t="s">
        <v>98</v>
      </c>
    </row>
    <row r="6" spans="1:44" ht="17.25" x14ac:dyDescent="0.4">
      <c r="I6" s="681" t="s">
        <v>471</v>
      </c>
      <c r="J6" s="715"/>
      <c r="K6" s="715"/>
      <c r="L6" s="715"/>
      <c r="M6" s="715"/>
      <c r="N6" s="715"/>
      <c r="O6" s="715"/>
      <c r="P6" s="715"/>
      <c r="Q6" s="715"/>
      <c r="R6" s="715"/>
      <c r="S6" s="715"/>
      <c r="T6" s="716"/>
      <c r="V6" s="681" t="s">
        <v>472</v>
      </c>
      <c r="W6" s="715"/>
      <c r="X6" s="715"/>
      <c r="Y6" s="716"/>
      <c r="AA6" s="681" t="s">
        <v>133</v>
      </c>
      <c r="AB6" s="715"/>
      <c r="AC6" s="715"/>
      <c r="AD6" s="715"/>
      <c r="AE6" s="715"/>
    </row>
    <row r="7" spans="1:44" s="173" customFormat="1" ht="15.75" thickBot="1" x14ac:dyDescent="0.3">
      <c r="I7" s="717">
        <v>1</v>
      </c>
      <c r="J7" s="717">
        <f>I7+1</f>
        <v>2</v>
      </c>
      <c r="K7" s="717">
        <f t="shared" ref="K7:T7" si="0">J7+1</f>
        <v>3</v>
      </c>
      <c r="L7" s="717">
        <f t="shared" si="0"/>
        <v>4</v>
      </c>
      <c r="M7" s="717">
        <f t="shared" si="0"/>
        <v>5</v>
      </c>
      <c r="N7" s="717">
        <f t="shared" si="0"/>
        <v>6</v>
      </c>
      <c r="O7" s="717">
        <f t="shared" si="0"/>
        <v>7</v>
      </c>
      <c r="P7" s="717">
        <f t="shared" si="0"/>
        <v>8</v>
      </c>
      <c r="Q7" s="717">
        <f t="shared" si="0"/>
        <v>9</v>
      </c>
      <c r="R7" s="717">
        <f t="shared" si="0"/>
        <v>10</v>
      </c>
      <c r="S7" s="717">
        <f t="shared" si="0"/>
        <v>11</v>
      </c>
      <c r="T7" s="718">
        <f t="shared" si="0"/>
        <v>12</v>
      </c>
      <c r="U7" s="1"/>
      <c r="V7" s="719" t="s">
        <v>24</v>
      </c>
      <c r="W7" s="719" t="s">
        <v>25</v>
      </c>
      <c r="X7" s="719" t="s">
        <v>26</v>
      </c>
      <c r="Y7" s="720" t="s">
        <v>27</v>
      </c>
      <c r="Z7" s="1"/>
      <c r="AA7" s="684">
        <v>1</v>
      </c>
      <c r="AB7" s="684">
        <v>2</v>
      </c>
      <c r="AC7" s="684">
        <v>3</v>
      </c>
      <c r="AD7" s="684">
        <v>4</v>
      </c>
      <c r="AE7" s="685">
        <v>5</v>
      </c>
      <c r="AG7" s="82"/>
    </row>
    <row r="8" spans="1:44" ht="15.75" x14ac:dyDescent="0.25">
      <c r="B8" s="513" t="s">
        <v>251</v>
      </c>
      <c r="T8" s="188"/>
      <c r="Y8" s="188"/>
      <c r="AG8" s="173"/>
      <c r="AH8" s="721">
        <v>1</v>
      </c>
      <c r="AI8" s="721">
        <v>2</v>
      </c>
      <c r="AJ8" s="721">
        <f>AC7</f>
        <v>3</v>
      </c>
      <c r="AK8" s="721">
        <f>AD7</f>
        <v>4</v>
      </c>
      <c r="AL8" s="721">
        <f>AE7</f>
        <v>5</v>
      </c>
      <c r="AM8" s="173"/>
      <c r="AN8" s="173"/>
      <c r="AO8" s="721">
        <v>2</v>
      </c>
      <c r="AP8" s="721">
        <v>3</v>
      </c>
      <c r="AQ8" s="721">
        <v>4</v>
      </c>
      <c r="AR8" s="722">
        <v>5</v>
      </c>
    </row>
    <row r="9" spans="1:44" x14ac:dyDescent="0.25">
      <c r="C9" s="82" t="str">
        <f>'A1'!E8</f>
        <v>Hemo Dialysis</v>
      </c>
      <c r="D9" s="82"/>
      <c r="G9" s="377">
        <f>IF(SUM('C1'!G10:'C1'!G11)&gt;0,1,0)</f>
        <v>0</v>
      </c>
      <c r="H9" s="173"/>
      <c r="I9" s="519"/>
      <c r="J9" s="519"/>
      <c r="K9" s="519"/>
      <c r="L9" s="519"/>
      <c r="M9" s="519"/>
      <c r="N9" s="519"/>
      <c r="O9" s="519"/>
      <c r="P9" s="519"/>
      <c r="Q9" s="519"/>
      <c r="R9" s="519"/>
      <c r="S9" s="519"/>
      <c r="T9" s="723"/>
      <c r="U9" s="528"/>
      <c r="V9" s="519"/>
      <c r="W9" s="519"/>
      <c r="X9" s="519"/>
      <c r="Y9" s="723"/>
      <c r="AA9" s="519"/>
      <c r="AB9" s="519"/>
      <c r="AC9" s="519"/>
      <c r="AD9" s="519"/>
      <c r="AE9" s="519"/>
      <c r="AG9" s="435"/>
      <c r="AH9" s="173">
        <f>'A3'!H33*'A3'!T33</f>
        <v>0</v>
      </c>
      <c r="AI9" s="173">
        <f t="shared" ref="AI9:AL11" si="1">AH9*(1+AO9)</f>
        <v>0</v>
      </c>
      <c r="AJ9" s="173">
        <f t="shared" si="1"/>
        <v>0</v>
      </c>
      <c r="AK9" s="173">
        <f t="shared" si="1"/>
        <v>0</v>
      </c>
      <c r="AL9" s="173">
        <f t="shared" si="1"/>
        <v>0</v>
      </c>
      <c r="AM9" s="173"/>
      <c r="AN9" s="173"/>
      <c r="AO9" s="77">
        <f>'A1'!E47</f>
        <v>0.05</v>
      </c>
      <c r="AP9" s="77">
        <f>'A1'!E48</f>
        <v>0.05</v>
      </c>
      <c r="AQ9" s="77">
        <f>'A1'!E49</f>
        <v>0.05</v>
      </c>
      <c r="AR9" s="76">
        <f>'A1'!E50</f>
        <v>0.05</v>
      </c>
    </row>
    <row r="10" spans="1:44" x14ac:dyDescent="0.25">
      <c r="D10" s="82" t="s">
        <v>234</v>
      </c>
      <c r="G10" s="1"/>
      <c r="H10" s="173"/>
      <c r="I10" s="519">
        <f>'C1'!I12</f>
        <v>0</v>
      </c>
      <c r="J10" s="519">
        <f>'C1'!J12</f>
        <v>0</v>
      </c>
      <c r="K10" s="519">
        <f>'C1'!K12</f>
        <v>0</v>
      </c>
      <c r="L10" s="519">
        <f>'C1'!L12</f>
        <v>0</v>
      </c>
      <c r="M10" s="519">
        <f>'C1'!M12</f>
        <v>0</v>
      </c>
      <c r="N10" s="519">
        <f>'C1'!N12</f>
        <v>0</v>
      </c>
      <c r="O10" s="519">
        <f>'C1'!O12</f>
        <v>0</v>
      </c>
      <c r="P10" s="519">
        <f>'C1'!P12</f>
        <v>0</v>
      </c>
      <c r="Q10" s="519">
        <f>'C1'!Q12</f>
        <v>0</v>
      </c>
      <c r="R10" s="519">
        <f>'C1'!R12</f>
        <v>0</v>
      </c>
      <c r="S10" s="519">
        <f>'C1'!S12</f>
        <v>0</v>
      </c>
      <c r="T10" s="723">
        <f>'C1'!T12</f>
        <v>0</v>
      </c>
      <c r="U10" s="528"/>
      <c r="V10" s="519">
        <f>'C1'!V12</f>
        <v>0</v>
      </c>
      <c r="W10" s="519">
        <f>'C1'!W12</f>
        <v>0</v>
      </c>
      <c r="X10" s="519">
        <f>'C1'!X12</f>
        <v>0</v>
      </c>
      <c r="Y10" s="723">
        <f>'C1'!Y12</f>
        <v>0</v>
      </c>
      <c r="AA10" s="519"/>
      <c r="AB10" s="519"/>
      <c r="AC10" s="519">
        <f>'C1'!AC12</f>
        <v>0</v>
      </c>
      <c r="AD10" s="519">
        <f>'C1'!AD12</f>
        <v>0</v>
      </c>
      <c r="AE10" s="519">
        <f>'C1'!AE12</f>
        <v>0</v>
      </c>
      <c r="AG10" s="435"/>
      <c r="AH10" s="173"/>
      <c r="AI10" s="173"/>
      <c r="AJ10" s="173"/>
      <c r="AK10" s="173"/>
      <c r="AL10" s="173"/>
      <c r="AM10" s="173"/>
      <c r="AN10" s="173"/>
      <c r="AO10" s="77"/>
      <c r="AP10" s="77"/>
      <c r="AQ10" s="77"/>
      <c r="AR10" s="76"/>
    </row>
    <row r="11" spans="1:44" x14ac:dyDescent="0.25">
      <c r="D11" s="82" t="s">
        <v>229</v>
      </c>
      <c r="G11" s="1"/>
      <c r="H11" s="173"/>
      <c r="I11" s="519">
        <f>'B1'!I26</f>
        <v>0</v>
      </c>
      <c r="J11" s="519">
        <f>'B1'!J26</f>
        <v>0</v>
      </c>
      <c r="K11" s="519">
        <f>'B1'!K26</f>
        <v>0</v>
      </c>
      <c r="L11" s="519">
        <f>'B1'!L26</f>
        <v>0</v>
      </c>
      <c r="M11" s="519">
        <f>'B1'!M26</f>
        <v>0</v>
      </c>
      <c r="N11" s="519">
        <f>'B1'!N26</f>
        <v>0</v>
      </c>
      <c r="O11" s="519">
        <f>'B1'!O26</f>
        <v>0</v>
      </c>
      <c r="P11" s="519">
        <f>'B1'!P26</f>
        <v>0</v>
      </c>
      <c r="Q11" s="519">
        <f>'B1'!Q26</f>
        <v>0</v>
      </c>
      <c r="R11" s="519">
        <f>'B1'!R26</f>
        <v>0</v>
      </c>
      <c r="S11" s="519">
        <f>'B1'!S26</f>
        <v>0</v>
      </c>
      <c r="T11" s="723">
        <f>'B1'!T26</f>
        <v>0</v>
      </c>
      <c r="U11" s="528"/>
      <c r="V11" s="519">
        <f>'B1'!Z26</f>
        <v>0</v>
      </c>
      <c r="W11" s="519">
        <f>'B1'!AA26</f>
        <v>0</v>
      </c>
      <c r="X11" s="519">
        <f>'B1'!AB26</f>
        <v>0</v>
      </c>
      <c r="Y11" s="723">
        <f>'B1'!AC26</f>
        <v>0</v>
      </c>
      <c r="AA11" s="519">
        <f>SUM(I11:T11)</f>
        <v>0</v>
      </c>
      <c r="AB11" s="519">
        <f>SUM(V11:Y11)</f>
        <v>0</v>
      </c>
      <c r="AC11" s="519">
        <f>'B1'!AG26</f>
        <v>0</v>
      </c>
      <c r="AD11" s="519">
        <f>'B1'!AH26</f>
        <v>0</v>
      </c>
      <c r="AE11" s="519">
        <f>'B1'!AI26</f>
        <v>0</v>
      </c>
      <c r="AG11" s="435"/>
      <c r="AH11" s="173">
        <f>'A3'!H34*'A3'!T34</f>
        <v>0</v>
      </c>
      <c r="AI11" s="173">
        <f t="shared" si="1"/>
        <v>0</v>
      </c>
      <c r="AJ11" s="173">
        <f t="shared" si="1"/>
        <v>0</v>
      </c>
      <c r="AK11" s="173">
        <f t="shared" si="1"/>
        <v>0</v>
      </c>
      <c r="AL11" s="173">
        <f t="shared" si="1"/>
        <v>0</v>
      </c>
      <c r="AM11" s="173"/>
      <c r="AN11" s="173"/>
      <c r="AO11" s="77">
        <f>'A1'!F47</f>
        <v>0.05</v>
      </c>
      <c r="AP11" s="77">
        <f>'A1'!F48</f>
        <v>0.05</v>
      </c>
      <c r="AQ11" s="77">
        <f>'A1'!F49</f>
        <v>0.05</v>
      </c>
      <c r="AR11" s="76">
        <f>'A1'!F50</f>
        <v>0.05</v>
      </c>
    </row>
    <row r="12" spans="1:44" x14ac:dyDescent="0.25">
      <c r="D12" s="82" t="s">
        <v>230</v>
      </c>
      <c r="G12" s="1"/>
      <c r="H12" s="173"/>
      <c r="I12" s="519">
        <f>'A1'!Q13*G9</f>
        <v>0</v>
      </c>
      <c r="J12" s="519">
        <f>I12</f>
        <v>0</v>
      </c>
      <c r="K12" s="519">
        <f t="shared" ref="K12:AE12" si="2">J12</f>
        <v>0</v>
      </c>
      <c r="L12" s="519">
        <f t="shared" si="2"/>
        <v>0</v>
      </c>
      <c r="M12" s="519">
        <f t="shared" si="2"/>
        <v>0</v>
      </c>
      <c r="N12" s="519">
        <f t="shared" si="2"/>
        <v>0</v>
      </c>
      <c r="O12" s="519">
        <f t="shared" si="2"/>
        <v>0</v>
      </c>
      <c r="P12" s="519">
        <f t="shared" si="2"/>
        <v>0</v>
      </c>
      <c r="Q12" s="519">
        <f t="shared" si="2"/>
        <v>0</v>
      </c>
      <c r="R12" s="519">
        <f t="shared" si="2"/>
        <v>0</v>
      </c>
      <c r="S12" s="519">
        <f t="shared" si="2"/>
        <v>0</v>
      </c>
      <c r="T12" s="723">
        <f t="shared" si="2"/>
        <v>0</v>
      </c>
      <c r="U12" s="528"/>
      <c r="V12" s="519">
        <f>T12</f>
        <v>0</v>
      </c>
      <c r="W12" s="519">
        <f t="shared" si="2"/>
        <v>0</v>
      </c>
      <c r="X12" s="519">
        <f t="shared" si="2"/>
        <v>0</v>
      </c>
      <c r="Y12" s="723">
        <f t="shared" si="2"/>
        <v>0</v>
      </c>
      <c r="AA12" s="519"/>
      <c r="AB12" s="519"/>
      <c r="AC12" s="519">
        <f>Y12</f>
        <v>0</v>
      </c>
      <c r="AD12" s="519">
        <f t="shared" si="2"/>
        <v>0</v>
      </c>
      <c r="AE12" s="519">
        <f t="shared" si="2"/>
        <v>0</v>
      </c>
      <c r="AG12" s="435"/>
      <c r="AH12" s="173"/>
      <c r="AI12" s="173"/>
      <c r="AJ12" s="173"/>
      <c r="AK12" s="173"/>
      <c r="AL12" s="173"/>
      <c r="AM12" s="173"/>
      <c r="AN12" s="173"/>
      <c r="AO12" s="77"/>
      <c r="AP12" s="77"/>
      <c r="AQ12" s="77"/>
      <c r="AR12" s="76"/>
    </row>
    <row r="13" spans="1:44" s="516" customFormat="1" x14ac:dyDescent="0.25">
      <c r="T13" s="771"/>
      <c r="U13" s="528"/>
      <c r="Y13" s="771"/>
      <c r="Z13" s="1"/>
    </row>
    <row r="14" spans="1:44" s="516" customFormat="1" x14ac:dyDescent="0.25">
      <c r="C14" s="82" t="str">
        <f>'A1'!G8</f>
        <v>Home Dialysis</v>
      </c>
      <c r="D14" s="82"/>
      <c r="E14" s="1"/>
      <c r="F14" s="1"/>
      <c r="G14" s="377">
        <f>IF(SUM('C3'!G10:'C3'!G11)&gt;0,1,0)</f>
        <v>1</v>
      </c>
      <c r="T14" s="771"/>
      <c r="U14" s="528"/>
      <c r="Y14" s="771"/>
      <c r="Z14" s="1"/>
    </row>
    <row r="15" spans="1:44" s="516" customFormat="1" x14ac:dyDescent="0.25">
      <c r="C15" s="1"/>
      <c r="D15" s="82" t="str">
        <f>D10</f>
        <v>Patients</v>
      </c>
      <c r="E15" s="1"/>
      <c r="F15" s="1"/>
      <c r="G15" s="1"/>
      <c r="I15" s="519">
        <f>'C3'!I12</f>
        <v>58.189876907367534</v>
      </c>
      <c r="J15" s="519">
        <f>'C3'!J12</f>
        <v>58.285126164843994</v>
      </c>
      <c r="K15" s="519">
        <f>'C3'!K12</f>
        <v>58.475936501080326</v>
      </c>
      <c r="L15" s="519">
        <f>'C3'!L12</f>
        <v>58.667371500705251</v>
      </c>
      <c r="M15" s="519">
        <f>'C3'!M12</f>
        <v>58.859433208704147</v>
      </c>
      <c r="N15" s="519">
        <f>'C3'!N12</f>
        <v>59.052123676757162</v>
      </c>
      <c r="O15" s="519">
        <f>'C3'!O12</f>
        <v>59.245444963261093</v>
      </c>
      <c r="P15" s="519">
        <f>'C3'!P12</f>
        <v>59.439399133351394</v>
      </c>
      <c r="Q15" s="519">
        <f>'C3'!Q12</f>
        <v>59.633988258924241</v>
      </c>
      <c r="R15" s="519">
        <f>'C3'!R12</f>
        <v>59.829214418658673</v>
      </c>
      <c r="S15" s="519">
        <f>'C3'!S12</f>
        <v>60.025079698038752</v>
      </c>
      <c r="T15" s="723">
        <f>'C3'!T12</f>
        <v>60.221586189375877</v>
      </c>
      <c r="U15" s="528"/>
      <c r="V15" s="519">
        <f>'C3'!V12</f>
        <v>60.546200000000042</v>
      </c>
      <c r="W15" s="519">
        <f>'C3'!W12</f>
        <v>60.998600000000032</v>
      </c>
      <c r="X15" s="519">
        <f>'C3'!X12</f>
        <v>61.451000000000036</v>
      </c>
      <c r="Y15" s="723">
        <f>'C3'!Y12</f>
        <v>61.903400000000033</v>
      </c>
      <c r="Z15" s="1"/>
      <c r="AA15" s="519"/>
      <c r="AB15" s="519"/>
      <c r="AC15" s="519">
        <f>'C3'!AC12</f>
        <v>63.061544000000033</v>
      </c>
      <c r="AD15" s="519">
        <f>'C3'!AD12</f>
        <v>64.95339032000004</v>
      </c>
      <c r="AE15" s="519">
        <f>'C3'!AE12</f>
        <v>66.901992029600038</v>
      </c>
    </row>
    <row r="16" spans="1:44" s="516" customFormat="1" x14ac:dyDescent="0.25">
      <c r="C16" s="1"/>
      <c r="D16" s="82" t="str">
        <f>D11</f>
        <v>Treatments</v>
      </c>
      <c r="E16" s="1"/>
      <c r="F16" s="1"/>
      <c r="G16" s="1"/>
      <c r="I16" s="519">
        <f>'B1'!I30</f>
        <v>98.954473071149494</v>
      </c>
      <c r="J16" s="519">
        <f>'B1'!J30</f>
        <v>99.116448668709268</v>
      </c>
      <c r="K16" s="519">
        <f>'B1'!K30</f>
        <v>99.440930129786295</v>
      </c>
      <c r="L16" s="519">
        <f>'B1'!L30</f>
        <v>99.766473858731047</v>
      </c>
      <c r="M16" s="519">
        <f>'B1'!M30</f>
        <v>100.09308333313206</v>
      </c>
      <c r="N16" s="519">
        <f>'B1'!N30</f>
        <v>100.42076204196269</v>
      </c>
      <c r="O16" s="519">
        <f>'B1'!O30</f>
        <v>100.74951348561819</v>
      </c>
      <c r="P16" s="519">
        <f>'B1'!P30</f>
        <v>101.07934117595325</v>
      </c>
      <c r="Q16" s="519">
        <f>'B1'!Q30</f>
        <v>101.41024863631942</v>
      </c>
      <c r="R16" s="519">
        <f>'B1'!R30</f>
        <v>101.74223940160283</v>
      </c>
      <c r="S16" s="519">
        <f>'B1'!S30</f>
        <v>102.07531701826186</v>
      </c>
      <c r="T16" s="723">
        <f>'B1'!T30</f>
        <v>102.40948504436511</v>
      </c>
      <c r="U16" s="528"/>
      <c r="V16" s="519">
        <f>'B1'!Z30</f>
        <v>308.88451578947377</v>
      </c>
      <c r="W16" s="519">
        <f>'B1'!AA30</f>
        <v>311.19249473684226</v>
      </c>
      <c r="X16" s="519">
        <f>'B1'!AB30</f>
        <v>313.50047368421065</v>
      </c>
      <c r="Y16" s="723">
        <f>'B1'!AC30</f>
        <v>315.80845263157909</v>
      </c>
      <c r="Z16" s="1"/>
      <c r="AA16" s="519">
        <f>SUM(I16:T16)</f>
        <v>1207.2583158655914</v>
      </c>
      <c r="AB16" s="519">
        <f>SUM(V16:Y16)</f>
        <v>1249.3859368421058</v>
      </c>
      <c r="AC16" s="519">
        <f>'B1'!AG30</f>
        <v>1286.8675149473688</v>
      </c>
      <c r="AD16" s="519">
        <f>'B1'!AH30</f>
        <v>1325.47354039579</v>
      </c>
      <c r="AE16" s="519">
        <f>'B1'!AI30</f>
        <v>1365.2377466076639</v>
      </c>
    </row>
    <row r="17" spans="1:31" s="516" customFormat="1" x14ac:dyDescent="0.25">
      <c r="C17" s="1"/>
      <c r="D17" s="82" t="s">
        <v>1125</v>
      </c>
      <c r="E17" s="1"/>
      <c r="F17" s="1"/>
      <c r="G17" s="1"/>
      <c r="I17" s="519">
        <f>'A1'!Q14*G14</f>
        <v>4</v>
      </c>
      <c r="J17" s="519">
        <f>I17</f>
        <v>4</v>
      </c>
      <c r="K17" s="519">
        <f t="shared" ref="K17:AE17" si="3">J17</f>
        <v>4</v>
      </c>
      <c r="L17" s="519">
        <f t="shared" si="3"/>
        <v>4</v>
      </c>
      <c r="M17" s="519">
        <f t="shared" si="3"/>
        <v>4</v>
      </c>
      <c r="N17" s="519">
        <f t="shared" si="3"/>
        <v>4</v>
      </c>
      <c r="O17" s="519">
        <f t="shared" si="3"/>
        <v>4</v>
      </c>
      <c r="P17" s="519">
        <f t="shared" si="3"/>
        <v>4</v>
      </c>
      <c r="Q17" s="519">
        <f t="shared" si="3"/>
        <v>4</v>
      </c>
      <c r="R17" s="519">
        <f t="shared" si="3"/>
        <v>4</v>
      </c>
      <c r="S17" s="519">
        <f t="shared" si="3"/>
        <v>4</v>
      </c>
      <c r="T17" s="723">
        <f t="shared" si="3"/>
        <v>4</v>
      </c>
      <c r="U17" s="528"/>
      <c r="V17" s="519">
        <f>T17</f>
        <v>4</v>
      </c>
      <c r="W17" s="519">
        <f t="shared" si="3"/>
        <v>4</v>
      </c>
      <c r="X17" s="519">
        <f t="shared" si="3"/>
        <v>4</v>
      </c>
      <c r="Y17" s="723">
        <f t="shared" si="3"/>
        <v>4</v>
      </c>
      <c r="Z17" s="1"/>
      <c r="AA17" s="519"/>
      <c r="AB17" s="519"/>
      <c r="AC17" s="519">
        <f>Y17</f>
        <v>4</v>
      </c>
      <c r="AD17" s="519">
        <f t="shared" si="3"/>
        <v>4</v>
      </c>
      <c r="AE17" s="519">
        <f t="shared" si="3"/>
        <v>4</v>
      </c>
    </row>
    <row r="18" spans="1:31" s="528" customFormat="1" x14ac:dyDescent="0.25">
      <c r="T18" s="772"/>
      <c r="Y18" s="772"/>
      <c r="Z18" s="1"/>
    </row>
    <row r="19" spans="1:31" s="528" customFormat="1" x14ac:dyDescent="0.25">
      <c r="C19" s="82" t="s">
        <v>256</v>
      </c>
      <c r="G19" s="377">
        <f>IF(SUM('C5'!G10:G14)&gt;0,1,0)</f>
        <v>0</v>
      </c>
      <c r="I19" s="519">
        <f>'C5'!I15</f>
        <v>0</v>
      </c>
      <c r="J19" s="519">
        <f>'C5'!J15</f>
        <v>0</v>
      </c>
      <c r="K19" s="519">
        <f>'C5'!K15</f>
        <v>0</v>
      </c>
      <c r="L19" s="519">
        <f>'C5'!L15</f>
        <v>0</v>
      </c>
      <c r="M19" s="519">
        <f>'C5'!M15</f>
        <v>0</v>
      </c>
      <c r="N19" s="519">
        <f>'C5'!N15</f>
        <v>0</v>
      </c>
      <c r="O19" s="519">
        <f>'C5'!O15</f>
        <v>0</v>
      </c>
      <c r="P19" s="519">
        <f>'C5'!P15</f>
        <v>0</v>
      </c>
      <c r="Q19" s="519">
        <f>'C5'!Q15</f>
        <v>0</v>
      </c>
      <c r="R19" s="519">
        <f>'C5'!R15</f>
        <v>0</v>
      </c>
      <c r="S19" s="519">
        <f>'C5'!S15</f>
        <v>0</v>
      </c>
      <c r="T19" s="723">
        <f>'C5'!T15</f>
        <v>0</v>
      </c>
      <c r="V19" s="519">
        <f>'C5'!V15</f>
        <v>0</v>
      </c>
      <c r="W19" s="519">
        <f>'C5'!W15</f>
        <v>0</v>
      </c>
      <c r="X19" s="519">
        <f>'C5'!X15</f>
        <v>0</v>
      </c>
      <c r="Y19" s="723">
        <f>'C5'!Y15</f>
        <v>0</v>
      </c>
      <c r="Z19" s="1"/>
      <c r="AA19" s="519">
        <f>SUM(I19:T19)</f>
        <v>0</v>
      </c>
      <c r="AB19" s="519">
        <f>SUM(V19:Y19)</f>
        <v>0</v>
      </c>
      <c r="AC19" s="519">
        <f>'C5'!AC15</f>
        <v>0</v>
      </c>
      <c r="AD19" s="519">
        <f>'C5'!AD15</f>
        <v>0</v>
      </c>
      <c r="AE19" s="519">
        <f>'C5'!AE15</f>
        <v>0</v>
      </c>
    </row>
    <row r="20" spans="1:31" s="528" customFormat="1" x14ac:dyDescent="0.25">
      <c r="T20" s="772"/>
      <c r="Y20" s="772"/>
      <c r="Z20" s="1"/>
    </row>
    <row r="21" spans="1:31" s="528" customFormat="1" ht="15.75" x14ac:dyDescent="0.25">
      <c r="B21" s="513" t="s">
        <v>301</v>
      </c>
      <c r="C21" s="1"/>
      <c r="D21" s="1"/>
      <c r="E21" s="1"/>
      <c r="F21" s="1"/>
      <c r="I21" s="773"/>
      <c r="J21" s="549"/>
      <c r="T21" s="772"/>
      <c r="Y21" s="772"/>
      <c r="Z21" s="1"/>
    </row>
    <row r="22" spans="1:31" s="528" customFormat="1" ht="17.25" x14ac:dyDescent="0.4">
      <c r="A22" s="157"/>
      <c r="D22" s="774" t="str">
        <f>$C$9</f>
        <v>Hemo Dialysis</v>
      </c>
      <c r="E22" s="157"/>
      <c r="H22" s="775" t="s">
        <v>231</v>
      </c>
      <c r="T22" s="772"/>
      <c r="Y22" s="772"/>
      <c r="Z22" s="1"/>
    </row>
    <row r="23" spans="1:31" s="528" customFormat="1" x14ac:dyDescent="0.25">
      <c r="D23" s="528">
        <f>'A1'!L72</f>
        <v>4</v>
      </c>
      <c r="E23" s="528" t="str">
        <f>'A1'!N72</f>
        <v>RN</v>
      </c>
      <c r="G23" s="776">
        <f>'A1'!P72</f>
        <v>0.55000000000000004</v>
      </c>
      <c r="H23" s="371">
        <f>'A1'!Y72</f>
        <v>73.051413865362434</v>
      </c>
      <c r="I23" s="744">
        <f>I$11*$G23*$H23/1000</f>
        <v>0</v>
      </c>
      <c r="J23" s="744">
        <f t="shared" ref="J23:Y23" si="4">J$11*$G23*$H23/1000</f>
        <v>0</v>
      </c>
      <c r="K23" s="744">
        <f t="shared" si="4"/>
        <v>0</v>
      </c>
      <c r="L23" s="744">
        <f t="shared" si="4"/>
        <v>0</v>
      </c>
      <c r="M23" s="744">
        <f t="shared" si="4"/>
        <v>0</v>
      </c>
      <c r="N23" s="744">
        <f t="shared" si="4"/>
        <v>0</v>
      </c>
      <c r="O23" s="744">
        <f t="shared" si="4"/>
        <v>0</v>
      </c>
      <c r="P23" s="744">
        <f t="shared" si="4"/>
        <v>0</v>
      </c>
      <c r="Q23" s="744">
        <f t="shared" si="4"/>
        <v>0</v>
      </c>
      <c r="R23" s="744">
        <f t="shared" si="4"/>
        <v>0</v>
      </c>
      <c r="S23" s="744">
        <f t="shared" si="4"/>
        <v>0</v>
      </c>
      <c r="T23" s="745">
        <f t="shared" si="4"/>
        <v>0</v>
      </c>
      <c r="V23" s="744">
        <f t="shared" si="4"/>
        <v>0</v>
      </c>
      <c r="W23" s="744">
        <f t="shared" si="4"/>
        <v>0</v>
      </c>
      <c r="X23" s="744">
        <f t="shared" si="4"/>
        <v>0</v>
      </c>
      <c r="Y23" s="745">
        <f t="shared" si="4"/>
        <v>0</v>
      </c>
      <c r="Z23" s="744"/>
      <c r="AA23" s="744">
        <f>SUM(I23:T23)</f>
        <v>0</v>
      </c>
      <c r="AB23" s="744">
        <f>SUM(V23:Y23)</f>
        <v>0</v>
      </c>
      <c r="AC23" s="744">
        <f>AC$11*$G23*$H23/1000</f>
        <v>0</v>
      </c>
      <c r="AD23" s="744">
        <f>AD$11*$G23*$H23/1000</f>
        <v>0</v>
      </c>
      <c r="AE23" s="744">
        <f>AE$11*$G23*$H23/1000</f>
        <v>0</v>
      </c>
    </row>
    <row r="24" spans="1:31" s="528" customFormat="1" x14ac:dyDescent="0.25">
      <c r="G24" s="777"/>
      <c r="H24" s="371"/>
      <c r="I24" s="581"/>
      <c r="J24" s="581"/>
      <c r="K24" s="581"/>
      <c r="L24" s="581"/>
      <c r="M24" s="581"/>
      <c r="N24" s="581"/>
      <c r="O24" s="581"/>
      <c r="P24" s="581"/>
      <c r="Q24" s="581"/>
      <c r="R24" s="581"/>
      <c r="S24" s="581"/>
      <c r="T24" s="778"/>
      <c r="V24" s="581"/>
      <c r="W24" s="581"/>
      <c r="X24" s="581"/>
      <c r="Y24" s="778"/>
      <c r="Z24" s="1"/>
      <c r="AA24" s="36"/>
      <c r="AB24" s="36"/>
      <c r="AC24" s="581"/>
      <c r="AD24" s="581"/>
      <c r="AE24" s="581"/>
    </row>
    <row r="25" spans="1:31" s="528" customFormat="1" x14ac:dyDescent="0.25">
      <c r="D25" s="774" t="str">
        <f>'A1'!$C$68</f>
        <v>Acute Care</v>
      </c>
      <c r="T25" s="772"/>
      <c r="Y25" s="772"/>
      <c r="Z25" s="1"/>
    </row>
    <row r="26" spans="1:31" s="528" customFormat="1" x14ac:dyDescent="0.25">
      <c r="D26" s="528">
        <f>D33</f>
        <v>3</v>
      </c>
      <c r="E26" s="528" t="str">
        <f>E33</f>
        <v>CCHT (PCT)</v>
      </c>
      <c r="G26" s="776">
        <f>'A1'!T71</f>
        <v>0.34</v>
      </c>
      <c r="H26" s="371">
        <f>'A1'!Y71</f>
        <v>0</v>
      </c>
      <c r="I26" s="744">
        <f t="shared" ref="I26:R28" si="5">I$19*$G26*$H26/1000</f>
        <v>0</v>
      </c>
      <c r="J26" s="744">
        <f t="shared" si="5"/>
        <v>0</v>
      </c>
      <c r="K26" s="744">
        <f t="shared" si="5"/>
        <v>0</v>
      </c>
      <c r="L26" s="744">
        <f t="shared" si="5"/>
        <v>0</v>
      </c>
      <c r="M26" s="744">
        <f t="shared" si="5"/>
        <v>0</v>
      </c>
      <c r="N26" s="744">
        <f t="shared" si="5"/>
        <v>0</v>
      </c>
      <c r="O26" s="744">
        <f t="shared" si="5"/>
        <v>0</v>
      </c>
      <c r="P26" s="744">
        <f t="shared" si="5"/>
        <v>0</v>
      </c>
      <c r="Q26" s="744">
        <f t="shared" si="5"/>
        <v>0</v>
      </c>
      <c r="R26" s="744">
        <f t="shared" si="5"/>
        <v>0</v>
      </c>
      <c r="S26" s="744">
        <f t="shared" ref="S26:AE28" si="6">S$19*$G26*$H26/1000</f>
        <v>0</v>
      </c>
      <c r="T26" s="745">
        <f t="shared" si="6"/>
        <v>0</v>
      </c>
      <c r="V26" s="744">
        <f t="shared" si="6"/>
        <v>0</v>
      </c>
      <c r="W26" s="744">
        <f t="shared" si="6"/>
        <v>0</v>
      </c>
      <c r="X26" s="744">
        <f t="shared" si="6"/>
        <v>0</v>
      </c>
      <c r="Y26" s="745">
        <f t="shared" si="6"/>
        <v>0</v>
      </c>
      <c r="Z26" s="744"/>
      <c r="AA26" s="744">
        <f>SUM(I26:T26)</f>
        <v>0</v>
      </c>
      <c r="AB26" s="744">
        <f>SUM(V26:Y26)</f>
        <v>0</v>
      </c>
      <c r="AC26" s="744">
        <f t="shared" si="6"/>
        <v>0</v>
      </c>
      <c r="AD26" s="744">
        <f t="shared" si="6"/>
        <v>0</v>
      </c>
      <c r="AE26" s="744">
        <f t="shared" si="6"/>
        <v>0</v>
      </c>
    </row>
    <row r="27" spans="1:31" s="528" customFormat="1" x14ac:dyDescent="0.25">
      <c r="D27" s="528">
        <f>D23</f>
        <v>4</v>
      </c>
      <c r="E27" s="528" t="str">
        <f>E23</f>
        <v>RN</v>
      </c>
      <c r="G27" s="776">
        <f>'A1'!T72</f>
        <v>4</v>
      </c>
      <c r="H27" s="371">
        <f>'A1'!Y72</f>
        <v>73.051413865362434</v>
      </c>
      <c r="I27" s="744">
        <f t="shared" si="5"/>
        <v>0</v>
      </c>
      <c r="J27" s="744">
        <f t="shared" si="5"/>
        <v>0</v>
      </c>
      <c r="K27" s="744">
        <f t="shared" si="5"/>
        <v>0</v>
      </c>
      <c r="L27" s="744">
        <f t="shared" si="5"/>
        <v>0</v>
      </c>
      <c r="M27" s="744">
        <f t="shared" si="5"/>
        <v>0</v>
      </c>
      <c r="N27" s="744">
        <f t="shared" si="5"/>
        <v>0</v>
      </c>
      <c r="O27" s="744">
        <f t="shared" si="5"/>
        <v>0</v>
      </c>
      <c r="P27" s="744">
        <f t="shared" si="5"/>
        <v>0</v>
      </c>
      <c r="Q27" s="744">
        <f t="shared" si="5"/>
        <v>0</v>
      </c>
      <c r="R27" s="744">
        <f t="shared" si="5"/>
        <v>0</v>
      </c>
      <c r="S27" s="744">
        <f t="shared" si="6"/>
        <v>0</v>
      </c>
      <c r="T27" s="745">
        <f t="shared" si="6"/>
        <v>0</v>
      </c>
      <c r="V27" s="744">
        <f t="shared" si="6"/>
        <v>0</v>
      </c>
      <c r="W27" s="744">
        <f t="shared" si="6"/>
        <v>0</v>
      </c>
      <c r="X27" s="744">
        <f t="shared" si="6"/>
        <v>0</v>
      </c>
      <c r="Y27" s="745">
        <f t="shared" si="6"/>
        <v>0</v>
      </c>
      <c r="Z27" s="744"/>
      <c r="AA27" s="744">
        <f>SUM(I27:T27)</f>
        <v>0</v>
      </c>
      <c r="AB27" s="744">
        <f>SUM(V27:Y27)</f>
        <v>0</v>
      </c>
      <c r="AC27" s="744">
        <f t="shared" si="6"/>
        <v>0</v>
      </c>
      <c r="AD27" s="744">
        <f t="shared" si="6"/>
        <v>0</v>
      </c>
      <c r="AE27" s="744">
        <f t="shared" si="6"/>
        <v>0</v>
      </c>
    </row>
    <row r="28" spans="1:31" s="528" customFormat="1" x14ac:dyDescent="0.25">
      <c r="D28" s="528">
        <f>D35</f>
        <v>6</v>
      </c>
      <c r="E28" s="528" t="str">
        <f>E35</f>
        <v>Biomed Technician</v>
      </c>
      <c r="G28" s="776">
        <f>'A1'!T74</f>
        <v>0.2</v>
      </c>
      <c r="H28" s="371">
        <f>'A1'!Y74</f>
        <v>36.965921787850441</v>
      </c>
      <c r="I28" s="744">
        <f t="shared" si="5"/>
        <v>0</v>
      </c>
      <c r="J28" s="744">
        <f t="shared" si="5"/>
        <v>0</v>
      </c>
      <c r="K28" s="744">
        <f t="shared" si="5"/>
        <v>0</v>
      </c>
      <c r="L28" s="744">
        <f t="shared" si="5"/>
        <v>0</v>
      </c>
      <c r="M28" s="744">
        <f t="shared" si="5"/>
        <v>0</v>
      </c>
      <c r="N28" s="744">
        <f t="shared" si="5"/>
        <v>0</v>
      </c>
      <c r="O28" s="744">
        <f t="shared" si="5"/>
        <v>0</v>
      </c>
      <c r="P28" s="744">
        <f t="shared" si="5"/>
        <v>0</v>
      </c>
      <c r="Q28" s="744">
        <f t="shared" si="5"/>
        <v>0</v>
      </c>
      <c r="R28" s="744">
        <f t="shared" si="5"/>
        <v>0</v>
      </c>
      <c r="S28" s="744">
        <f t="shared" si="6"/>
        <v>0</v>
      </c>
      <c r="T28" s="745">
        <f t="shared" si="6"/>
        <v>0</v>
      </c>
      <c r="V28" s="744">
        <f t="shared" si="6"/>
        <v>0</v>
      </c>
      <c r="W28" s="744">
        <f t="shared" si="6"/>
        <v>0</v>
      </c>
      <c r="X28" s="744">
        <f t="shared" si="6"/>
        <v>0</v>
      </c>
      <c r="Y28" s="745">
        <f t="shared" si="6"/>
        <v>0</v>
      </c>
      <c r="Z28" s="744"/>
      <c r="AA28" s="744">
        <f>SUM(I28:T28)</f>
        <v>0</v>
      </c>
      <c r="AB28" s="744">
        <f>SUM(V28:Y28)</f>
        <v>0</v>
      </c>
      <c r="AC28" s="744">
        <f t="shared" si="6"/>
        <v>0</v>
      </c>
      <c r="AD28" s="744">
        <f t="shared" si="6"/>
        <v>0</v>
      </c>
      <c r="AE28" s="744">
        <f t="shared" si="6"/>
        <v>0</v>
      </c>
    </row>
    <row r="29" spans="1:31" s="528" customFormat="1" x14ac:dyDescent="0.25">
      <c r="F29" s="779" t="s">
        <v>13</v>
      </c>
      <c r="G29" s="780"/>
      <c r="H29" s="780"/>
      <c r="I29" s="1231">
        <f t="shared" ref="I29:T29" si="7">SUM(I22:I28)</f>
        <v>0</v>
      </c>
      <c r="J29" s="1231">
        <f t="shared" si="7"/>
        <v>0</v>
      </c>
      <c r="K29" s="1231">
        <f t="shared" si="7"/>
        <v>0</v>
      </c>
      <c r="L29" s="1231">
        <f t="shared" si="7"/>
        <v>0</v>
      </c>
      <c r="M29" s="1231">
        <f t="shared" si="7"/>
        <v>0</v>
      </c>
      <c r="N29" s="1231">
        <f t="shared" si="7"/>
        <v>0</v>
      </c>
      <c r="O29" s="1231">
        <f t="shared" si="7"/>
        <v>0</v>
      </c>
      <c r="P29" s="1231">
        <f t="shared" si="7"/>
        <v>0</v>
      </c>
      <c r="Q29" s="1231">
        <f t="shared" si="7"/>
        <v>0</v>
      </c>
      <c r="R29" s="1231">
        <f t="shared" si="7"/>
        <v>0</v>
      </c>
      <c r="S29" s="1231">
        <f t="shared" si="7"/>
        <v>0</v>
      </c>
      <c r="T29" s="1232">
        <f t="shared" si="7"/>
        <v>0</v>
      </c>
      <c r="U29" s="1231"/>
      <c r="V29" s="1231">
        <f>SUM(V22:V28)</f>
        <v>0</v>
      </c>
      <c r="W29" s="1231">
        <f>SUM(W22:W28)</f>
        <v>0</v>
      </c>
      <c r="X29" s="1231">
        <f>SUM(X22:X28)</f>
        <v>0</v>
      </c>
      <c r="Y29" s="1232">
        <f>SUM(Y22:Y28)</f>
        <v>0</v>
      </c>
      <c r="Z29" s="1233"/>
      <c r="AA29" s="1231">
        <f>SUM(AA22:AA28)</f>
        <v>0</v>
      </c>
      <c r="AB29" s="1231">
        <f>SUM(AB22:AB28)</f>
        <v>0</v>
      </c>
      <c r="AC29" s="1231">
        <f>SUM(AC22:AC28)</f>
        <v>0</v>
      </c>
      <c r="AD29" s="1231">
        <f>SUM(AD22:AD28)</f>
        <v>0</v>
      </c>
      <c r="AE29" s="1231">
        <f>SUM(AE22:AE28)</f>
        <v>0</v>
      </c>
    </row>
    <row r="30" spans="1:31" x14ac:dyDescent="0.25">
      <c r="I30" s="36"/>
      <c r="J30" s="36"/>
      <c r="K30" s="36"/>
      <c r="L30" s="36"/>
      <c r="M30" s="36"/>
      <c r="N30" s="36"/>
      <c r="O30" s="36"/>
      <c r="P30" s="36"/>
      <c r="Q30" s="36"/>
      <c r="R30" s="36"/>
      <c r="S30" s="36"/>
      <c r="T30" s="51"/>
      <c r="U30" s="36"/>
      <c r="V30" s="36"/>
      <c r="W30" s="36"/>
      <c r="X30" s="36"/>
      <c r="Y30" s="51"/>
      <c r="Z30" s="36"/>
      <c r="AA30" s="36"/>
      <c r="AB30" s="36"/>
      <c r="AC30" s="36"/>
      <c r="AD30" s="36"/>
      <c r="AE30" s="36"/>
    </row>
    <row r="31" spans="1:31" s="528" customFormat="1" ht="15.75" x14ac:dyDescent="0.25">
      <c r="B31" s="513" t="s">
        <v>300</v>
      </c>
      <c r="G31" s="777"/>
      <c r="H31" s="1"/>
      <c r="I31" s="581"/>
      <c r="J31" s="581"/>
      <c r="K31" s="581"/>
      <c r="L31" s="581"/>
      <c r="M31" s="581"/>
      <c r="N31" s="581"/>
      <c r="O31" s="581"/>
      <c r="P31" s="581"/>
      <c r="Q31" s="581"/>
      <c r="R31" s="581"/>
      <c r="S31" s="581"/>
      <c r="T31" s="778"/>
      <c r="U31" s="581"/>
      <c r="V31" s="581"/>
      <c r="W31" s="581"/>
      <c r="X31" s="581"/>
      <c r="Y31" s="778"/>
      <c r="Z31" s="581"/>
      <c r="AA31" s="581"/>
      <c r="AB31" s="581"/>
      <c r="AC31" s="36"/>
      <c r="AD31" s="36"/>
      <c r="AE31" s="36"/>
    </row>
    <row r="32" spans="1:31" s="528" customFormat="1" x14ac:dyDescent="0.25">
      <c r="D32" s="774" t="str">
        <f>$C$9 &amp; " FTE"</f>
        <v>Hemo Dialysis FTE</v>
      </c>
      <c r="G32" s="777"/>
      <c r="H32" s="1"/>
      <c r="I32" s="581"/>
      <c r="J32" s="581"/>
      <c r="K32" s="581"/>
      <c r="L32" s="581"/>
      <c r="M32" s="581"/>
      <c r="N32" s="581"/>
      <c r="O32" s="581"/>
      <c r="P32" s="581"/>
      <c r="Q32" s="581"/>
      <c r="R32" s="581"/>
      <c r="S32" s="581"/>
      <c r="T32" s="778"/>
      <c r="V32" s="36"/>
      <c r="W32" s="36"/>
      <c r="X32" s="36"/>
      <c r="Y32" s="51"/>
      <c r="Z32" s="1"/>
      <c r="AA32" s="36"/>
      <c r="AB32" s="36"/>
      <c r="AC32" s="36"/>
      <c r="AD32" s="36"/>
      <c r="AE32" s="36"/>
    </row>
    <row r="33" spans="4:31" s="528" customFormat="1" x14ac:dyDescent="0.25">
      <c r="D33" s="528">
        <f>'A1'!L71</f>
        <v>3</v>
      </c>
      <c r="E33" s="528" t="str">
        <f>'A1'!N71</f>
        <v>CCHT (PCT)</v>
      </c>
      <c r="G33" s="729">
        <f>'A1'!P71</f>
        <v>1.5</v>
      </c>
      <c r="H33" s="1075" t="str">
        <f>'A1'!Q71</f>
        <v>Hrs / Trtmnt</v>
      </c>
      <c r="I33" s="581">
        <f>IFERROR(MAX(1,I$11*$G33/('A1'!$Z71/12))*$G$9,"n/a")</f>
        <v>0</v>
      </c>
      <c r="J33" s="581">
        <f>IFERROR(MAX(1,J$11*$G33/('A1'!$Z71/12))*$G$9,"n/a")</f>
        <v>0</v>
      </c>
      <c r="K33" s="581">
        <f>IFERROR(MAX(1,K$11*$G33/('A1'!$Z71/12))*$G$9,"n/a")</f>
        <v>0</v>
      </c>
      <c r="L33" s="581">
        <f>IFERROR(MAX(1,L$11*$G33/('A1'!$Z71/12))*$G$9,"n/a")</f>
        <v>0</v>
      </c>
      <c r="M33" s="581">
        <f>IFERROR(MAX(1,M$11*$G33/('A1'!$Z71/12))*$G$9,"n/a")</f>
        <v>0</v>
      </c>
      <c r="N33" s="581">
        <f>IFERROR(MAX(1,N$11*$G33/('A1'!$Z71/12))*$G$9,"n/a")</f>
        <v>0</v>
      </c>
      <c r="O33" s="581">
        <f>IFERROR(MAX(1,O$11*$G33/('A1'!$Z71/12))*$G$9,"n/a")</f>
        <v>0</v>
      </c>
      <c r="P33" s="581">
        <f>IFERROR(MAX(1,P$11*$G33/('A1'!$Z71/12))*$G$9,"n/a")</f>
        <v>0</v>
      </c>
      <c r="Q33" s="581">
        <f>IFERROR(MAX(1,Q$11*$G33/('A1'!$Z71/12))*$G$9,"n/a")</f>
        <v>0</v>
      </c>
      <c r="R33" s="581">
        <f>IFERROR(MAX(1,R$11*$G33/('A1'!$Z71/12))*$G$9,"n/a")</f>
        <v>0</v>
      </c>
      <c r="S33" s="581">
        <f>IFERROR(MAX(1,S$11*$G33/('A1'!$Z71/12))*$G$9,"n/a")</f>
        <v>0</v>
      </c>
      <c r="T33" s="778">
        <f>IFERROR(MAX(1,T$11*$G33/('A1'!$Z71/12))*$G$9,"n/a")</f>
        <v>0</v>
      </c>
      <c r="U33" s="581"/>
      <c r="V33" s="581">
        <f>MAX(1,V$11*$G33/('A1'!$Z$71/4))*$G$9</f>
        <v>0</v>
      </c>
      <c r="W33" s="581">
        <f>MAX(1,W$11*$G33/('A1'!$Z$71/4))*$G$9</f>
        <v>0</v>
      </c>
      <c r="X33" s="581">
        <f>MAX(1,X$11*$G33/('A1'!$Z$71/4))*$G$9</f>
        <v>0</v>
      </c>
      <c r="Y33" s="778">
        <f>MAX(1,Y$11*$G33/('A1'!$Z$71/4))*$G$9</f>
        <v>0</v>
      </c>
      <c r="Z33" s="1"/>
      <c r="AA33" s="1103">
        <f t="shared" ref="AA33:AA38" si="8">T33</f>
        <v>0</v>
      </c>
      <c r="AB33" s="1103">
        <f t="shared" ref="AB33:AB38" si="9">Y33</f>
        <v>0</v>
      </c>
      <c r="AC33" s="36">
        <f>MAX(1,AC$11*$G33/'A1'!$Z$71)*$G$9</f>
        <v>0</v>
      </c>
      <c r="AD33" s="36">
        <f>MAX(1,AD$11*$G33/'A1'!$Z$71)*$G$9</f>
        <v>0</v>
      </c>
      <c r="AE33" s="36">
        <f>MAX(1,AE$11*$G33/'A1'!$Z$71)*$G$9</f>
        <v>0</v>
      </c>
    </row>
    <row r="34" spans="4:31" s="528" customFormat="1" x14ac:dyDescent="0.25">
      <c r="D34" s="528">
        <f>'A1'!L73</f>
        <v>5</v>
      </c>
      <c r="E34" s="528" t="str">
        <f>'A1'!N73</f>
        <v>Territory Tech Manager</v>
      </c>
      <c r="G34" s="1078">
        <f>'A1'!P73</f>
        <v>120</v>
      </c>
      <c r="H34" s="1076" t="str">
        <f>'A1'!Q73</f>
        <v>Station / FTE</v>
      </c>
      <c r="I34" s="581">
        <f>IFERROR(I$12/$G34,"n/a")</f>
        <v>0</v>
      </c>
      <c r="J34" s="581">
        <f t="shared" ref="J34:T34" si="10">IFERROR(J$12/$G34,"n/a")</f>
        <v>0</v>
      </c>
      <c r="K34" s="581">
        <f t="shared" si="10"/>
        <v>0</v>
      </c>
      <c r="L34" s="581">
        <f t="shared" si="10"/>
        <v>0</v>
      </c>
      <c r="M34" s="581">
        <f t="shared" si="10"/>
        <v>0</v>
      </c>
      <c r="N34" s="581">
        <f t="shared" si="10"/>
        <v>0</v>
      </c>
      <c r="O34" s="581">
        <f t="shared" si="10"/>
        <v>0</v>
      </c>
      <c r="P34" s="581">
        <f t="shared" si="10"/>
        <v>0</v>
      </c>
      <c r="Q34" s="581">
        <f t="shared" si="10"/>
        <v>0</v>
      </c>
      <c r="R34" s="581">
        <f t="shared" si="10"/>
        <v>0</v>
      </c>
      <c r="S34" s="581">
        <f t="shared" si="10"/>
        <v>0</v>
      </c>
      <c r="T34" s="778">
        <f t="shared" si="10"/>
        <v>0</v>
      </c>
      <c r="U34" s="581"/>
      <c r="V34" s="581">
        <f>IFERROR(V$12/$G34,"n/a")</f>
        <v>0</v>
      </c>
      <c r="W34" s="581">
        <f>IFERROR(W$12/$G34,"n/a")</f>
        <v>0</v>
      </c>
      <c r="X34" s="581">
        <f>IFERROR(X$12/$G34,"n/a")</f>
        <v>0</v>
      </c>
      <c r="Y34" s="778">
        <f>IFERROR(Y$12/$G34,"n/a")</f>
        <v>0</v>
      </c>
      <c r="Z34" s="581"/>
      <c r="AA34" s="1103">
        <f t="shared" si="8"/>
        <v>0</v>
      </c>
      <c r="AB34" s="1103">
        <f t="shared" si="9"/>
        <v>0</v>
      </c>
      <c r="AC34" s="581">
        <f>IFERROR(AC$12/$G34,"n/a")</f>
        <v>0</v>
      </c>
      <c r="AD34" s="581">
        <f>IFERROR(AD$12/$G34,"n/a")</f>
        <v>0</v>
      </c>
      <c r="AE34" s="581">
        <f>IFERROR(AE$12/$G34,"n/a")</f>
        <v>0</v>
      </c>
    </row>
    <row r="35" spans="4:31" s="528" customFormat="1" x14ac:dyDescent="0.25">
      <c r="D35" s="528">
        <f>'A1'!L74</f>
        <v>6</v>
      </c>
      <c r="E35" s="528" t="str">
        <f>'A1'!N74</f>
        <v>Biomed Technician</v>
      </c>
      <c r="G35" s="1078">
        <f>'A1'!P74</f>
        <v>48</v>
      </c>
      <c r="H35" s="1076" t="str">
        <f>'A1'!Q74</f>
        <v>Station / FTE</v>
      </c>
      <c r="I35" s="581">
        <f t="shared" ref="I35:T38" si="11">IFERROR(I$12/$G35,"n/a")</f>
        <v>0</v>
      </c>
      <c r="J35" s="581">
        <f t="shared" si="11"/>
        <v>0</v>
      </c>
      <c r="K35" s="581">
        <f t="shared" si="11"/>
        <v>0</v>
      </c>
      <c r="L35" s="581">
        <f t="shared" si="11"/>
        <v>0</v>
      </c>
      <c r="M35" s="581">
        <f t="shared" si="11"/>
        <v>0</v>
      </c>
      <c r="N35" s="581">
        <f t="shared" si="11"/>
        <v>0</v>
      </c>
      <c r="O35" s="581">
        <f t="shared" si="11"/>
        <v>0</v>
      </c>
      <c r="P35" s="581">
        <f t="shared" si="11"/>
        <v>0</v>
      </c>
      <c r="Q35" s="581">
        <f t="shared" si="11"/>
        <v>0</v>
      </c>
      <c r="R35" s="581">
        <f t="shared" si="11"/>
        <v>0</v>
      </c>
      <c r="S35" s="581">
        <f t="shared" si="11"/>
        <v>0</v>
      </c>
      <c r="T35" s="778">
        <f t="shared" si="11"/>
        <v>0</v>
      </c>
      <c r="U35" s="581"/>
      <c r="V35" s="581">
        <f t="shared" ref="V35:Y38" si="12">IFERROR(V$12/$G35,"n/a")</f>
        <v>0</v>
      </c>
      <c r="W35" s="581">
        <f t="shared" si="12"/>
        <v>0</v>
      </c>
      <c r="X35" s="581">
        <f t="shared" si="12"/>
        <v>0</v>
      </c>
      <c r="Y35" s="778">
        <f t="shared" si="12"/>
        <v>0</v>
      </c>
      <c r="Z35" s="581"/>
      <c r="AA35" s="1103">
        <f t="shared" si="8"/>
        <v>0</v>
      </c>
      <c r="AB35" s="1103">
        <f t="shared" si="9"/>
        <v>0</v>
      </c>
      <c r="AC35" s="581">
        <f t="shared" ref="AC35:AE38" si="13">IFERROR(AC$12/$G35,"n/a")</f>
        <v>0</v>
      </c>
      <c r="AD35" s="581">
        <f t="shared" si="13"/>
        <v>0</v>
      </c>
      <c r="AE35" s="581">
        <f t="shared" si="13"/>
        <v>0</v>
      </c>
    </row>
    <row r="36" spans="4:31" s="528" customFormat="1" x14ac:dyDescent="0.25">
      <c r="D36" s="528">
        <f>'A1'!L75</f>
        <v>7</v>
      </c>
      <c r="E36" s="528" t="str">
        <f>'A1'!N75</f>
        <v>Dietician</v>
      </c>
      <c r="G36" s="1078">
        <f>'A1'!P75</f>
        <v>110</v>
      </c>
      <c r="H36" s="1077" t="str">
        <f>'A1'!Q75</f>
        <v>Patient / FTE</v>
      </c>
      <c r="I36" s="581">
        <f t="shared" si="11"/>
        <v>0</v>
      </c>
      <c r="J36" s="581">
        <f t="shared" si="11"/>
        <v>0</v>
      </c>
      <c r="K36" s="581">
        <f t="shared" si="11"/>
        <v>0</v>
      </c>
      <c r="L36" s="581">
        <f t="shared" si="11"/>
        <v>0</v>
      </c>
      <c r="M36" s="581">
        <f t="shared" si="11"/>
        <v>0</v>
      </c>
      <c r="N36" s="581">
        <f t="shared" si="11"/>
        <v>0</v>
      </c>
      <c r="O36" s="581">
        <f t="shared" si="11"/>
        <v>0</v>
      </c>
      <c r="P36" s="581">
        <f t="shared" si="11"/>
        <v>0</v>
      </c>
      <c r="Q36" s="581">
        <f t="shared" si="11"/>
        <v>0</v>
      </c>
      <c r="R36" s="581">
        <f t="shared" si="11"/>
        <v>0</v>
      </c>
      <c r="S36" s="581">
        <f t="shared" si="11"/>
        <v>0</v>
      </c>
      <c r="T36" s="778">
        <f t="shared" si="11"/>
        <v>0</v>
      </c>
      <c r="U36" s="581"/>
      <c r="V36" s="581">
        <f t="shared" si="12"/>
        <v>0</v>
      </c>
      <c r="W36" s="581">
        <f t="shared" si="12"/>
        <v>0</v>
      </c>
      <c r="X36" s="581">
        <f t="shared" si="12"/>
        <v>0</v>
      </c>
      <c r="Y36" s="778">
        <f t="shared" si="12"/>
        <v>0</v>
      </c>
      <c r="Z36" s="581"/>
      <c r="AA36" s="1103">
        <f t="shared" si="8"/>
        <v>0</v>
      </c>
      <c r="AB36" s="1103">
        <f t="shared" si="9"/>
        <v>0</v>
      </c>
      <c r="AC36" s="581">
        <f t="shared" si="13"/>
        <v>0</v>
      </c>
      <c r="AD36" s="581">
        <f t="shared" si="13"/>
        <v>0</v>
      </c>
      <c r="AE36" s="581">
        <f t="shared" si="13"/>
        <v>0</v>
      </c>
    </row>
    <row r="37" spans="4:31" s="528" customFormat="1" x14ac:dyDescent="0.25">
      <c r="D37" s="528">
        <f>'A1'!L76</f>
        <v>8</v>
      </c>
      <c r="E37" s="528" t="str">
        <f>'A1'!N76</f>
        <v>Social Worker</v>
      </c>
      <c r="G37" s="1078">
        <f>'A1'!P76</f>
        <v>110</v>
      </c>
      <c r="H37" s="1077" t="str">
        <f>'A1'!Q76</f>
        <v>Patient / FTE</v>
      </c>
      <c r="I37" s="581">
        <f t="shared" si="11"/>
        <v>0</v>
      </c>
      <c r="J37" s="581">
        <f t="shared" si="11"/>
        <v>0</v>
      </c>
      <c r="K37" s="581">
        <f t="shared" si="11"/>
        <v>0</v>
      </c>
      <c r="L37" s="581">
        <f t="shared" si="11"/>
        <v>0</v>
      </c>
      <c r="M37" s="581">
        <f t="shared" si="11"/>
        <v>0</v>
      </c>
      <c r="N37" s="581">
        <f t="shared" si="11"/>
        <v>0</v>
      </c>
      <c r="O37" s="581">
        <f t="shared" si="11"/>
        <v>0</v>
      </c>
      <c r="P37" s="581">
        <f t="shared" si="11"/>
        <v>0</v>
      </c>
      <c r="Q37" s="581">
        <f t="shared" si="11"/>
        <v>0</v>
      </c>
      <c r="R37" s="581">
        <f t="shared" si="11"/>
        <v>0</v>
      </c>
      <c r="S37" s="581">
        <f t="shared" si="11"/>
        <v>0</v>
      </c>
      <c r="T37" s="778">
        <f t="shared" si="11"/>
        <v>0</v>
      </c>
      <c r="U37" s="581"/>
      <c r="V37" s="581">
        <f t="shared" si="12"/>
        <v>0</v>
      </c>
      <c r="W37" s="581">
        <f t="shared" si="12"/>
        <v>0</v>
      </c>
      <c r="X37" s="581">
        <f t="shared" si="12"/>
        <v>0</v>
      </c>
      <c r="Y37" s="778">
        <f t="shared" si="12"/>
        <v>0</v>
      </c>
      <c r="Z37" s="581"/>
      <c r="AA37" s="1103">
        <f t="shared" si="8"/>
        <v>0</v>
      </c>
      <c r="AB37" s="1103">
        <f t="shared" si="9"/>
        <v>0</v>
      </c>
      <c r="AC37" s="581">
        <f t="shared" si="13"/>
        <v>0</v>
      </c>
      <c r="AD37" s="581">
        <f t="shared" si="13"/>
        <v>0</v>
      </c>
      <c r="AE37" s="581">
        <f t="shared" si="13"/>
        <v>0</v>
      </c>
    </row>
    <row r="38" spans="4:31" s="528" customFormat="1" x14ac:dyDescent="0.25">
      <c r="D38" s="528">
        <f>'A1'!L77</f>
        <v>9</v>
      </c>
      <c r="E38" s="528" t="str">
        <f>'A1'!N77</f>
        <v>Administrative Support</v>
      </c>
      <c r="G38" s="1078">
        <f>'A1'!P77</f>
        <v>50</v>
      </c>
      <c r="H38" s="1077" t="str">
        <f>'A1'!Q77</f>
        <v>Patient / FTE</v>
      </c>
      <c r="I38" s="581">
        <f t="shared" si="11"/>
        <v>0</v>
      </c>
      <c r="J38" s="581">
        <f t="shared" si="11"/>
        <v>0</v>
      </c>
      <c r="K38" s="581">
        <f t="shared" si="11"/>
        <v>0</v>
      </c>
      <c r="L38" s="581">
        <f t="shared" si="11"/>
        <v>0</v>
      </c>
      <c r="M38" s="581">
        <f t="shared" si="11"/>
        <v>0</v>
      </c>
      <c r="N38" s="581">
        <f t="shared" si="11"/>
        <v>0</v>
      </c>
      <c r="O38" s="581">
        <f t="shared" si="11"/>
        <v>0</v>
      </c>
      <c r="P38" s="581">
        <f t="shared" si="11"/>
        <v>0</v>
      </c>
      <c r="Q38" s="581">
        <f t="shared" si="11"/>
        <v>0</v>
      </c>
      <c r="R38" s="581">
        <f t="shared" si="11"/>
        <v>0</v>
      </c>
      <c r="S38" s="581">
        <f t="shared" si="11"/>
        <v>0</v>
      </c>
      <c r="T38" s="778">
        <f t="shared" si="11"/>
        <v>0</v>
      </c>
      <c r="U38" s="581"/>
      <c r="V38" s="581">
        <f t="shared" si="12"/>
        <v>0</v>
      </c>
      <c r="W38" s="581">
        <f t="shared" si="12"/>
        <v>0</v>
      </c>
      <c r="X38" s="581">
        <f t="shared" si="12"/>
        <v>0</v>
      </c>
      <c r="Y38" s="778">
        <f t="shared" si="12"/>
        <v>0</v>
      </c>
      <c r="Z38" s="581"/>
      <c r="AA38" s="1103">
        <f t="shared" si="8"/>
        <v>0</v>
      </c>
      <c r="AB38" s="1103">
        <f t="shared" si="9"/>
        <v>0</v>
      </c>
      <c r="AC38" s="581">
        <f t="shared" si="13"/>
        <v>0</v>
      </c>
      <c r="AD38" s="581">
        <f t="shared" si="13"/>
        <v>0</v>
      </c>
      <c r="AE38" s="581">
        <f t="shared" si="13"/>
        <v>0</v>
      </c>
    </row>
    <row r="39" spans="4:31" s="528" customFormat="1" x14ac:dyDescent="0.25">
      <c r="F39" s="779" t="s">
        <v>13</v>
      </c>
      <c r="G39" s="1079"/>
      <c r="H39" s="779"/>
      <c r="I39" s="780">
        <f t="shared" ref="I39:T39" si="14">SUM(I33:I38)</f>
        <v>0</v>
      </c>
      <c r="J39" s="780">
        <f t="shared" si="14"/>
        <v>0</v>
      </c>
      <c r="K39" s="780">
        <f t="shared" si="14"/>
        <v>0</v>
      </c>
      <c r="L39" s="780">
        <f t="shared" si="14"/>
        <v>0</v>
      </c>
      <c r="M39" s="780">
        <f t="shared" si="14"/>
        <v>0</v>
      </c>
      <c r="N39" s="780">
        <f t="shared" si="14"/>
        <v>0</v>
      </c>
      <c r="O39" s="780">
        <f t="shared" si="14"/>
        <v>0</v>
      </c>
      <c r="P39" s="780">
        <f t="shared" si="14"/>
        <v>0</v>
      </c>
      <c r="Q39" s="780">
        <f t="shared" si="14"/>
        <v>0</v>
      </c>
      <c r="R39" s="780">
        <f t="shared" si="14"/>
        <v>0</v>
      </c>
      <c r="S39" s="780">
        <f t="shared" si="14"/>
        <v>0</v>
      </c>
      <c r="T39" s="1365">
        <f t="shared" si="14"/>
        <v>0</v>
      </c>
      <c r="U39" s="779"/>
      <c r="V39" s="780">
        <f>SUM(V33:V38)</f>
        <v>0</v>
      </c>
      <c r="W39" s="780">
        <f>SUM(W33:W38)</f>
        <v>0</v>
      </c>
      <c r="X39" s="780">
        <f>SUM(X33:X38)</f>
        <v>0</v>
      </c>
      <c r="Y39" s="1365">
        <f>SUM(Y33:Y38)</f>
        <v>0</v>
      </c>
      <c r="Z39" s="780"/>
      <c r="AA39" s="780">
        <f>SUM(AA33:AA38)</f>
        <v>0</v>
      </c>
      <c r="AB39" s="780">
        <f>SUM(AB33:AB38)</f>
        <v>0</v>
      </c>
      <c r="AC39" s="780">
        <f>SUM(AC33:AC38)</f>
        <v>0</v>
      </c>
      <c r="AD39" s="780">
        <f>SUM(AD33:AD38)</f>
        <v>0</v>
      </c>
      <c r="AE39" s="780">
        <f>SUM(AE33:AE38)</f>
        <v>0</v>
      </c>
    </row>
    <row r="40" spans="4:31" s="528" customFormat="1" x14ac:dyDescent="0.25">
      <c r="G40" s="56"/>
      <c r="T40" s="772"/>
      <c r="Y40" s="772"/>
      <c r="Z40" s="581"/>
      <c r="AA40" s="581"/>
      <c r="AB40" s="581"/>
    </row>
    <row r="41" spans="4:31" s="528" customFormat="1" x14ac:dyDescent="0.25">
      <c r="D41" s="774" t="str">
        <f>$C$14&amp; " FTE"</f>
        <v>Home Dialysis FTE</v>
      </c>
      <c r="G41" s="56"/>
      <c r="T41" s="772"/>
      <c r="Y41" s="772"/>
      <c r="Z41" s="1"/>
    </row>
    <row r="42" spans="4:31" s="528" customFormat="1" x14ac:dyDescent="0.25">
      <c r="D42" s="528">
        <f>D23</f>
        <v>4</v>
      </c>
      <c r="E42" s="528" t="str">
        <f>E23</f>
        <v>RN</v>
      </c>
      <c r="G42" s="1078">
        <f>'A1'!R72</f>
        <v>18</v>
      </c>
      <c r="H42" s="1077" t="str">
        <f>'A1'!S72</f>
        <v>Patient / FTE</v>
      </c>
      <c r="I42" s="581">
        <f>I$15/$G42</f>
        <v>3.2327709392981965</v>
      </c>
      <c r="J42" s="581">
        <f t="shared" ref="J42:AE42" si="15">J$15/$G42</f>
        <v>3.2380625647135552</v>
      </c>
      <c r="K42" s="581">
        <f t="shared" si="15"/>
        <v>3.2486631389489071</v>
      </c>
      <c r="L42" s="581">
        <f t="shared" si="15"/>
        <v>3.2592984167058474</v>
      </c>
      <c r="M42" s="581">
        <f t="shared" si="15"/>
        <v>3.2699685115946746</v>
      </c>
      <c r="N42" s="581">
        <f t="shared" si="15"/>
        <v>3.2806735375976199</v>
      </c>
      <c r="O42" s="581">
        <f t="shared" si="15"/>
        <v>3.2914136090700605</v>
      </c>
      <c r="P42" s="581">
        <f t="shared" si="15"/>
        <v>3.3021888407417439</v>
      </c>
      <c r="Q42" s="581">
        <f t="shared" si="15"/>
        <v>3.3129993477180135</v>
      </c>
      <c r="R42" s="581">
        <f t="shared" si="15"/>
        <v>3.3238452454810372</v>
      </c>
      <c r="S42" s="581">
        <f t="shared" si="15"/>
        <v>3.3347266498910417</v>
      </c>
      <c r="T42" s="778">
        <f t="shared" si="15"/>
        <v>3.3456436771875486</v>
      </c>
      <c r="U42" s="581">
        <f t="shared" si="15"/>
        <v>0</v>
      </c>
      <c r="V42" s="581">
        <f t="shared" si="15"/>
        <v>3.36367777777778</v>
      </c>
      <c r="W42" s="581">
        <f t="shared" si="15"/>
        <v>3.3888111111111128</v>
      </c>
      <c r="X42" s="581">
        <f t="shared" si="15"/>
        <v>3.4139444444444464</v>
      </c>
      <c r="Y42" s="778">
        <f t="shared" si="15"/>
        <v>3.4390777777777797</v>
      </c>
      <c r="Z42" s="1"/>
      <c r="AA42" s="581">
        <f>T42</f>
        <v>3.3456436771875486</v>
      </c>
      <c r="AB42" s="581">
        <f>Y42</f>
        <v>3.4390777777777797</v>
      </c>
      <c r="AC42" s="581">
        <f t="shared" si="15"/>
        <v>3.5034191111111128</v>
      </c>
      <c r="AD42" s="581">
        <f t="shared" si="15"/>
        <v>3.6085216844444465</v>
      </c>
      <c r="AE42" s="581">
        <f t="shared" si="15"/>
        <v>3.7167773349777797</v>
      </c>
    </row>
    <row r="43" spans="4:31" s="528" customFormat="1" x14ac:dyDescent="0.25">
      <c r="D43" s="528">
        <f t="shared" ref="D43:E46" si="16">D35</f>
        <v>6</v>
      </c>
      <c r="E43" s="528" t="str">
        <f t="shared" si="16"/>
        <v>Biomed Technician</v>
      </c>
      <c r="G43" s="1078">
        <f>'A1'!R74</f>
        <v>20</v>
      </c>
      <c r="H43" s="1077" t="str">
        <f>'A1'!S74</f>
        <v>Trnng Rm/FTE</v>
      </c>
      <c r="I43" s="581">
        <f t="shared" ref="I43:Y43" si="17">I17/$G43</f>
        <v>0.2</v>
      </c>
      <c r="J43" s="581">
        <f t="shared" si="17"/>
        <v>0.2</v>
      </c>
      <c r="K43" s="581">
        <f t="shared" si="17"/>
        <v>0.2</v>
      </c>
      <c r="L43" s="581">
        <f t="shared" si="17"/>
        <v>0.2</v>
      </c>
      <c r="M43" s="581">
        <f t="shared" si="17"/>
        <v>0.2</v>
      </c>
      <c r="N43" s="581">
        <f t="shared" si="17"/>
        <v>0.2</v>
      </c>
      <c r="O43" s="581">
        <f t="shared" si="17"/>
        <v>0.2</v>
      </c>
      <c r="P43" s="581">
        <f t="shared" si="17"/>
        <v>0.2</v>
      </c>
      <c r="Q43" s="581">
        <f t="shared" si="17"/>
        <v>0.2</v>
      </c>
      <c r="R43" s="581">
        <f t="shared" si="17"/>
        <v>0.2</v>
      </c>
      <c r="S43" s="581">
        <f t="shared" si="17"/>
        <v>0.2</v>
      </c>
      <c r="T43" s="778">
        <f t="shared" si="17"/>
        <v>0.2</v>
      </c>
      <c r="U43" s="581">
        <f t="shared" si="17"/>
        <v>0</v>
      </c>
      <c r="V43" s="581">
        <f t="shared" si="17"/>
        <v>0.2</v>
      </c>
      <c r="W43" s="581">
        <f t="shared" si="17"/>
        <v>0.2</v>
      </c>
      <c r="X43" s="581">
        <f t="shared" si="17"/>
        <v>0.2</v>
      </c>
      <c r="Y43" s="778">
        <f t="shared" si="17"/>
        <v>0.2</v>
      </c>
      <c r="Z43" s="1"/>
      <c r="AA43" s="581">
        <f>T43</f>
        <v>0.2</v>
      </c>
      <c r="AB43" s="581">
        <f>Y43</f>
        <v>0.2</v>
      </c>
      <c r="AC43" s="581">
        <f>AC17/$G43</f>
        <v>0.2</v>
      </c>
      <c r="AD43" s="581">
        <f>AD17/$G43</f>
        <v>0.2</v>
      </c>
      <c r="AE43" s="581">
        <f>AE17/$G43</f>
        <v>0.2</v>
      </c>
    </row>
    <row r="44" spans="4:31" s="528" customFormat="1" x14ac:dyDescent="0.25">
      <c r="D44" s="528">
        <f t="shared" si="16"/>
        <v>7</v>
      </c>
      <c r="E44" s="528" t="str">
        <f t="shared" si="16"/>
        <v>Dietician</v>
      </c>
      <c r="G44" s="1078">
        <f>'A1'!R75</f>
        <v>110</v>
      </c>
      <c r="H44" s="1077" t="str">
        <f>'A1'!S75</f>
        <v>Patient / FTE</v>
      </c>
      <c r="I44" s="581">
        <f>I$15/$G44</f>
        <v>0.52899888097606851</v>
      </c>
      <c r="J44" s="581">
        <f t="shared" ref="J44:AE46" si="18">J$15/$G44</f>
        <v>0.52986478331676357</v>
      </c>
      <c r="K44" s="581">
        <f t="shared" si="18"/>
        <v>0.53159942273709393</v>
      </c>
      <c r="L44" s="581">
        <f t="shared" si="18"/>
        <v>0.53333974091550229</v>
      </c>
      <c r="M44" s="581">
        <f t="shared" si="18"/>
        <v>0.53508575644276501</v>
      </c>
      <c r="N44" s="581">
        <f t="shared" si="18"/>
        <v>0.53683748797051967</v>
      </c>
      <c r="O44" s="581">
        <f t="shared" si="18"/>
        <v>0.53859495421146453</v>
      </c>
      <c r="P44" s="581">
        <f t="shared" si="18"/>
        <v>0.5403581739395581</v>
      </c>
      <c r="Q44" s="581">
        <f t="shared" si="18"/>
        <v>0.54212716599022037</v>
      </c>
      <c r="R44" s="581">
        <f t="shared" si="18"/>
        <v>0.54390194926053337</v>
      </c>
      <c r="S44" s="581">
        <f t="shared" si="18"/>
        <v>0.54568254270944316</v>
      </c>
      <c r="T44" s="778">
        <f t="shared" si="18"/>
        <v>0.54746896535796252</v>
      </c>
      <c r="U44" s="581">
        <f t="shared" si="18"/>
        <v>0</v>
      </c>
      <c r="V44" s="581">
        <f t="shared" si="18"/>
        <v>0.55042000000000035</v>
      </c>
      <c r="W44" s="581">
        <f t="shared" si="18"/>
        <v>0.55453272727272751</v>
      </c>
      <c r="X44" s="581">
        <f t="shared" si="18"/>
        <v>0.55864545454545489</v>
      </c>
      <c r="Y44" s="778">
        <f t="shared" si="18"/>
        <v>0.56275818181818216</v>
      </c>
      <c r="Z44" s="1"/>
      <c r="AA44" s="581">
        <f>T44</f>
        <v>0.54746896535796252</v>
      </c>
      <c r="AB44" s="581">
        <f>Y44</f>
        <v>0.56275818181818216</v>
      </c>
      <c r="AC44" s="581">
        <f t="shared" si="18"/>
        <v>0.57328676363636399</v>
      </c>
      <c r="AD44" s="581">
        <f t="shared" si="18"/>
        <v>0.59048536654545491</v>
      </c>
      <c r="AE44" s="581">
        <f t="shared" si="18"/>
        <v>0.60819992754181851</v>
      </c>
    </row>
    <row r="45" spans="4:31" s="528" customFormat="1" x14ac:dyDescent="0.25">
      <c r="D45" s="528">
        <f t="shared" si="16"/>
        <v>8</v>
      </c>
      <c r="E45" s="528" t="str">
        <f t="shared" si="16"/>
        <v>Social Worker</v>
      </c>
      <c r="G45" s="1078">
        <f>'A1'!R76</f>
        <v>110</v>
      </c>
      <c r="H45" s="1077" t="str">
        <f>'A1'!S76</f>
        <v>Patient / FTE</v>
      </c>
      <c r="I45" s="581">
        <f>I$15/$G45</f>
        <v>0.52899888097606851</v>
      </c>
      <c r="J45" s="581">
        <f t="shared" si="18"/>
        <v>0.52986478331676357</v>
      </c>
      <c r="K45" s="581">
        <f t="shared" si="18"/>
        <v>0.53159942273709393</v>
      </c>
      <c r="L45" s="581">
        <f t="shared" si="18"/>
        <v>0.53333974091550229</v>
      </c>
      <c r="M45" s="581">
        <f t="shared" si="18"/>
        <v>0.53508575644276501</v>
      </c>
      <c r="N45" s="581">
        <f t="shared" si="18"/>
        <v>0.53683748797051967</v>
      </c>
      <c r="O45" s="581">
        <f t="shared" si="18"/>
        <v>0.53859495421146453</v>
      </c>
      <c r="P45" s="581">
        <f t="shared" si="18"/>
        <v>0.5403581739395581</v>
      </c>
      <c r="Q45" s="581">
        <f t="shared" si="18"/>
        <v>0.54212716599022037</v>
      </c>
      <c r="R45" s="581">
        <f t="shared" si="18"/>
        <v>0.54390194926053337</v>
      </c>
      <c r="S45" s="581">
        <f t="shared" si="18"/>
        <v>0.54568254270944316</v>
      </c>
      <c r="T45" s="778">
        <f t="shared" si="18"/>
        <v>0.54746896535796252</v>
      </c>
      <c r="U45" s="581">
        <f t="shared" si="18"/>
        <v>0</v>
      </c>
      <c r="V45" s="581">
        <f t="shared" si="18"/>
        <v>0.55042000000000035</v>
      </c>
      <c r="W45" s="581">
        <f t="shared" si="18"/>
        <v>0.55453272727272751</v>
      </c>
      <c r="X45" s="581">
        <f t="shared" si="18"/>
        <v>0.55864545454545489</v>
      </c>
      <c r="Y45" s="778">
        <f t="shared" si="18"/>
        <v>0.56275818181818216</v>
      </c>
      <c r="Z45" s="1"/>
      <c r="AA45" s="581">
        <f>T45</f>
        <v>0.54746896535796252</v>
      </c>
      <c r="AB45" s="581">
        <f>Y45</f>
        <v>0.56275818181818216</v>
      </c>
      <c r="AC45" s="581">
        <f t="shared" si="18"/>
        <v>0.57328676363636399</v>
      </c>
      <c r="AD45" s="581">
        <f t="shared" si="18"/>
        <v>0.59048536654545491</v>
      </c>
      <c r="AE45" s="581">
        <f t="shared" si="18"/>
        <v>0.60819992754181851</v>
      </c>
    </row>
    <row r="46" spans="4:31" s="528" customFormat="1" x14ac:dyDescent="0.25">
      <c r="D46" s="528">
        <f t="shared" si="16"/>
        <v>9</v>
      </c>
      <c r="E46" s="528" t="str">
        <f t="shared" si="16"/>
        <v>Administrative Support</v>
      </c>
      <c r="G46" s="1078">
        <f>'A1'!R77</f>
        <v>30</v>
      </c>
      <c r="H46" s="1077" t="str">
        <f>'A1'!S77</f>
        <v>Patient / FTE</v>
      </c>
      <c r="I46" s="581">
        <f>I$15/$G46</f>
        <v>1.9396625635789178</v>
      </c>
      <c r="J46" s="581">
        <f t="shared" si="18"/>
        <v>1.9428375388281331</v>
      </c>
      <c r="K46" s="581">
        <f t="shared" si="18"/>
        <v>1.9491978833693442</v>
      </c>
      <c r="L46" s="581">
        <f t="shared" si="18"/>
        <v>1.9555790500235084</v>
      </c>
      <c r="M46" s="581">
        <f t="shared" si="18"/>
        <v>1.9619811069568049</v>
      </c>
      <c r="N46" s="581">
        <f t="shared" si="18"/>
        <v>1.968404122558572</v>
      </c>
      <c r="O46" s="581">
        <f t="shared" si="18"/>
        <v>1.9748481654420365</v>
      </c>
      <c r="P46" s="581">
        <f t="shared" si="18"/>
        <v>1.9813133044450464</v>
      </c>
      <c r="Q46" s="581">
        <f t="shared" si="18"/>
        <v>1.9877996086308081</v>
      </c>
      <c r="R46" s="581">
        <f t="shared" si="18"/>
        <v>1.9943071472886225</v>
      </c>
      <c r="S46" s="581">
        <f>S$15/$G46</f>
        <v>2.0008359899346249</v>
      </c>
      <c r="T46" s="1102">
        <f>T$15/$G46</f>
        <v>2.0073862063125292</v>
      </c>
      <c r="U46" s="581">
        <f t="shared" si="18"/>
        <v>0</v>
      </c>
      <c r="V46" s="581">
        <f t="shared" si="18"/>
        <v>2.0182066666666683</v>
      </c>
      <c r="W46" s="581">
        <f t="shared" si="18"/>
        <v>2.0332866666666676</v>
      </c>
      <c r="X46" s="581">
        <f t="shared" si="18"/>
        <v>2.0483666666666678</v>
      </c>
      <c r="Y46" s="778">
        <f>Y$15/$G46</f>
        <v>2.063446666666668</v>
      </c>
      <c r="Z46" s="1"/>
      <c r="AA46" s="581">
        <f>T46</f>
        <v>2.0073862063125292</v>
      </c>
      <c r="AB46" s="581">
        <f>Y46</f>
        <v>2.063446666666668</v>
      </c>
      <c r="AC46" s="581">
        <f t="shared" si="18"/>
        <v>2.1020514666666679</v>
      </c>
      <c r="AD46" s="581">
        <f t="shared" si="18"/>
        <v>2.1651130106666678</v>
      </c>
      <c r="AE46" s="581">
        <f t="shared" si="18"/>
        <v>2.2300664009866678</v>
      </c>
    </row>
    <row r="47" spans="4:31" s="528" customFormat="1" x14ac:dyDescent="0.25">
      <c r="F47" s="779" t="s">
        <v>13</v>
      </c>
      <c r="G47" s="779"/>
      <c r="H47" s="779"/>
      <c r="I47" s="780">
        <f>SUM(I42:I46)</f>
        <v>6.4304312648292514</v>
      </c>
      <c r="J47" s="780">
        <f t="shared" ref="J47:Y47" si="19">SUM(J42:J46)</f>
        <v>6.4406296701752153</v>
      </c>
      <c r="K47" s="780">
        <f t="shared" si="19"/>
        <v>6.4610598677924393</v>
      </c>
      <c r="L47" s="780">
        <f t="shared" si="19"/>
        <v>6.4815569485603604</v>
      </c>
      <c r="M47" s="780">
        <f t="shared" si="19"/>
        <v>6.5021211314370095</v>
      </c>
      <c r="N47" s="780">
        <f t="shared" si="19"/>
        <v>6.5227526360972305</v>
      </c>
      <c r="O47" s="780">
        <f t="shared" si="19"/>
        <v>6.543451682935026</v>
      </c>
      <c r="P47" s="780">
        <f t="shared" si="19"/>
        <v>6.5642184930659067</v>
      </c>
      <c r="Q47" s="780">
        <f t="shared" si="19"/>
        <v>6.5850532883292621</v>
      </c>
      <c r="R47" s="780">
        <f t="shared" si="19"/>
        <v>6.6059562912907266</v>
      </c>
      <c r="S47" s="780">
        <f t="shared" si="19"/>
        <v>6.6269277252445526</v>
      </c>
      <c r="T47" s="1365">
        <f t="shared" si="19"/>
        <v>6.6479678142160035</v>
      </c>
      <c r="U47" s="780">
        <f t="shared" si="19"/>
        <v>0</v>
      </c>
      <c r="V47" s="780">
        <f t="shared" si="19"/>
        <v>6.6827244444444496</v>
      </c>
      <c r="W47" s="780">
        <f t="shared" si="19"/>
        <v>6.7311632323232349</v>
      </c>
      <c r="X47" s="780">
        <f t="shared" si="19"/>
        <v>6.7796020202020237</v>
      </c>
      <c r="Y47" s="1365">
        <f t="shared" si="19"/>
        <v>6.8280408080808126</v>
      </c>
      <c r="Z47" s="686"/>
      <c r="AA47" s="780">
        <f>SUM(AA42:AA46)</f>
        <v>6.6479678142160035</v>
      </c>
      <c r="AB47" s="780">
        <f>SUM(AB42:AB46)</f>
        <v>6.8280408080808126</v>
      </c>
      <c r="AC47" s="780">
        <f>SUM(AC42:AC46)</f>
        <v>6.9520441050505095</v>
      </c>
      <c r="AD47" s="780">
        <f>SUM(AD42:AD46)</f>
        <v>7.1546054282020233</v>
      </c>
      <c r="AE47" s="780">
        <f>SUM(AE42:AE46)</f>
        <v>7.3632435910480849</v>
      </c>
    </row>
    <row r="48" spans="4:31" s="528" customFormat="1" x14ac:dyDescent="0.25">
      <c r="T48" s="772"/>
      <c r="U48" s="581">
        <f>$G48*U$15</f>
        <v>0</v>
      </c>
      <c r="Y48" s="772"/>
      <c r="Z48" s="1"/>
    </row>
    <row r="49" spans="1:38" x14ac:dyDescent="0.25">
      <c r="D49" s="157" t="s">
        <v>467</v>
      </c>
      <c r="G49" s="36"/>
      <c r="H49" s="36"/>
      <c r="I49" s="36"/>
      <c r="J49" s="36"/>
      <c r="K49" s="36"/>
      <c r="L49" s="36"/>
      <c r="M49" s="36"/>
      <c r="N49" s="36"/>
      <c r="O49" s="36"/>
      <c r="P49" s="36"/>
      <c r="Q49" s="36"/>
      <c r="R49" s="36"/>
      <c r="S49" s="36"/>
      <c r="T49" s="51"/>
      <c r="U49" s="36"/>
      <c r="V49" s="36"/>
      <c r="W49" s="36"/>
      <c r="X49" s="36"/>
      <c r="Y49" s="51"/>
      <c r="AA49" s="36"/>
      <c r="AB49" s="36"/>
      <c r="AC49" s="36"/>
      <c r="AD49" s="36"/>
      <c r="AE49" s="36"/>
    </row>
    <row r="50" spans="1:38" x14ac:dyDescent="0.25">
      <c r="D50" s="13">
        <f>'A1'!L69</f>
        <v>1</v>
      </c>
      <c r="E50" s="528" t="str">
        <f>'A1'!N69</f>
        <v>Clinical Manager</v>
      </c>
      <c r="F50" s="13"/>
      <c r="I50" s="36">
        <f>IF(OR($G$9=1,$G$14=1),1,'A1'!$T$69)</f>
        <v>1</v>
      </c>
      <c r="J50" s="36">
        <f>I50</f>
        <v>1</v>
      </c>
      <c r="K50" s="36">
        <f t="shared" ref="K50:T50" si="20">J50</f>
        <v>1</v>
      </c>
      <c r="L50" s="36">
        <f t="shared" si="20"/>
        <v>1</v>
      </c>
      <c r="M50" s="36">
        <f t="shared" si="20"/>
        <v>1</v>
      </c>
      <c r="N50" s="36">
        <f t="shared" si="20"/>
        <v>1</v>
      </c>
      <c r="O50" s="36">
        <f t="shared" si="20"/>
        <v>1</v>
      </c>
      <c r="P50" s="36">
        <f t="shared" si="20"/>
        <v>1</v>
      </c>
      <c r="Q50" s="36">
        <f t="shared" si="20"/>
        <v>1</v>
      </c>
      <c r="R50" s="36">
        <f t="shared" si="20"/>
        <v>1</v>
      </c>
      <c r="S50" s="36">
        <f t="shared" si="20"/>
        <v>1</v>
      </c>
      <c r="T50" s="51">
        <f t="shared" si="20"/>
        <v>1</v>
      </c>
      <c r="U50" s="36"/>
      <c r="V50" s="36">
        <f>T50</f>
        <v>1</v>
      </c>
      <c r="W50" s="36">
        <f>V50</f>
        <v>1</v>
      </c>
      <c r="X50" s="36">
        <f>W50</f>
        <v>1</v>
      </c>
      <c r="Y50" s="51">
        <f>X50</f>
        <v>1</v>
      </c>
      <c r="Z50" s="36"/>
      <c r="AA50" s="36">
        <f>T50</f>
        <v>1</v>
      </c>
      <c r="AB50" s="36">
        <f>Y50</f>
        <v>1</v>
      </c>
      <c r="AC50" s="36">
        <f>Y50</f>
        <v>1</v>
      </c>
      <c r="AD50" s="36">
        <f>AC50</f>
        <v>1</v>
      </c>
      <c r="AE50" s="36">
        <f>AD50</f>
        <v>1</v>
      </c>
    </row>
    <row r="51" spans="1:38" s="528" customFormat="1" x14ac:dyDescent="0.25">
      <c r="D51" s="13">
        <f>'A1'!L70</f>
        <v>2</v>
      </c>
      <c r="E51" s="528" t="str">
        <f>'A1'!N70</f>
        <v>Clinical Coordinator</v>
      </c>
      <c r="G51" s="1078">
        <f>'A1'!P70</f>
        <v>120</v>
      </c>
      <c r="H51" s="1077" t="str">
        <f>'A1'!Q70</f>
        <v>Ptnt Limit</v>
      </c>
      <c r="I51" s="581">
        <f t="shared" ref="I51:T51" si="21">IF(I10&gt;=$G51,1,0)</f>
        <v>0</v>
      </c>
      <c r="J51" s="581">
        <f t="shared" si="21"/>
        <v>0</v>
      </c>
      <c r="K51" s="581">
        <f t="shared" si="21"/>
        <v>0</v>
      </c>
      <c r="L51" s="581">
        <f t="shared" si="21"/>
        <v>0</v>
      </c>
      <c r="M51" s="581">
        <f t="shared" si="21"/>
        <v>0</v>
      </c>
      <c r="N51" s="581">
        <f t="shared" si="21"/>
        <v>0</v>
      </c>
      <c r="O51" s="581">
        <f t="shared" si="21"/>
        <v>0</v>
      </c>
      <c r="P51" s="581">
        <f t="shared" si="21"/>
        <v>0</v>
      </c>
      <c r="Q51" s="581">
        <f t="shared" si="21"/>
        <v>0</v>
      </c>
      <c r="R51" s="581">
        <f t="shared" si="21"/>
        <v>0</v>
      </c>
      <c r="S51" s="581">
        <f t="shared" si="21"/>
        <v>0</v>
      </c>
      <c r="T51" s="778">
        <f t="shared" si="21"/>
        <v>0</v>
      </c>
      <c r="V51" s="581">
        <f>IF(V10&gt;=$G51,1,0)</f>
        <v>0</v>
      </c>
      <c r="W51" s="581">
        <f>IF(W10&gt;=$G51,1,0)</f>
        <v>0</v>
      </c>
      <c r="X51" s="581">
        <f>IF(X10&gt;=$G51,1,0)</f>
        <v>0</v>
      </c>
      <c r="Y51" s="778">
        <f>IF(Y10&gt;=$G51,1,0)</f>
        <v>0</v>
      </c>
      <c r="Z51" s="1"/>
      <c r="AA51" s="36">
        <f t="shared" ref="AA51:AA58" si="22">T51</f>
        <v>0</v>
      </c>
      <c r="AB51" s="36">
        <f t="shared" ref="AB51:AB58" si="23">Y51</f>
        <v>0</v>
      </c>
      <c r="AC51" s="581">
        <f>IF(AC10&gt;=$G51,1,0)</f>
        <v>0</v>
      </c>
      <c r="AD51" s="581">
        <f>IF(AD10&gt;=$G51,1,0)</f>
        <v>0</v>
      </c>
      <c r="AE51" s="581">
        <f>IF(AE10&gt;=$G51,1,0)</f>
        <v>0</v>
      </c>
    </row>
    <row r="52" spans="1:38" x14ac:dyDescent="0.25">
      <c r="D52" s="13">
        <f>'A1'!L71</f>
        <v>3</v>
      </c>
      <c r="E52" s="528" t="str">
        <f>'A1'!N71</f>
        <v>CCHT (PCT)</v>
      </c>
      <c r="F52" s="13"/>
      <c r="G52" s="77"/>
      <c r="H52" s="76"/>
      <c r="I52" s="36">
        <f t="shared" ref="I52:I57" si="24">SUMIF($D$33:$D$46,$D52,I$33:I$46)</f>
        <v>0</v>
      </c>
      <c r="J52" s="36">
        <f t="shared" ref="J52:AE57" si="25">SUMIF($D$33:$D$46,$D52,J$33:J$46)</f>
        <v>0</v>
      </c>
      <c r="K52" s="36">
        <f t="shared" si="25"/>
        <v>0</v>
      </c>
      <c r="L52" s="36">
        <f t="shared" si="25"/>
        <v>0</v>
      </c>
      <c r="M52" s="36">
        <f t="shared" si="25"/>
        <v>0</v>
      </c>
      <c r="N52" s="36">
        <f t="shared" si="25"/>
        <v>0</v>
      </c>
      <c r="O52" s="36">
        <f t="shared" si="25"/>
        <v>0</v>
      </c>
      <c r="P52" s="36">
        <f t="shared" si="25"/>
        <v>0</v>
      </c>
      <c r="Q52" s="36">
        <f t="shared" si="25"/>
        <v>0</v>
      </c>
      <c r="R52" s="36">
        <f t="shared" si="25"/>
        <v>0</v>
      </c>
      <c r="S52" s="36">
        <f t="shared" si="25"/>
        <v>0</v>
      </c>
      <c r="T52" s="51">
        <f t="shared" si="25"/>
        <v>0</v>
      </c>
      <c r="U52" s="36">
        <f t="shared" si="25"/>
        <v>0</v>
      </c>
      <c r="V52" s="36">
        <f t="shared" si="25"/>
        <v>0</v>
      </c>
      <c r="W52" s="36">
        <f t="shared" si="25"/>
        <v>0</v>
      </c>
      <c r="X52" s="36">
        <f t="shared" si="25"/>
        <v>0</v>
      </c>
      <c r="Y52" s="51">
        <f t="shared" si="25"/>
        <v>0</v>
      </c>
      <c r="Z52" s="36"/>
      <c r="AA52" s="36">
        <f t="shared" si="22"/>
        <v>0</v>
      </c>
      <c r="AB52" s="36">
        <f t="shared" si="23"/>
        <v>0</v>
      </c>
      <c r="AC52" s="36">
        <f t="shared" si="25"/>
        <v>0</v>
      </c>
      <c r="AD52" s="36">
        <f t="shared" si="25"/>
        <v>0</v>
      </c>
      <c r="AE52" s="36">
        <f t="shared" si="25"/>
        <v>0</v>
      </c>
    </row>
    <row r="53" spans="1:38" x14ac:dyDescent="0.25">
      <c r="D53" s="13">
        <f>'A1'!L72</f>
        <v>4</v>
      </c>
      <c r="E53" s="528" t="str">
        <f>'A1'!N72</f>
        <v>RN</v>
      </c>
      <c r="F53" s="13"/>
      <c r="G53" s="77"/>
      <c r="H53" s="76"/>
      <c r="I53" s="36">
        <f t="shared" si="24"/>
        <v>3.2327709392981965</v>
      </c>
      <c r="J53" s="36">
        <f t="shared" si="25"/>
        <v>3.2380625647135552</v>
      </c>
      <c r="K53" s="36">
        <f t="shared" si="25"/>
        <v>3.2486631389489071</v>
      </c>
      <c r="L53" s="36">
        <f t="shared" si="25"/>
        <v>3.2592984167058474</v>
      </c>
      <c r="M53" s="36">
        <f t="shared" si="25"/>
        <v>3.2699685115946746</v>
      </c>
      <c r="N53" s="36">
        <f t="shared" si="25"/>
        <v>3.2806735375976199</v>
      </c>
      <c r="O53" s="36">
        <f t="shared" si="25"/>
        <v>3.2914136090700605</v>
      </c>
      <c r="P53" s="36">
        <f t="shared" si="25"/>
        <v>3.3021888407417439</v>
      </c>
      <c r="Q53" s="36">
        <f t="shared" si="25"/>
        <v>3.3129993477180135</v>
      </c>
      <c r="R53" s="36">
        <f t="shared" si="25"/>
        <v>3.3238452454810372</v>
      </c>
      <c r="S53" s="36">
        <f t="shared" si="25"/>
        <v>3.3347266498910417</v>
      </c>
      <c r="T53" s="51">
        <f t="shared" si="25"/>
        <v>3.3456436771875486</v>
      </c>
      <c r="U53" s="36">
        <f t="shared" si="25"/>
        <v>0</v>
      </c>
      <c r="V53" s="36">
        <f t="shared" si="25"/>
        <v>3.36367777777778</v>
      </c>
      <c r="W53" s="36">
        <f t="shared" si="25"/>
        <v>3.3888111111111128</v>
      </c>
      <c r="X53" s="36">
        <f t="shared" si="25"/>
        <v>3.4139444444444464</v>
      </c>
      <c r="Y53" s="51">
        <f t="shared" si="25"/>
        <v>3.4390777777777797</v>
      </c>
      <c r="Z53" s="36"/>
      <c r="AA53" s="36">
        <f t="shared" si="22"/>
        <v>3.3456436771875486</v>
      </c>
      <c r="AB53" s="36">
        <f t="shared" si="23"/>
        <v>3.4390777777777797</v>
      </c>
      <c r="AC53" s="36">
        <f t="shared" si="25"/>
        <v>3.5034191111111128</v>
      </c>
      <c r="AD53" s="36">
        <f t="shared" si="25"/>
        <v>3.6085216844444465</v>
      </c>
      <c r="AE53" s="36">
        <f t="shared" si="25"/>
        <v>3.7167773349777797</v>
      </c>
    </row>
    <row r="54" spans="1:38" x14ac:dyDescent="0.25">
      <c r="D54" s="13">
        <f>'A1'!L73</f>
        <v>5</v>
      </c>
      <c r="E54" s="528" t="str">
        <f>'A1'!N73</f>
        <v>Territory Tech Manager</v>
      </c>
      <c r="F54" s="13"/>
      <c r="G54" s="77"/>
      <c r="H54" s="76"/>
      <c r="I54" s="36">
        <f t="shared" si="24"/>
        <v>0</v>
      </c>
      <c r="J54" s="36">
        <f t="shared" si="25"/>
        <v>0</v>
      </c>
      <c r="K54" s="36">
        <f t="shared" si="25"/>
        <v>0</v>
      </c>
      <c r="L54" s="36">
        <f t="shared" si="25"/>
        <v>0</v>
      </c>
      <c r="M54" s="36">
        <f t="shared" si="25"/>
        <v>0</v>
      </c>
      <c r="N54" s="36">
        <f t="shared" si="25"/>
        <v>0</v>
      </c>
      <c r="O54" s="36">
        <f t="shared" si="25"/>
        <v>0</v>
      </c>
      <c r="P54" s="36">
        <f t="shared" si="25"/>
        <v>0</v>
      </c>
      <c r="Q54" s="36">
        <f t="shared" si="25"/>
        <v>0</v>
      </c>
      <c r="R54" s="36">
        <f t="shared" si="25"/>
        <v>0</v>
      </c>
      <c r="S54" s="36">
        <f t="shared" si="25"/>
        <v>0</v>
      </c>
      <c r="T54" s="51">
        <f t="shared" si="25"/>
        <v>0</v>
      </c>
      <c r="U54" s="36">
        <f t="shared" si="25"/>
        <v>0</v>
      </c>
      <c r="V54" s="36">
        <f t="shared" si="25"/>
        <v>0</v>
      </c>
      <c r="W54" s="36">
        <f t="shared" si="25"/>
        <v>0</v>
      </c>
      <c r="X54" s="36">
        <f t="shared" si="25"/>
        <v>0</v>
      </c>
      <c r="Y54" s="51">
        <f t="shared" si="25"/>
        <v>0</v>
      </c>
      <c r="Z54" s="36"/>
      <c r="AA54" s="36">
        <f t="shared" si="22"/>
        <v>0</v>
      </c>
      <c r="AB54" s="36">
        <f t="shared" si="23"/>
        <v>0</v>
      </c>
      <c r="AC54" s="36">
        <f t="shared" si="25"/>
        <v>0</v>
      </c>
      <c r="AD54" s="36">
        <f t="shared" si="25"/>
        <v>0</v>
      </c>
      <c r="AE54" s="36">
        <f t="shared" si="25"/>
        <v>0</v>
      </c>
    </row>
    <row r="55" spans="1:38" x14ac:dyDescent="0.25">
      <c r="D55" s="13">
        <f>'A1'!L74</f>
        <v>6</v>
      </c>
      <c r="E55" s="528" t="str">
        <f>'A1'!N74</f>
        <v>Biomed Technician</v>
      </c>
      <c r="F55" s="13"/>
      <c r="G55" s="77"/>
      <c r="H55" s="76"/>
      <c r="I55" s="36">
        <f t="shared" si="24"/>
        <v>0.2</v>
      </c>
      <c r="J55" s="36">
        <f t="shared" si="25"/>
        <v>0.2</v>
      </c>
      <c r="K55" s="36">
        <f t="shared" si="25"/>
        <v>0.2</v>
      </c>
      <c r="L55" s="36">
        <f t="shared" si="25"/>
        <v>0.2</v>
      </c>
      <c r="M55" s="36">
        <f t="shared" si="25"/>
        <v>0.2</v>
      </c>
      <c r="N55" s="36">
        <f t="shared" si="25"/>
        <v>0.2</v>
      </c>
      <c r="O55" s="36">
        <f t="shared" si="25"/>
        <v>0.2</v>
      </c>
      <c r="P55" s="36">
        <f t="shared" si="25"/>
        <v>0.2</v>
      </c>
      <c r="Q55" s="36">
        <f t="shared" si="25"/>
        <v>0.2</v>
      </c>
      <c r="R55" s="36">
        <f t="shared" si="25"/>
        <v>0.2</v>
      </c>
      <c r="S55" s="36">
        <f t="shared" si="25"/>
        <v>0.2</v>
      </c>
      <c r="T55" s="51">
        <f t="shared" si="25"/>
        <v>0.2</v>
      </c>
      <c r="U55" s="36">
        <f t="shared" si="25"/>
        <v>0</v>
      </c>
      <c r="V55" s="36">
        <f t="shared" si="25"/>
        <v>0.2</v>
      </c>
      <c r="W55" s="36">
        <f t="shared" si="25"/>
        <v>0.2</v>
      </c>
      <c r="X55" s="36">
        <f t="shared" si="25"/>
        <v>0.2</v>
      </c>
      <c r="Y55" s="51">
        <f t="shared" si="25"/>
        <v>0.2</v>
      </c>
      <c r="Z55" s="36"/>
      <c r="AA55" s="36">
        <f t="shared" si="22"/>
        <v>0.2</v>
      </c>
      <c r="AB55" s="36">
        <f t="shared" si="23"/>
        <v>0.2</v>
      </c>
      <c r="AC55" s="36">
        <f t="shared" si="25"/>
        <v>0.2</v>
      </c>
      <c r="AD55" s="36">
        <f t="shared" si="25"/>
        <v>0.2</v>
      </c>
      <c r="AE55" s="36">
        <f t="shared" si="25"/>
        <v>0.2</v>
      </c>
    </row>
    <row r="56" spans="1:38" x14ac:dyDescent="0.25">
      <c r="D56" s="13">
        <f>'A1'!L75</f>
        <v>7</v>
      </c>
      <c r="E56" s="528" t="str">
        <f>'A1'!N75</f>
        <v>Dietician</v>
      </c>
      <c r="F56" s="13"/>
      <c r="G56" s="77"/>
      <c r="H56" s="76"/>
      <c r="I56" s="36">
        <f t="shared" si="24"/>
        <v>0.52899888097606851</v>
      </c>
      <c r="J56" s="36">
        <f t="shared" si="25"/>
        <v>0.52986478331676357</v>
      </c>
      <c r="K56" s="36">
        <f t="shared" si="25"/>
        <v>0.53159942273709393</v>
      </c>
      <c r="L56" s="36">
        <f t="shared" si="25"/>
        <v>0.53333974091550229</v>
      </c>
      <c r="M56" s="36">
        <f t="shared" si="25"/>
        <v>0.53508575644276501</v>
      </c>
      <c r="N56" s="36">
        <f t="shared" si="25"/>
        <v>0.53683748797051967</v>
      </c>
      <c r="O56" s="36">
        <f t="shared" si="25"/>
        <v>0.53859495421146453</v>
      </c>
      <c r="P56" s="36">
        <f t="shared" si="25"/>
        <v>0.5403581739395581</v>
      </c>
      <c r="Q56" s="36">
        <f t="shared" si="25"/>
        <v>0.54212716599022037</v>
      </c>
      <c r="R56" s="36">
        <f t="shared" si="25"/>
        <v>0.54390194926053337</v>
      </c>
      <c r="S56" s="36">
        <f t="shared" si="25"/>
        <v>0.54568254270944316</v>
      </c>
      <c r="T56" s="51">
        <f t="shared" si="25"/>
        <v>0.54746896535796252</v>
      </c>
      <c r="U56" s="36">
        <f t="shared" si="25"/>
        <v>0</v>
      </c>
      <c r="V56" s="36">
        <f t="shared" si="25"/>
        <v>0.55042000000000035</v>
      </c>
      <c r="W56" s="36">
        <f t="shared" si="25"/>
        <v>0.55453272727272751</v>
      </c>
      <c r="X56" s="36">
        <f t="shared" si="25"/>
        <v>0.55864545454545489</v>
      </c>
      <c r="Y56" s="51">
        <f t="shared" si="25"/>
        <v>0.56275818181818216</v>
      </c>
      <c r="Z56" s="36"/>
      <c r="AA56" s="36">
        <f t="shared" si="22"/>
        <v>0.54746896535796252</v>
      </c>
      <c r="AB56" s="36">
        <f t="shared" si="23"/>
        <v>0.56275818181818216</v>
      </c>
      <c r="AC56" s="36">
        <f t="shared" si="25"/>
        <v>0.57328676363636399</v>
      </c>
      <c r="AD56" s="36">
        <f t="shared" si="25"/>
        <v>0.59048536654545491</v>
      </c>
      <c r="AE56" s="36">
        <f t="shared" si="25"/>
        <v>0.60819992754181851</v>
      </c>
    </row>
    <row r="57" spans="1:38" x14ac:dyDescent="0.25">
      <c r="D57" s="13">
        <f>'A1'!L76</f>
        <v>8</v>
      </c>
      <c r="E57" s="528" t="str">
        <f>'A1'!N76</f>
        <v>Social Worker</v>
      </c>
      <c r="F57" s="13"/>
      <c r="G57" s="77"/>
      <c r="H57" s="76"/>
      <c r="I57" s="36">
        <f t="shared" si="24"/>
        <v>0.52899888097606851</v>
      </c>
      <c r="J57" s="36">
        <f t="shared" si="25"/>
        <v>0.52986478331676357</v>
      </c>
      <c r="K57" s="36">
        <f t="shared" si="25"/>
        <v>0.53159942273709393</v>
      </c>
      <c r="L57" s="36">
        <f t="shared" si="25"/>
        <v>0.53333974091550229</v>
      </c>
      <c r="M57" s="36">
        <f t="shared" si="25"/>
        <v>0.53508575644276501</v>
      </c>
      <c r="N57" s="36">
        <f t="shared" si="25"/>
        <v>0.53683748797051967</v>
      </c>
      <c r="O57" s="36">
        <f t="shared" si="25"/>
        <v>0.53859495421146453</v>
      </c>
      <c r="P57" s="36">
        <f t="shared" si="25"/>
        <v>0.5403581739395581</v>
      </c>
      <c r="Q57" s="36">
        <f t="shared" si="25"/>
        <v>0.54212716599022037</v>
      </c>
      <c r="R57" s="36">
        <f t="shared" si="25"/>
        <v>0.54390194926053337</v>
      </c>
      <c r="S57" s="36">
        <f t="shared" si="25"/>
        <v>0.54568254270944316</v>
      </c>
      <c r="T57" s="51">
        <f t="shared" si="25"/>
        <v>0.54746896535796252</v>
      </c>
      <c r="U57" s="36">
        <f t="shared" si="25"/>
        <v>0</v>
      </c>
      <c r="V57" s="36">
        <f t="shared" si="25"/>
        <v>0.55042000000000035</v>
      </c>
      <c r="W57" s="36">
        <f t="shared" si="25"/>
        <v>0.55453272727272751</v>
      </c>
      <c r="X57" s="36">
        <f t="shared" si="25"/>
        <v>0.55864545454545489</v>
      </c>
      <c r="Y57" s="51">
        <f t="shared" si="25"/>
        <v>0.56275818181818216</v>
      </c>
      <c r="Z57" s="36"/>
      <c r="AA57" s="36">
        <f t="shared" si="22"/>
        <v>0.54746896535796252</v>
      </c>
      <c r="AB57" s="36">
        <f t="shared" si="23"/>
        <v>0.56275818181818216</v>
      </c>
      <c r="AC57" s="36">
        <f t="shared" si="25"/>
        <v>0.57328676363636399</v>
      </c>
      <c r="AD57" s="36">
        <f t="shared" si="25"/>
        <v>0.59048536654545491</v>
      </c>
      <c r="AE57" s="36">
        <f t="shared" si="25"/>
        <v>0.60819992754181851</v>
      </c>
    </row>
    <row r="58" spans="1:38" ht="17.25" x14ac:dyDescent="0.4">
      <c r="D58" s="13">
        <f>'A1'!L77</f>
        <v>9</v>
      </c>
      <c r="E58" s="528" t="str">
        <f>'A1'!N77</f>
        <v>Administrative Support</v>
      </c>
      <c r="F58" s="13"/>
      <c r="G58" s="77"/>
      <c r="H58" s="76"/>
      <c r="I58" s="781">
        <f t="shared" ref="I58:R58" si="26">MIN($AH$58,SUMIF($D$33:$D$46,$D58,I$33:I$46))</f>
        <v>1.9396625635789178</v>
      </c>
      <c r="J58" s="781">
        <f t="shared" si="26"/>
        <v>1.9428375388281331</v>
      </c>
      <c r="K58" s="781">
        <f t="shared" si="26"/>
        <v>1.9491978833693442</v>
      </c>
      <c r="L58" s="781">
        <f t="shared" si="26"/>
        <v>1.9555790500235084</v>
      </c>
      <c r="M58" s="781">
        <f t="shared" si="26"/>
        <v>1.9619811069568049</v>
      </c>
      <c r="N58" s="781">
        <f t="shared" si="26"/>
        <v>1.968404122558572</v>
      </c>
      <c r="O58" s="781">
        <f t="shared" si="26"/>
        <v>1.9748481654420365</v>
      </c>
      <c r="P58" s="781">
        <f t="shared" si="26"/>
        <v>1.9813133044450464</v>
      </c>
      <c r="Q58" s="781">
        <f t="shared" si="26"/>
        <v>1.9877996086308081</v>
      </c>
      <c r="R58" s="781">
        <f t="shared" si="26"/>
        <v>1.9943071472886225</v>
      </c>
      <c r="S58" s="781">
        <f>MIN($AH$58,SUMIF($D$33:$D$46,$D58,S$33:S$46))</f>
        <v>2.0008359899346249</v>
      </c>
      <c r="T58" s="782">
        <f>MIN($AH$58,SUMIF($D$33:$D$46,$D58,T$33:T$46))</f>
        <v>2.0073862063125292</v>
      </c>
      <c r="U58" s="781"/>
      <c r="V58" s="781">
        <f>MIN($AH$58,SUMIF($D$33:$D$46,$D58,V$33:V$46))</f>
        <v>2.0182066666666683</v>
      </c>
      <c r="W58" s="781">
        <f>MIN($AH$58,SUMIF($D$33:$D$46,$D58,W$33:W$46))</f>
        <v>2.0332866666666676</v>
      </c>
      <c r="X58" s="781">
        <f>MIN($AH$58,SUMIF($D$33:$D$46,$D58,X$33:X$46))</f>
        <v>2.0483666666666678</v>
      </c>
      <c r="Y58" s="782">
        <f>MIN($AH$58,SUMIF($D$33:$D$46,$D58,Y$33:Y$46))</f>
        <v>2.063446666666668</v>
      </c>
      <c r="Z58" s="781"/>
      <c r="AA58" s="781">
        <f t="shared" si="22"/>
        <v>2.0073862063125292</v>
      </c>
      <c r="AB58" s="781">
        <f t="shared" si="23"/>
        <v>2.063446666666668</v>
      </c>
      <c r="AC58" s="781">
        <f>MIN($AH$58,SUMIF($D$33:$D$46,$D58,AC$33:AC$46))</f>
        <v>2.1020514666666679</v>
      </c>
      <c r="AD58" s="781">
        <f>MIN($AH$58,SUMIF($D$33:$D$46,$D58,AD$33:AD$46))</f>
        <v>2.1651130106666678</v>
      </c>
      <c r="AE58" s="781">
        <f>MIN($AH$58,SUMIF($D$33:$D$46,$D58,AE$33:AE$46))</f>
        <v>2.2300664009866678</v>
      </c>
      <c r="AG58" s="528" t="s">
        <v>903</v>
      </c>
      <c r="AH58" s="528">
        <f>'A1'!R78</f>
        <v>3</v>
      </c>
    </row>
    <row r="59" spans="1:38" x14ac:dyDescent="0.25">
      <c r="D59" s="81"/>
      <c r="E59" s="81"/>
      <c r="I59" s="36">
        <f t="shared" ref="I59:T59" si="27">SUM(I50:I58)</f>
        <v>7.4304312648292523</v>
      </c>
      <c r="J59" s="36">
        <f t="shared" si="27"/>
        <v>7.4406296701752153</v>
      </c>
      <c r="K59" s="36">
        <f t="shared" si="27"/>
        <v>7.4610598677924393</v>
      </c>
      <c r="L59" s="36">
        <f t="shared" si="27"/>
        <v>7.4815569485603604</v>
      </c>
      <c r="M59" s="36">
        <f t="shared" si="27"/>
        <v>7.5021211314370095</v>
      </c>
      <c r="N59" s="36">
        <f t="shared" si="27"/>
        <v>7.5227526360972305</v>
      </c>
      <c r="O59" s="36">
        <f t="shared" si="27"/>
        <v>7.543451682935026</v>
      </c>
      <c r="P59" s="36">
        <f t="shared" si="27"/>
        <v>7.5642184930659067</v>
      </c>
      <c r="Q59" s="36">
        <f t="shared" si="27"/>
        <v>7.585053288329263</v>
      </c>
      <c r="R59" s="36">
        <f t="shared" si="27"/>
        <v>7.6059562912907257</v>
      </c>
      <c r="S59" s="36">
        <f t="shared" si="27"/>
        <v>7.6269277252445526</v>
      </c>
      <c r="T59" s="51">
        <f t="shared" si="27"/>
        <v>7.6479678142160035</v>
      </c>
      <c r="U59" s="36"/>
      <c r="V59" s="36">
        <f>SUM(V50:V58)</f>
        <v>7.6827244444444496</v>
      </c>
      <c r="W59" s="36">
        <f>SUM(W50:W58)</f>
        <v>7.7311632323232349</v>
      </c>
      <c r="X59" s="36">
        <f>SUM(X50:X58)</f>
        <v>7.7796020202020237</v>
      </c>
      <c r="Y59" s="51">
        <f>SUM(Y50:Y58)</f>
        <v>7.8280408080808126</v>
      </c>
      <c r="Z59" s="36"/>
      <c r="AA59" s="36">
        <f>SUM(AA50:AA58)</f>
        <v>7.6479678142160035</v>
      </c>
      <c r="AB59" s="36">
        <f>SUM(AB50:AB58)</f>
        <v>7.8280408080808126</v>
      </c>
      <c r="AC59" s="36">
        <f>SUM(AC50:AC58)</f>
        <v>7.9520441050505095</v>
      </c>
      <c r="AD59" s="36">
        <f>SUM(AD50:AD58)</f>
        <v>8.1546054282020233</v>
      </c>
      <c r="AE59" s="36">
        <f>SUM(AE50:AE58)</f>
        <v>8.363243591048084</v>
      </c>
    </row>
    <row r="60" spans="1:38" x14ac:dyDescent="0.25">
      <c r="I60" s="36"/>
      <c r="J60" s="36"/>
      <c r="K60" s="36"/>
      <c r="L60" s="36"/>
      <c r="M60" s="36"/>
      <c r="N60" s="36"/>
      <c r="O60" s="36"/>
      <c r="P60" s="36"/>
      <c r="Q60" s="36"/>
      <c r="R60" s="36"/>
      <c r="S60" s="36"/>
      <c r="T60" s="51"/>
      <c r="U60" s="36"/>
      <c r="V60" s="36"/>
      <c r="W60" s="36"/>
      <c r="X60" s="36"/>
      <c r="Y60" s="51"/>
      <c r="AA60" s="13"/>
      <c r="AB60" s="13"/>
      <c r="AC60" s="36"/>
      <c r="AD60" s="36"/>
      <c r="AE60" s="36"/>
    </row>
    <row r="61" spans="1:38" ht="18" x14ac:dyDescent="0.4">
      <c r="B61" s="513" t="s">
        <v>253</v>
      </c>
      <c r="G61" s="363" t="s">
        <v>297</v>
      </c>
      <c r="T61" s="188"/>
      <c r="Y61" s="188"/>
      <c r="AA61" s="558"/>
      <c r="AB61" s="558"/>
    </row>
    <row r="62" spans="1:38" x14ac:dyDescent="0.25">
      <c r="B62" s="783">
        <f>IF(C62="D",1,2)</f>
        <v>2</v>
      </c>
      <c r="C62" s="784" t="str">
        <f>'A1'!M69</f>
        <v>ID</v>
      </c>
      <c r="D62" s="381">
        <f t="shared" ref="D62:E64" si="28">D50</f>
        <v>1</v>
      </c>
      <c r="E62" s="381" t="str">
        <f t="shared" si="28"/>
        <v>Clinical Manager</v>
      </c>
      <c r="F62" s="381"/>
      <c r="G62" s="371">
        <f>'A1'!Y69*'A1'!Z69/1000</f>
        <v>199.33346315171016</v>
      </c>
      <c r="H62" s="76"/>
      <c r="I62" s="759">
        <f t="shared" ref="I62:T62" si="29">I50*$G62/12</f>
        <v>16.611121929309181</v>
      </c>
      <c r="J62" s="759">
        <f t="shared" si="29"/>
        <v>16.611121929309181</v>
      </c>
      <c r="K62" s="759">
        <f t="shared" si="29"/>
        <v>16.611121929309181</v>
      </c>
      <c r="L62" s="759">
        <f t="shared" si="29"/>
        <v>16.611121929309181</v>
      </c>
      <c r="M62" s="759">
        <f t="shared" si="29"/>
        <v>16.611121929309181</v>
      </c>
      <c r="N62" s="759">
        <f t="shared" si="29"/>
        <v>16.611121929309181</v>
      </c>
      <c r="O62" s="759">
        <f t="shared" si="29"/>
        <v>16.611121929309181</v>
      </c>
      <c r="P62" s="759">
        <f t="shared" si="29"/>
        <v>16.611121929309181</v>
      </c>
      <c r="Q62" s="759">
        <f t="shared" si="29"/>
        <v>16.611121929309181</v>
      </c>
      <c r="R62" s="759">
        <f t="shared" si="29"/>
        <v>16.611121929309181</v>
      </c>
      <c r="S62" s="759">
        <f t="shared" si="29"/>
        <v>16.611121929309181</v>
      </c>
      <c r="T62" s="760">
        <f t="shared" si="29"/>
        <v>16.611121929309181</v>
      </c>
      <c r="U62" s="36"/>
      <c r="V62" s="759">
        <f t="shared" ref="V62:Y63" si="30">V50*$AI62/4</f>
        <v>51.32836676156537</v>
      </c>
      <c r="W62" s="759">
        <f t="shared" si="30"/>
        <v>51.32836676156537</v>
      </c>
      <c r="X62" s="759">
        <f t="shared" si="30"/>
        <v>51.32836676156537</v>
      </c>
      <c r="Y62" s="760">
        <f t="shared" si="30"/>
        <v>51.32836676156537</v>
      </c>
      <c r="Z62" s="80"/>
      <c r="AA62" s="759">
        <f>SUM(I62:T62)</f>
        <v>199.33346315171016</v>
      </c>
      <c r="AB62" s="759">
        <f>SUM(V62:Y62)</f>
        <v>205.31346704626148</v>
      </c>
      <c r="AC62" s="759">
        <f t="shared" ref="AC62:AE63" si="31">AC50*AJ62</f>
        <v>211.47287105764934</v>
      </c>
      <c r="AD62" s="759">
        <f t="shared" si="31"/>
        <v>217.81705718937883</v>
      </c>
      <c r="AE62" s="759">
        <f t="shared" si="31"/>
        <v>224.35156890506019</v>
      </c>
      <c r="AG62" s="77">
        <f>'A1'!$R$67</f>
        <v>0.03</v>
      </c>
      <c r="AI62" s="729">
        <f t="shared" ref="AI62:AI70" si="32">G62*(1+AG62)</f>
        <v>205.31346704626148</v>
      </c>
      <c r="AJ62" s="729">
        <f t="shared" ref="AJ62:AL70" si="33">AI62*(1+$AG62)</f>
        <v>211.47287105764934</v>
      </c>
      <c r="AK62" s="729">
        <f t="shared" si="33"/>
        <v>217.81705718937883</v>
      </c>
      <c r="AL62" s="729">
        <f t="shared" si="33"/>
        <v>224.35156890506019</v>
      </c>
    </row>
    <row r="63" spans="1:38" s="434" customFormat="1" x14ac:dyDescent="0.25">
      <c r="A63" s="1"/>
      <c r="B63" s="783">
        <f>IF(C63="D",1,2)</f>
        <v>2</v>
      </c>
      <c r="C63" s="784" t="str">
        <f>'A1'!M70</f>
        <v>ID</v>
      </c>
      <c r="D63" s="381">
        <f t="shared" si="28"/>
        <v>2</v>
      </c>
      <c r="E63" s="381" t="str">
        <f t="shared" si="28"/>
        <v>Clinical Coordinator</v>
      </c>
      <c r="F63" s="381"/>
      <c r="G63" s="371">
        <f>'A1'!Y70*'A1'!Z70/1000</f>
        <v>0</v>
      </c>
      <c r="H63" s="76"/>
      <c r="I63" s="759">
        <f t="shared" ref="I63:T63" si="34">I51*$G63/12</f>
        <v>0</v>
      </c>
      <c r="J63" s="759">
        <f t="shared" si="34"/>
        <v>0</v>
      </c>
      <c r="K63" s="759">
        <f t="shared" si="34"/>
        <v>0</v>
      </c>
      <c r="L63" s="759">
        <f t="shared" si="34"/>
        <v>0</v>
      </c>
      <c r="M63" s="759">
        <f t="shared" si="34"/>
        <v>0</v>
      </c>
      <c r="N63" s="759">
        <f t="shared" si="34"/>
        <v>0</v>
      </c>
      <c r="O63" s="759">
        <f t="shared" si="34"/>
        <v>0</v>
      </c>
      <c r="P63" s="759">
        <f t="shared" si="34"/>
        <v>0</v>
      </c>
      <c r="Q63" s="759">
        <f t="shared" si="34"/>
        <v>0</v>
      </c>
      <c r="R63" s="759">
        <f t="shared" si="34"/>
        <v>0</v>
      </c>
      <c r="S63" s="759">
        <f t="shared" si="34"/>
        <v>0</v>
      </c>
      <c r="T63" s="760">
        <f t="shared" si="34"/>
        <v>0</v>
      </c>
      <c r="U63" s="36"/>
      <c r="V63" s="759">
        <f t="shared" si="30"/>
        <v>0</v>
      </c>
      <c r="W63" s="759">
        <f t="shared" si="30"/>
        <v>0</v>
      </c>
      <c r="X63" s="759">
        <f t="shared" si="30"/>
        <v>0</v>
      </c>
      <c r="Y63" s="760">
        <f t="shared" si="30"/>
        <v>0</v>
      </c>
      <c r="Z63" s="80"/>
      <c r="AA63" s="759">
        <f t="shared" ref="AA63:AA70" si="35">SUM(I63:T63)</f>
        <v>0</v>
      </c>
      <c r="AB63" s="759">
        <f t="shared" ref="AB63:AB70" si="36">SUM(V63:Y63)</f>
        <v>0</v>
      </c>
      <c r="AC63" s="759">
        <f t="shared" si="31"/>
        <v>0</v>
      </c>
      <c r="AD63" s="759">
        <f t="shared" si="31"/>
        <v>0</v>
      </c>
      <c r="AE63" s="759">
        <f t="shared" si="31"/>
        <v>0</v>
      </c>
      <c r="AG63" s="77">
        <f>'A1'!$R$67</f>
        <v>0.03</v>
      </c>
      <c r="AI63" s="785">
        <f>G63*(1+AG63)</f>
        <v>0</v>
      </c>
      <c r="AJ63" s="785">
        <f>AI63*(1+$AG63)</f>
        <v>0</v>
      </c>
      <c r="AK63" s="785">
        <f>AJ63*(1+$AG63)</f>
        <v>0</v>
      </c>
      <c r="AL63" s="785">
        <f>AK63*(1+$AG63)</f>
        <v>0</v>
      </c>
    </row>
    <row r="64" spans="1:38" x14ac:dyDescent="0.25">
      <c r="B64" s="783">
        <f t="shared" ref="B64:B70" si="37">IF(C64="D",1,2)</f>
        <v>1</v>
      </c>
      <c r="C64" s="784" t="str">
        <f>'A1'!M71</f>
        <v>D</v>
      </c>
      <c r="D64" s="381">
        <f t="shared" si="28"/>
        <v>3</v>
      </c>
      <c r="E64" s="381" t="str">
        <f t="shared" si="28"/>
        <v>CCHT (PCT)</v>
      </c>
      <c r="F64" s="381"/>
      <c r="G64" s="371">
        <f>'A1'!Y71*'A1'!Z71/1000</f>
        <v>0</v>
      </c>
      <c r="H64" s="76"/>
      <c r="I64" s="759">
        <f>I52*$G64/12+I26</f>
        <v>0</v>
      </c>
      <c r="J64" s="759">
        <f t="shared" ref="J64:T64" si="38">J52*$G64/12+J26</f>
        <v>0</v>
      </c>
      <c r="K64" s="759">
        <f t="shared" si="38"/>
        <v>0</v>
      </c>
      <c r="L64" s="759">
        <f t="shared" si="38"/>
        <v>0</v>
      </c>
      <c r="M64" s="759">
        <f t="shared" si="38"/>
        <v>0</v>
      </c>
      <c r="N64" s="759">
        <f t="shared" si="38"/>
        <v>0</v>
      </c>
      <c r="O64" s="759">
        <f t="shared" si="38"/>
        <v>0</v>
      </c>
      <c r="P64" s="759">
        <f t="shared" si="38"/>
        <v>0</v>
      </c>
      <c r="Q64" s="759">
        <f t="shared" si="38"/>
        <v>0</v>
      </c>
      <c r="R64" s="759">
        <f t="shared" si="38"/>
        <v>0</v>
      </c>
      <c r="S64" s="759">
        <f t="shared" si="38"/>
        <v>0</v>
      </c>
      <c r="T64" s="760">
        <f t="shared" si="38"/>
        <v>0</v>
      </c>
      <c r="U64" s="36"/>
      <c r="V64" s="759">
        <f>V52*$AI64/4+V26</f>
        <v>0</v>
      </c>
      <c r="W64" s="759">
        <f>W52*$AI64/4+W26</f>
        <v>0</v>
      </c>
      <c r="X64" s="759">
        <f>X52*$AI64/4+X26</f>
        <v>0</v>
      </c>
      <c r="Y64" s="760">
        <f>Y52*$AI64/4+Y26</f>
        <v>0</v>
      </c>
      <c r="Z64" s="80"/>
      <c r="AA64" s="759">
        <f t="shared" si="35"/>
        <v>0</v>
      </c>
      <c r="AB64" s="759">
        <f t="shared" si="36"/>
        <v>0</v>
      </c>
      <c r="AC64" s="759">
        <f>AC52*AJ64+AC26</f>
        <v>0</v>
      </c>
      <c r="AD64" s="759">
        <f>AD52*AK64+AD26</f>
        <v>0</v>
      </c>
      <c r="AE64" s="759">
        <f>AE52*AL64+AE26</f>
        <v>0</v>
      </c>
      <c r="AG64" s="77">
        <f>'A1'!$R$67</f>
        <v>0.03</v>
      </c>
      <c r="AI64" s="729">
        <f t="shared" si="32"/>
        <v>0</v>
      </c>
      <c r="AJ64" s="729">
        <f t="shared" si="33"/>
        <v>0</v>
      </c>
      <c r="AK64" s="729">
        <f t="shared" si="33"/>
        <v>0</v>
      </c>
      <c r="AL64" s="729">
        <f t="shared" si="33"/>
        <v>0</v>
      </c>
    </row>
    <row r="65" spans="1:38" x14ac:dyDescent="0.25">
      <c r="B65" s="783">
        <f t="shared" si="37"/>
        <v>1</v>
      </c>
      <c r="C65" s="784" t="str">
        <f>'A1'!M72</f>
        <v>D</v>
      </c>
      <c r="D65" s="381">
        <f t="shared" ref="D65:E70" si="39">D53</f>
        <v>4</v>
      </c>
      <c r="E65" s="381" t="str">
        <f t="shared" si="39"/>
        <v>RN</v>
      </c>
      <c r="F65" s="381"/>
      <c r="G65" s="371">
        <f>'A1'!Y72*'A1'!Z72/1000</f>
        <v>136.75224675595848</v>
      </c>
      <c r="H65" s="76"/>
      <c r="I65" s="759">
        <f>(I53*$G65/12)+I23+I27</f>
        <v>36.840724099699891</v>
      </c>
      <c r="J65" s="759">
        <f t="shared" ref="J65:T65" si="40">(J53*$G65/12)+J23+J27</f>
        <v>36.90102757174499</v>
      </c>
      <c r="K65" s="759">
        <f t="shared" si="40"/>
        <v>37.021831933710629</v>
      </c>
      <c r="L65" s="759">
        <f t="shared" si="40"/>
        <v>37.143031777721902</v>
      </c>
      <c r="M65" s="759">
        <f t="shared" si="40"/>
        <v>37.264628398484099</v>
      </c>
      <c r="N65" s="759">
        <f t="shared" si="40"/>
        <v>37.386623094941079</v>
      </c>
      <c r="O65" s="759">
        <f t="shared" si="40"/>
        <v>37.509017170289063</v>
      </c>
      <c r="P65" s="759">
        <f t="shared" si="40"/>
        <v>37.631811931990619</v>
      </c>
      <c r="Q65" s="759">
        <f t="shared" si="40"/>
        <v>37.755008691788611</v>
      </c>
      <c r="R65" s="759">
        <f t="shared" si="40"/>
        <v>37.87860876572018</v>
      </c>
      <c r="S65" s="759">
        <f t="shared" si="40"/>
        <v>38.002613474130875</v>
      </c>
      <c r="T65" s="760">
        <f t="shared" si="40"/>
        <v>38.127024141688665</v>
      </c>
      <c r="U65" s="36"/>
      <c r="V65" s="759">
        <f>(V53*$AI65/4)+V23+V27</f>
        <v>118.44755206960676</v>
      </c>
      <c r="W65" s="759">
        <f>(W53*$AI65/4)+W23+W27</f>
        <v>119.33258981857018</v>
      </c>
      <c r="X65" s="759">
        <f>(X53*$AI65/4)+X23+X27</f>
        <v>120.21762756753363</v>
      </c>
      <c r="Y65" s="760">
        <f>(Y53*$AI65/4)+Y23+Y27</f>
        <v>121.10266531649707</v>
      </c>
      <c r="Z65" s="80"/>
      <c r="AA65" s="759">
        <f t="shared" si="35"/>
        <v>449.4619510519106</v>
      </c>
      <c r="AB65" s="759">
        <f t="shared" si="36"/>
        <v>479.10043477220762</v>
      </c>
      <c r="AC65" s="759">
        <f>(AC53*AJ65)+AC23+AC27</f>
        <v>508.277651249835</v>
      </c>
      <c r="AD65" s="759">
        <f>(AD53*AK65)+AD23+AD27</f>
        <v>539.23176021095003</v>
      </c>
      <c r="AE65" s="759">
        <f>(AE53*AL65)+AE23+AE27</f>
        <v>572.07097440779683</v>
      </c>
      <c r="AG65" s="77">
        <f>'A1'!$R$67</f>
        <v>0.03</v>
      </c>
      <c r="AI65" s="729">
        <f t="shared" si="32"/>
        <v>140.85481415863723</v>
      </c>
      <c r="AJ65" s="729">
        <f t="shared" si="33"/>
        <v>145.08045858339634</v>
      </c>
      <c r="AK65" s="729">
        <f t="shared" si="33"/>
        <v>149.43287234089823</v>
      </c>
      <c r="AL65" s="729">
        <f t="shared" si="33"/>
        <v>153.91585851112518</v>
      </c>
    </row>
    <row r="66" spans="1:38" x14ac:dyDescent="0.25">
      <c r="B66" s="783">
        <f t="shared" si="37"/>
        <v>2</v>
      </c>
      <c r="C66" s="784" t="str">
        <f>'A1'!M73</f>
        <v>ID</v>
      </c>
      <c r="D66" s="381">
        <f t="shared" si="39"/>
        <v>5</v>
      </c>
      <c r="E66" s="381" t="str">
        <f t="shared" si="39"/>
        <v>Territory Tech Manager</v>
      </c>
      <c r="F66" s="381"/>
      <c r="G66" s="371">
        <f>'A1'!Y73*'A1'!Z73/1000</f>
        <v>133.43690052356021</v>
      </c>
      <c r="H66" s="76"/>
      <c r="I66" s="759">
        <f t="shared" ref="I66:T66" si="41">I54*$G66/12</f>
        <v>0</v>
      </c>
      <c r="J66" s="759">
        <f t="shared" si="41"/>
        <v>0</v>
      </c>
      <c r="K66" s="759">
        <f t="shared" si="41"/>
        <v>0</v>
      </c>
      <c r="L66" s="759">
        <f t="shared" si="41"/>
        <v>0</v>
      </c>
      <c r="M66" s="759">
        <f t="shared" si="41"/>
        <v>0</v>
      </c>
      <c r="N66" s="759">
        <f t="shared" si="41"/>
        <v>0</v>
      </c>
      <c r="O66" s="759">
        <f t="shared" si="41"/>
        <v>0</v>
      </c>
      <c r="P66" s="759">
        <f t="shared" si="41"/>
        <v>0</v>
      </c>
      <c r="Q66" s="759">
        <f t="shared" si="41"/>
        <v>0</v>
      </c>
      <c r="R66" s="759">
        <f t="shared" si="41"/>
        <v>0</v>
      </c>
      <c r="S66" s="759">
        <f t="shared" si="41"/>
        <v>0</v>
      </c>
      <c r="T66" s="760">
        <f t="shared" si="41"/>
        <v>0</v>
      </c>
      <c r="U66" s="36"/>
      <c r="V66" s="759">
        <f>V54*$AI66/4</f>
        <v>0</v>
      </c>
      <c r="W66" s="759">
        <f>W54*$AI66/4</f>
        <v>0</v>
      </c>
      <c r="X66" s="759">
        <f>X54*$AI66/4</f>
        <v>0</v>
      </c>
      <c r="Y66" s="760">
        <f>Y54*$AI66/4</f>
        <v>0</v>
      </c>
      <c r="Z66" s="80"/>
      <c r="AA66" s="759">
        <f t="shared" si="35"/>
        <v>0</v>
      </c>
      <c r="AB66" s="759">
        <f t="shared" si="36"/>
        <v>0</v>
      </c>
      <c r="AC66" s="759">
        <f t="shared" ref="AC66:AE70" si="42">AC54*AJ66</f>
        <v>0</v>
      </c>
      <c r="AD66" s="759">
        <f t="shared" si="42"/>
        <v>0</v>
      </c>
      <c r="AE66" s="759">
        <f t="shared" si="42"/>
        <v>0</v>
      </c>
      <c r="AG66" s="77">
        <f>'A1'!$R$67</f>
        <v>0.03</v>
      </c>
      <c r="AI66" s="729">
        <f>G66*(1+AG66)</f>
        <v>137.44000753926701</v>
      </c>
      <c r="AJ66" s="729">
        <f t="shared" ref="AJ66:AL67" si="43">AI66*(1+$AG66)</f>
        <v>141.56320776544504</v>
      </c>
      <c r="AK66" s="729">
        <f t="shared" si="43"/>
        <v>145.81010399840841</v>
      </c>
      <c r="AL66" s="729">
        <f t="shared" si="43"/>
        <v>150.18440711836067</v>
      </c>
    </row>
    <row r="67" spans="1:38" x14ac:dyDescent="0.25">
      <c r="B67" s="783">
        <f t="shared" si="37"/>
        <v>1</v>
      </c>
      <c r="C67" s="784" t="str">
        <f>'A1'!M74</f>
        <v>D</v>
      </c>
      <c r="D67" s="381">
        <f t="shared" si="39"/>
        <v>6</v>
      </c>
      <c r="E67" s="381" t="str">
        <f t="shared" si="39"/>
        <v>Biomed Technician</v>
      </c>
      <c r="F67" s="381"/>
      <c r="G67" s="371">
        <f>'A1'!Y74*'A1'!Z74/1000</f>
        <v>76.889117318728907</v>
      </c>
      <c r="H67" s="76"/>
      <c r="I67" s="759">
        <f>I55*$G67/12+I28</f>
        <v>1.2814852886454819</v>
      </c>
      <c r="J67" s="759">
        <f t="shared" ref="J67:T67" si="44">J55*$G67/12+J28</f>
        <v>1.2814852886454819</v>
      </c>
      <c r="K67" s="759">
        <f t="shared" si="44"/>
        <v>1.2814852886454819</v>
      </c>
      <c r="L67" s="759">
        <f t="shared" si="44"/>
        <v>1.2814852886454819</v>
      </c>
      <c r="M67" s="759">
        <f t="shared" si="44"/>
        <v>1.2814852886454819</v>
      </c>
      <c r="N67" s="759">
        <f t="shared" si="44"/>
        <v>1.2814852886454819</v>
      </c>
      <c r="O67" s="759">
        <f t="shared" si="44"/>
        <v>1.2814852886454819</v>
      </c>
      <c r="P67" s="759">
        <f t="shared" si="44"/>
        <v>1.2814852886454819</v>
      </c>
      <c r="Q67" s="759">
        <f t="shared" si="44"/>
        <v>1.2814852886454819</v>
      </c>
      <c r="R67" s="759">
        <f t="shared" si="44"/>
        <v>1.2814852886454819</v>
      </c>
      <c r="S67" s="759">
        <f t="shared" si="44"/>
        <v>1.2814852886454819</v>
      </c>
      <c r="T67" s="760">
        <f t="shared" si="44"/>
        <v>1.2814852886454819</v>
      </c>
      <c r="U67" s="36"/>
      <c r="V67" s="759">
        <f>V55*$AI67/4+V28</f>
        <v>3.9597895419145388</v>
      </c>
      <c r="W67" s="759">
        <f>W55*$AI67/4+W28</f>
        <v>3.9597895419145388</v>
      </c>
      <c r="X67" s="759">
        <f>X55*$AI67/4+X28</f>
        <v>3.9597895419145388</v>
      </c>
      <c r="Y67" s="760">
        <f>Y55*$AI67/4+Y28</f>
        <v>3.9597895419145388</v>
      </c>
      <c r="Z67" s="80"/>
      <c r="AA67" s="759">
        <f t="shared" si="35"/>
        <v>15.377823463745786</v>
      </c>
      <c r="AB67" s="759">
        <f t="shared" si="36"/>
        <v>15.839158167658155</v>
      </c>
      <c r="AC67" s="759">
        <f t="shared" si="42"/>
        <v>16.314332912687899</v>
      </c>
      <c r="AD67" s="759">
        <f t="shared" si="42"/>
        <v>16.803762900068538</v>
      </c>
      <c r="AE67" s="759">
        <f t="shared" si="42"/>
        <v>17.307875787070596</v>
      </c>
      <c r="AG67" s="77">
        <f>'A1'!$R$67</f>
        <v>0.03</v>
      </c>
      <c r="AI67" s="729">
        <f>G67*(1+AG67)</f>
        <v>79.195790838290776</v>
      </c>
      <c r="AJ67" s="729">
        <f t="shared" si="43"/>
        <v>81.571664563439498</v>
      </c>
      <c r="AK67" s="729">
        <f t="shared" si="43"/>
        <v>84.018814500342685</v>
      </c>
      <c r="AL67" s="729">
        <f t="shared" si="43"/>
        <v>86.539378935352971</v>
      </c>
    </row>
    <row r="68" spans="1:38" x14ac:dyDescent="0.25">
      <c r="B68" s="783">
        <f t="shared" si="37"/>
        <v>1</v>
      </c>
      <c r="C68" s="784" t="str">
        <f>'A1'!M75</f>
        <v>D</v>
      </c>
      <c r="D68" s="381">
        <f t="shared" si="39"/>
        <v>7</v>
      </c>
      <c r="E68" s="381" t="str">
        <f t="shared" si="39"/>
        <v>Dietician</v>
      </c>
      <c r="F68" s="381"/>
      <c r="G68" s="371">
        <f>'A1'!Y75*'A1'!Z75/1000</f>
        <v>132.50522494655556</v>
      </c>
      <c r="H68" s="76"/>
      <c r="I68" s="759">
        <f t="shared" ref="I68:T68" si="45">I56*$G68/12</f>
        <v>5.8412596433508446</v>
      </c>
      <c r="J68" s="759">
        <f t="shared" si="45"/>
        <v>5.8508210253871402</v>
      </c>
      <c r="K68" s="759">
        <f t="shared" si="45"/>
        <v>5.8699750909364754</v>
      </c>
      <c r="L68" s="759">
        <f t="shared" si="45"/>
        <v>5.8891918619121908</v>
      </c>
      <c r="M68" s="759">
        <f t="shared" si="45"/>
        <v>5.9084715435955353</v>
      </c>
      <c r="N68" s="759">
        <f t="shared" si="45"/>
        <v>5.9278143419397935</v>
      </c>
      <c r="O68" s="759">
        <f t="shared" si="45"/>
        <v>5.9472204635724912</v>
      </c>
      <c r="P68" s="759">
        <f t="shared" si="45"/>
        <v>5.9666901157975945</v>
      </c>
      <c r="Q68" s="759">
        <f t="shared" si="45"/>
        <v>5.9862235065977343</v>
      </c>
      <c r="R68" s="759">
        <f t="shared" si="45"/>
        <v>6.0058208446364185</v>
      </c>
      <c r="S68" s="759">
        <f t="shared" si="45"/>
        <v>6.0254823392602646</v>
      </c>
      <c r="T68" s="760">
        <f t="shared" si="45"/>
        <v>6.0452082005012384</v>
      </c>
      <c r="U68" s="36"/>
      <c r="V68" s="759">
        <f t="shared" ref="V68:Y70" si="46">V56*$AI68/4</f>
        <v>18.780382923133914</v>
      </c>
      <c r="W68" s="759">
        <f t="shared" si="46"/>
        <v>18.920709570131173</v>
      </c>
      <c r="X68" s="759">
        <f t="shared" si="46"/>
        <v>19.061036217128443</v>
      </c>
      <c r="Y68" s="760">
        <f t="shared" si="46"/>
        <v>19.201362864125706</v>
      </c>
      <c r="Z68" s="80"/>
      <c r="AA68" s="759">
        <f t="shared" si="35"/>
        <v>71.264178977487717</v>
      </c>
      <c r="AB68" s="759">
        <f t="shared" si="36"/>
        <v>75.963491574519225</v>
      </c>
      <c r="AC68" s="759">
        <f t="shared" si="42"/>
        <v>80.589668211407471</v>
      </c>
      <c r="AD68" s="759">
        <f t="shared" si="42"/>
        <v>85.497579005482194</v>
      </c>
      <c r="AE68" s="759">
        <f t="shared" si="42"/>
        <v>90.704381566916055</v>
      </c>
      <c r="AG68" s="77">
        <f>'A1'!$R$67</f>
        <v>0.03</v>
      </c>
      <c r="AI68" s="729">
        <f t="shared" si="32"/>
        <v>136.48038169495223</v>
      </c>
      <c r="AJ68" s="729">
        <f t="shared" si="33"/>
        <v>140.57479314580081</v>
      </c>
      <c r="AK68" s="729">
        <f t="shared" si="33"/>
        <v>144.79203694017485</v>
      </c>
      <c r="AL68" s="729">
        <f t="shared" si="33"/>
        <v>149.13579804838011</v>
      </c>
    </row>
    <row r="69" spans="1:38" x14ac:dyDescent="0.25">
      <c r="B69" s="783">
        <f t="shared" si="37"/>
        <v>1</v>
      </c>
      <c r="C69" s="784" t="str">
        <f>'A1'!M76</f>
        <v>D</v>
      </c>
      <c r="D69" s="381">
        <f t="shared" si="39"/>
        <v>8</v>
      </c>
      <c r="E69" s="381" t="str">
        <f t="shared" si="39"/>
        <v>Social Worker</v>
      </c>
      <c r="F69" s="381"/>
      <c r="G69" s="371">
        <f>'A1'!Y76*'A1'!Z76/1000</f>
        <v>128.69125079185721</v>
      </c>
      <c r="H69" s="76"/>
      <c r="I69" s="759">
        <f t="shared" ref="I69:T69" si="47">I57*$G69/12</f>
        <v>5.6731273050252549</v>
      </c>
      <c r="J69" s="759">
        <f t="shared" si="47"/>
        <v>5.6824134762992253</v>
      </c>
      <c r="K69" s="759">
        <f t="shared" si="47"/>
        <v>5.7010162193554903</v>
      </c>
      <c r="L69" s="759">
        <f t="shared" si="47"/>
        <v>5.7196798629517547</v>
      </c>
      <c r="M69" s="759">
        <f t="shared" si="47"/>
        <v>5.7384046064605414</v>
      </c>
      <c r="N69" s="759">
        <f t="shared" si="47"/>
        <v>5.7571906499070655</v>
      </c>
      <c r="O69" s="759">
        <f t="shared" si="47"/>
        <v>5.7760381939713694</v>
      </c>
      <c r="P69" s="759">
        <f t="shared" si="47"/>
        <v>5.794947439990473</v>
      </c>
      <c r="Q69" s="759">
        <f t="shared" si="47"/>
        <v>5.8139185899605215</v>
      </c>
      <c r="R69" s="759">
        <f t="shared" si="47"/>
        <v>5.8329518465389407</v>
      </c>
      <c r="S69" s="759">
        <f t="shared" si="47"/>
        <v>5.8520474130466065</v>
      </c>
      <c r="T69" s="760">
        <f t="shared" si="47"/>
        <v>5.8712054934700122</v>
      </c>
      <c r="U69" s="36"/>
      <c r="V69" s="759">
        <f t="shared" si="46"/>
        <v>18.239816352169928</v>
      </c>
      <c r="W69" s="759">
        <f t="shared" si="46"/>
        <v>18.376103896519886</v>
      </c>
      <c r="X69" s="759">
        <f t="shared" si="46"/>
        <v>18.512391440869852</v>
      </c>
      <c r="Y69" s="760">
        <f t="shared" si="46"/>
        <v>18.648678985219814</v>
      </c>
      <c r="Z69" s="80"/>
      <c r="AA69" s="759">
        <f t="shared" si="35"/>
        <v>69.212941096977247</v>
      </c>
      <c r="AB69" s="759">
        <f t="shared" si="36"/>
        <v>73.776990674779483</v>
      </c>
      <c r="AC69" s="759">
        <f t="shared" si="42"/>
        <v>78.270009406873555</v>
      </c>
      <c r="AD69" s="759">
        <f t="shared" si="42"/>
        <v>83.036652979752162</v>
      </c>
      <c r="AE69" s="759">
        <f t="shared" si="42"/>
        <v>88.093585146219056</v>
      </c>
      <c r="AG69" s="77">
        <f>'A1'!$R$67</f>
        <v>0.03</v>
      </c>
      <c r="AI69" s="729">
        <f t="shared" si="32"/>
        <v>132.55198831561293</v>
      </c>
      <c r="AJ69" s="729">
        <f t="shared" si="33"/>
        <v>136.52854796508132</v>
      </c>
      <c r="AK69" s="729">
        <f t="shared" si="33"/>
        <v>140.62440440403375</v>
      </c>
      <c r="AL69" s="729">
        <f t="shared" si="33"/>
        <v>144.84313653615476</v>
      </c>
    </row>
    <row r="70" spans="1:38" x14ac:dyDescent="0.25">
      <c r="B70" s="783">
        <f t="shared" si="37"/>
        <v>2</v>
      </c>
      <c r="C70" s="784" t="str">
        <f>'A1'!M77</f>
        <v>ID</v>
      </c>
      <c r="D70" s="381">
        <f t="shared" si="39"/>
        <v>9</v>
      </c>
      <c r="E70" s="381" t="str">
        <f t="shared" si="39"/>
        <v>Administrative Support</v>
      </c>
      <c r="F70" s="381"/>
      <c r="G70" s="371">
        <f>'A1'!Y77*'A1'!Z77/1000</f>
        <v>83.92646123247772</v>
      </c>
      <c r="H70" s="76"/>
      <c r="I70" s="759">
        <f t="shared" ref="I70:T70" si="48">I58*$G70/12</f>
        <v>13.565751245524533</v>
      </c>
      <c r="J70" s="759">
        <f t="shared" si="48"/>
        <v>13.587956615288478</v>
      </c>
      <c r="K70" s="759">
        <f t="shared" si="48"/>
        <v>13.63244004941874</v>
      </c>
      <c r="L70" s="759">
        <f t="shared" si="48"/>
        <v>13.677069110736966</v>
      </c>
      <c r="M70" s="759">
        <f t="shared" si="48"/>
        <v>13.721844275988667</v>
      </c>
      <c r="N70" s="759">
        <f t="shared" si="48"/>
        <v>13.766766023480109</v>
      </c>
      <c r="O70" s="759">
        <f t="shared" si="48"/>
        <v>13.811834833083402</v>
      </c>
      <c r="P70" s="759">
        <f t="shared" si="48"/>
        <v>13.857051186241627</v>
      </c>
      <c r="Q70" s="759">
        <f t="shared" si="48"/>
        <v>13.902415565973991</v>
      </c>
      <c r="R70" s="759">
        <f t="shared" si="48"/>
        <v>13.947928456880986</v>
      </c>
      <c r="S70" s="759">
        <f t="shared" si="48"/>
        <v>13.99359034514954</v>
      </c>
      <c r="T70" s="760">
        <f t="shared" si="48"/>
        <v>14.039401718558251</v>
      </c>
      <c r="U70" s="36"/>
      <c r="V70" s="759">
        <f t="shared" si="46"/>
        <v>43.615592969050518</v>
      </c>
      <c r="W70" s="759">
        <f t="shared" si="46"/>
        <v>43.941487810662338</v>
      </c>
      <c r="X70" s="759">
        <f t="shared" si="46"/>
        <v>44.267382652274179</v>
      </c>
      <c r="Y70" s="760">
        <f t="shared" si="46"/>
        <v>44.593277493886013</v>
      </c>
      <c r="Z70" s="80"/>
      <c r="AA70" s="759">
        <f t="shared" si="35"/>
        <v>165.50404942632528</v>
      </c>
      <c r="AB70" s="759">
        <f t="shared" si="36"/>
        <v>176.41774092587306</v>
      </c>
      <c r="AC70" s="759">
        <f t="shared" si="42"/>
        <v>187.16158134825869</v>
      </c>
      <c r="AD70" s="759">
        <f t="shared" si="42"/>
        <v>198.55972165236764</v>
      </c>
      <c r="AE70" s="759">
        <f t="shared" si="42"/>
        <v>210.65200870099684</v>
      </c>
      <c r="AG70" s="77">
        <f>'A1'!$R$67</f>
        <v>0.03</v>
      </c>
      <c r="AI70" s="729">
        <f t="shared" si="32"/>
        <v>86.444255069452055</v>
      </c>
      <c r="AJ70" s="729">
        <f t="shared" si="33"/>
        <v>89.037582721535614</v>
      </c>
      <c r="AK70" s="729">
        <f t="shared" si="33"/>
        <v>91.708710203181681</v>
      </c>
      <c r="AL70" s="729">
        <f t="shared" si="33"/>
        <v>94.459971509277139</v>
      </c>
    </row>
    <row r="71" spans="1:38" ht="15.75" thickBot="1" x14ac:dyDescent="0.3">
      <c r="C71" s="687" t="s">
        <v>291</v>
      </c>
      <c r="D71" s="733"/>
      <c r="E71" s="733"/>
      <c r="F71" s="687"/>
      <c r="G71" s="734"/>
      <c r="H71" s="687"/>
      <c r="I71" s="786">
        <f t="shared" ref="I71:T71" si="49">SUM(I62:I70)</f>
        <v>79.813469511555198</v>
      </c>
      <c r="J71" s="786">
        <f t="shared" si="49"/>
        <v>79.914825906674494</v>
      </c>
      <c r="K71" s="786">
        <f t="shared" si="49"/>
        <v>80.117870511375997</v>
      </c>
      <c r="L71" s="786">
        <f t="shared" si="49"/>
        <v>80.321579831277475</v>
      </c>
      <c r="M71" s="786">
        <f t="shared" si="49"/>
        <v>80.525956042483529</v>
      </c>
      <c r="N71" s="786">
        <f t="shared" si="49"/>
        <v>80.731001328222703</v>
      </c>
      <c r="O71" s="786">
        <f t="shared" si="49"/>
        <v>80.936717878871008</v>
      </c>
      <c r="P71" s="786">
        <f t="shared" si="49"/>
        <v>81.143107891974978</v>
      </c>
      <c r="Q71" s="786">
        <f t="shared" si="49"/>
        <v>81.350173572275523</v>
      </c>
      <c r="R71" s="786">
        <f t="shared" si="49"/>
        <v>81.557917131731202</v>
      </c>
      <c r="S71" s="786">
        <f t="shared" si="49"/>
        <v>81.766340789541957</v>
      </c>
      <c r="T71" s="787">
        <f t="shared" si="49"/>
        <v>81.97544677217283</v>
      </c>
      <c r="U71" s="786"/>
      <c r="V71" s="786">
        <f>SUM(V62:V70)</f>
        <v>254.37150061744103</v>
      </c>
      <c r="W71" s="786">
        <f>SUM(W62:W70)</f>
        <v>255.85904739936348</v>
      </c>
      <c r="X71" s="786">
        <f>SUM(X62:X70)</f>
        <v>257.34659418128604</v>
      </c>
      <c r="Y71" s="787">
        <f>SUM(Y62:Y70)</f>
        <v>258.83414096320854</v>
      </c>
      <c r="Z71" s="788"/>
      <c r="AA71" s="786">
        <f>SUM(AA62:AA70)</f>
        <v>970.15440716815692</v>
      </c>
      <c r="AB71" s="786">
        <f>SUM(AB62:AB70)</f>
        <v>1026.411283161299</v>
      </c>
      <c r="AC71" s="786">
        <f>SUM(AC62:AC70)</f>
        <v>1082.0861141867119</v>
      </c>
      <c r="AD71" s="786">
        <f>SUM(AD62:AD70)</f>
        <v>1140.9465339379994</v>
      </c>
      <c r="AE71" s="786">
        <f>SUM(AE62:AE70)</f>
        <v>1203.1803945140596</v>
      </c>
    </row>
    <row r="72" spans="1:38" ht="15.75" thickTop="1" x14ac:dyDescent="0.25"/>
    <row r="73" spans="1:38" s="783" customFormat="1" x14ac:dyDescent="0.25">
      <c r="A73" s="710"/>
      <c r="B73" s="710">
        <v>1</v>
      </c>
      <c r="C73" s="710" t="s">
        <v>254</v>
      </c>
      <c r="D73" s="710"/>
      <c r="E73" s="710"/>
      <c r="F73" s="710"/>
      <c r="G73" s="1593"/>
      <c r="H73" s="710"/>
      <c r="I73" s="1594">
        <f t="shared" ref="I73:AA73" si="50">SUMIF($B$62:$B$70,$B73,I$62:I$70)</f>
        <v>49.636596336721475</v>
      </c>
      <c r="J73" s="1594">
        <f t="shared" si="50"/>
        <v>49.71574736207684</v>
      </c>
      <c r="K73" s="1594">
        <f t="shared" si="50"/>
        <v>49.87430853264808</v>
      </c>
      <c r="L73" s="1594">
        <f t="shared" si="50"/>
        <v>50.033388791231332</v>
      </c>
      <c r="M73" s="1594">
        <f t="shared" si="50"/>
        <v>50.192989837185657</v>
      </c>
      <c r="N73" s="1594">
        <f t="shared" si="50"/>
        <v>50.353113375433423</v>
      </c>
      <c r="O73" s="1594">
        <f t="shared" si="50"/>
        <v>50.513761116478406</v>
      </c>
      <c r="P73" s="1594">
        <f t="shared" si="50"/>
        <v>50.674934776424173</v>
      </c>
      <c r="Q73" s="1594">
        <f t="shared" si="50"/>
        <v>50.836636076992349</v>
      </c>
      <c r="R73" s="1594">
        <f t="shared" si="50"/>
        <v>50.998866745541022</v>
      </c>
      <c r="S73" s="1594">
        <f t="shared" si="50"/>
        <v>51.16162851508323</v>
      </c>
      <c r="T73" s="1594">
        <f t="shared" si="50"/>
        <v>51.3249231243054</v>
      </c>
      <c r="U73" s="1594">
        <f t="shared" si="50"/>
        <v>0</v>
      </c>
      <c r="V73" s="1594">
        <f t="shared" si="50"/>
        <v>159.42754088682514</v>
      </c>
      <c r="W73" s="1594">
        <f t="shared" si="50"/>
        <v>160.58919282713578</v>
      </c>
      <c r="X73" s="1594">
        <f t="shared" si="50"/>
        <v>161.75084476744647</v>
      </c>
      <c r="Y73" s="1594">
        <f t="shared" si="50"/>
        <v>162.91249670775713</v>
      </c>
      <c r="Z73" s="1594">
        <f t="shared" si="50"/>
        <v>0</v>
      </c>
      <c r="AA73" s="1594">
        <f t="shared" si="50"/>
        <v>605.31689459012136</v>
      </c>
      <c r="AB73" s="1594">
        <f t="shared" ref="AB73:AE74" si="51">SUMIF($B$62:$B$70,$B73,AB$62:AB$70)</f>
        <v>644.68007518916443</v>
      </c>
      <c r="AC73" s="1594">
        <f t="shared" si="51"/>
        <v>683.45166178080387</v>
      </c>
      <c r="AD73" s="1594">
        <f t="shared" si="51"/>
        <v>724.56975509625295</v>
      </c>
      <c r="AE73" s="1594">
        <f t="shared" si="51"/>
        <v>768.17681690800248</v>
      </c>
    </row>
    <row r="74" spans="1:38" s="783" customFormat="1" x14ac:dyDescent="0.25">
      <c r="A74" s="710"/>
      <c r="B74" s="710">
        <v>2</v>
      </c>
      <c r="C74" s="710" t="s">
        <v>255</v>
      </c>
      <c r="D74" s="710"/>
      <c r="E74" s="710"/>
      <c r="F74" s="710"/>
      <c r="G74" s="1593"/>
      <c r="H74" s="710"/>
      <c r="I74" s="1594">
        <f t="shared" ref="I74:AA74" si="52">SUMIF($B$62:$B$70,$B74,I$62:I$70)</f>
        <v>30.176873174833716</v>
      </c>
      <c r="J74" s="1594">
        <f t="shared" si="52"/>
        <v>30.199078544597661</v>
      </c>
      <c r="K74" s="1594">
        <f t="shared" si="52"/>
        <v>30.243561978727922</v>
      </c>
      <c r="L74" s="1594">
        <f t="shared" si="52"/>
        <v>30.288191040046147</v>
      </c>
      <c r="M74" s="1594">
        <f t="shared" si="52"/>
        <v>30.332966205297851</v>
      </c>
      <c r="N74" s="1594">
        <f t="shared" si="52"/>
        <v>30.37788795278929</v>
      </c>
      <c r="O74" s="1594">
        <f t="shared" si="52"/>
        <v>30.422956762392584</v>
      </c>
      <c r="P74" s="1594">
        <f t="shared" si="52"/>
        <v>30.468173115550808</v>
      </c>
      <c r="Q74" s="1594">
        <f t="shared" si="52"/>
        <v>30.513537495283174</v>
      </c>
      <c r="R74" s="1594">
        <f t="shared" si="52"/>
        <v>30.559050386190165</v>
      </c>
      <c r="S74" s="1594">
        <f t="shared" si="52"/>
        <v>30.60471227445872</v>
      </c>
      <c r="T74" s="1594">
        <f t="shared" si="52"/>
        <v>30.650523647867431</v>
      </c>
      <c r="U74" s="1594">
        <f t="shared" si="52"/>
        <v>0</v>
      </c>
      <c r="V74" s="1594">
        <f t="shared" si="52"/>
        <v>94.943959730615887</v>
      </c>
      <c r="W74" s="1594">
        <f t="shared" si="52"/>
        <v>95.2698545722277</v>
      </c>
      <c r="X74" s="1594">
        <f t="shared" si="52"/>
        <v>95.595749413839542</v>
      </c>
      <c r="Y74" s="1594">
        <f t="shared" si="52"/>
        <v>95.921644255451383</v>
      </c>
      <c r="Z74" s="1594">
        <f t="shared" si="52"/>
        <v>0</v>
      </c>
      <c r="AA74" s="1594">
        <f t="shared" si="52"/>
        <v>364.83751257803544</v>
      </c>
      <c r="AB74" s="1594">
        <f t="shared" si="51"/>
        <v>381.73120797213454</v>
      </c>
      <c r="AC74" s="1594">
        <f t="shared" si="51"/>
        <v>398.63445240590806</v>
      </c>
      <c r="AD74" s="1594">
        <f t="shared" si="51"/>
        <v>416.3767788417465</v>
      </c>
      <c r="AE74" s="1594">
        <f t="shared" si="51"/>
        <v>435.00357760605704</v>
      </c>
    </row>
    <row r="75" spans="1:38" x14ac:dyDescent="0.25">
      <c r="A75" s="1595"/>
      <c r="B75" s="1595"/>
      <c r="C75" s="1595"/>
      <c r="D75" s="1595"/>
      <c r="E75" s="1595"/>
      <c r="F75" s="1595"/>
      <c r="G75" s="1596"/>
      <c r="H75" s="1595"/>
      <c r="I75" s="1595"/>
      <c r="J75" s="1595"/>
      <c r="K75" s="1595"/>
      <c r="L75" s="1595"/>
      <c r="M75" s="1595"/>
      <c r="N75" s="1595"/>
      <c r="O75" s="1595"/>
      <c r="P75" s="1595"/>
      <c r="Q75" s="1595"/>
      <c r="R75" s="1595"/>
      <c r="S75" s="1595"/>
      <c r="T75" s="1595"/>
      <c r="U75" s="1595"/>
      <c r="V75" s="1595"/>
      <c r="W75" s="1595"/>
      <c r="X75" s="1595"/>
      <c r="Y75" s="1595"/>
      <c r="Z75" s="1595"/>
      <c r="AA75" s="1595"/>
      <c r="AB75" s="1595"/>
      <c r="AC75" s="1595"/>
      <c r="AD75" s="1595"/>
      <c r="AE75" s="1595"/>
    </row>
    <row r="76" spans="1:38" x14ac:dyDescent="0.25">
      <c r="AD76" s="1564"/>
      <c r="AE76" s="1564"/>
    </row>
    <row r="78" spans="1:38" s="496" customFormat="1" ht="34.5" x14ac:dyDescent="0.4">
      <c r="G78" s="101" t="s">
        <v>383</v>
      </c>
      <c r="H78" s="101" t="s">
        <v>382</v>
      </c>
    </row>
    <row r="79" spans="1:38" x14ac:dyDescent="0.25">
      <c r="D79" s="1" t="str">
        <f>D22</f>
        <v>Hemo Dialysis</v>
      </c>
    </row>
    <row r="80" spans="1:38" x14ac:dyDescent="0.25">
      <c r="E80" s="1" t="str">
        <f>E23</f>
        <v>RN</v>
      </c>
      <c r="G80" s="729">
        <f>'A1'!Z72/12</f>
        <v>156</v>
      </c>
      <c r="H80" s="789">
        <f>H23*G80/1000</f>
        <v>11.39602056299654</v>
      </c>
      <c r="I80" s="729">
        <f t="shared" ref="I80:T80" si="53">I23/$H80</f>
        <v>0</v>
      </c>
      <c r="J80" s="729">
        <f t="shared" si="53"/>
        <v>0</v>
      </c>
      <c r="K80" s="729">
        <f t="shared" si="53"/>
        <v>0</v>
      </c>
      <c r="L80" s="729">
        <f t="shared" si="53"/>
        <v>0</v>
      </c>
      <c r="M80" s="729">
        <f t="shared" si="53"/>
        <v>0</v>
      </c>
      <c r="N80" s="729">
        <f t="shared" si="53"/>
        <v>0</v>
      </c>
      <c r="O80" s="729">
        <f t="shared" si="53"/>
        <v>0</v>
      </c>
      <c r="P80" s="729">
        <f t="shared" si="53"/>
        <v>0</v>
      </c>
      <c r="Q80" s="729">
        <f t="shared" si="53"/>
        <v>0</v>
      </c>
      <c r="R80" s="729">
        <f t="shared" si="53"/>
        <v>0</v>
      </c>
      <c r="S80" s="729">
        <f t="shared" si="53"/>
        <v>0</v>
      </c>
      <c r="T80" s="729">
        <f t="shared" si="53"/>
        <v>0</v>
      </c>
      <c r="V80" s="729">
        <f>V23/($H80*3)</f>
        <v>0</v>
      </c>
      <c r="W80" s="729">
        <f>W23/($H80*3)</f>
        <v>0</v>
      </c>
      <c r="X80" s="729">
        <f>X23/($H80*3)</f>
        <v>0</v>
      </c>
      <c r="Y80" s="729">
        <f>Y23/($H80*3)</f>
        <v>0</v>
      </c>
      <c r="AA80" s="729">
        <f>T80</f>
        <v>0</v>
      </c>
      <c r="AB80" s="729">
        <f>Y80</f>
        <v>0</v>
      </c>
      <c r="AC80" s="729">
        <f>AC23/($H80*12)</f>
        <v>0</v>
      </c>
      <c r="AD80" s="729">
        <f>AD23/($H80*12)</f>
        <v>0</v>
      </c>
      <c r="AE80" s="729">
        <f>AE23/($H80*12)</f>
        <v>0</v>
      </c>
    </row>
    <row r="81" spans="4:31" x14ac:dyDescent="0.25">
      <c r="G81" s="729"/>
      <c r="H81" s="789"/>
      <c r="AC81" s="729"/>
      <c r="AD81" s="729"/>
      <c r="AE81" s="729"/>
    </row>
    <row r="82" spans="4:31" x14ac:dyDescent="0.25">
      <c r="D82" s="1" t="str">
        <f>D25</f>
        <v>Acute Care</v>
      </c>
      <c r="G82" s="729"/>
      <c r="H82" s="789"/>
      <c r="AC82" s="729"/>
      <c r="AD82" s="729"/>
      <c r="AE82" s="729"/>
    </row>
    <row r="83" spans="4:31" x14ac:dyDescent="0.25">
      <c r="E83" s="1" t="str">
        <f>E26</f>
        <v>CCHT (PCT)</v>
      </c>
      <c r="G83" s="729">
        <f>'A1'!Z71/12</f>
        <v>156</v>
      </c>
      <c r="H83" s="789">
        <f>H26*G83/1000</f>
        <v>0</v>
      </c>
      <c r="I83" s="729">
        <f>IF(ISNUMBER(I26/$H83),I26/$H83,0)</f>
        <v>0</v>
      </c>
      <c r="J83" s="729">
        <f t="shared" ref="J83:T83" si="54">IF(ISNUMBER(J26/$H83),J26/$H83,0)</f>
        <v>0</v>
      </c>
      <c r="K83" s="729">
        <f t="shared" si="54"/>
        <v>0</v>
      </c>
      <c r="L83" s="729">
        <f t="shared" si="54"/>
        <v>0</v>
      </c>
      <c r="M83" s="729">
        <f t="shared" si="54"/>
        <v>0</v>
      </c>
      <c r="N83" s="729">
        <f t="shared" si="54"/>
        <v>0</v>
      </c>
      <c r="O83" s="729">
        <f t="shared" si="54"/>
        <v>0</v>
      </c>
      <c r="P83" s="729">
        <f t="shared" si="54"/>
        <v>0</v>
      </c>
      <c r="Q83" s="729">
        <f t="shared" si="54"/>
        <v>0</v>
      </c>
      <c r="R83" s="729">
        <f t="shared" si="54"/>
        <v>0</v>
      </c>
      <c r="S83" s="729">
        <f t="shared" si="54"/>
        <v>0</v>
      </c>
      <c r="T83" s="729">
        <f t="shared" si="54"/>
        <v>0</v>
      </c>
      <c r="V83" s="729">
        <f t="shared" ref="V83:Y85" si="55">IF(ISNUMBER(V26/($H83*3)),V26/($H83*3),0)</f>
        <v>0</v>
      </c>
      <c r="W83" s="729">
        <f t="shared" si="55"/>
        <v>0</v>
      </c>
      <c r="X83" s="729">
        <f t="shared" si="55"/>
        <v>0</v>
      </c>
      <c r="Y83" s="729">
        <f t="shared" si="55"/>
        <v>0</v>
      </c>
      <c r="AA83" s="729">
        <f>T83</f>
        <v>0</v>
      </c>
      <c r="AB83" s="729">
        <f>Y83</f>
        <v>0</v>
      </c>
      <c r="AC83" s="729">
        <f t="shared" ref="AC83:AE85" si="56">IF(ISNUMBER(AC26/($H83*12)),AC26/($H83*12),0)</f>
        <v>0</v>
      </c>
      <c r="AD83" s="729">
        <f t="shared" si="56"/>
        <v>0</v>
      </c>
      <c r="AE83" s="729">
        <f t="shared" si="56"/>
        <v>0</v>
      </c>
    </row>
    <row r="84" spans="4:31" x14ac:dyDescent="0.25">
      <c r="E84" s="1" t="str">
        <f>E27</f>
        <v>RN</v>
      </c>
      <c r="G84" s="729">
        <f>G80</f>
        <v>156</v>
      </c>
      <c r="H84" s="789">
        <f>H27*G84/1000</f>
        <v>11.39602056299654</v>
      </c>
      <c r="I84" s="729">
        <f>IF(ISNUMBER(I27/$H84),I27/$H84,0)</f>
        <v>0</v>
      </c>
      <c r="J84" s="729">
        <f>IF(ISNUMBER(J27/$H84),J27/$H84,0)</f>
        <v>0</v>
      </c>
      <c r="K84" s="729">
        <f>IF(ISNUMBER(K27/$H84),K27/$H84,0)</f>
        <v>0</v>
      </c>
      <c r="L84" s="729">
        <f>IF(ISNUMBER(L27/$H84),L27/$H84,0)</f>
        <v>0</v>
      </c>
      <c r="M84" s="729">
        <f>IF(ISNUMBER(M27/$H84),M27/$H84,0)</f>
        <v>0</v>
      </c>
      <c r="N84" s="729">
        <f t="shared" ref="N84:T84" si="57">IF(ISNUMBER(N27/$H84),N27/$H84,0)</f>
        <v>0</v>
      </c>
      <c r="O84" s="729">
        <f t="shared" si="57"/>
        <v>0</v>
      </c>
      <c r="P84" s="729">
        <f t="shared" si="57"/>
        <v>0</v>
      </c>
      <c r="Q84" s="729">
        <f t="shared" si="57"/>
        <v>0</v>
      </c>
      <c r="R84" s="729">
        <f t="shared" si="57"/>
        <v>0</v>
      </c>
      <c r="S84" s="729">
        <f t="shared" si="57"/>
        <v>0</v>
      </c>
      <c r="T84" s="729">
        <f t="shared" si="57"/>
        <v>0</v>
      </c>
      <c r="V84" s="729">
        <f t="shared" si="55"/>
        <v>0</v>
      </c>
      <c r="W84" s="729">
        <f t="shared" si="55"/>
        <v>0</v>
      </c>
      <c r="X84" s="729">
        <f t="shared" si="55"/>
        <v>0</v>
      </c>
      <c r="Y84" s="729">
        <f t="shared" si="55"/>
        <v>0</v>
      </c>
      <c r="AA84" s="729">
        <f>T84</f>
        <v>0</v>
      </c>
      <c r="AB84" s="729">
        <f>Y84</f>
        <v>0</v>
      </c>
      <c r="AC84" s="729">
        <f t="shared" si="56"/>
        <v>0</v>
      </c>
      <c r="AD84" s="729">
        <f t="shared" si="56"/>
        <v>0</v>
      </c>
      <c r="AE84" s="729">
        <f t="shared" si="56"/>
        <v>0</v>
      </c>
    </row>
    <row r="85" spans="4:31" x14ac:dyDescent="0.25">
      <c r="E85" s="1" t="str">
        <f>E28</f>
        <v>Biomed Technician</v>
      </c>
      <c r="G85" s="729">
        <f>'A1'!Z74/12</f>
        <v>173.33333333333334</v>
      </c>
      <c r="H85" s="789">
        <f>H28*G85/1000</f>
        <v>6.4074264432274104</v>
      </c>
      <c r="I85" s="729">
        <f>IF(ISNUMBER(I28/$H85),I28/$H85,0)</f>
        <v>0</v>
      </c>
      <c r="J85" s="729">
        <f t="shared" ref="J85:T85" si="58">IF(ISNUMBER(J28/$H85),J28/$H85,0)</f>
        <v>0</v>
      </c>
      <c r="K85" s="729">
        <f t="shared" si="58"/>
        <v>0</v>
      </c>
      <c r="L85" s="729">
        <f t="shared" si="58"/>
        <v>0</v>
      </c>
      <c r="M85" s="729">
        <f t="shared" si="58"/>
        <v>0</v>
      </c>
      <c r="N85" s="729">
        <f t="shared" si="58"/>
        <v>0</v>
      </c>
      <c r="O85" s="729">
        <f t="shared" si="58"/>
        <v>0</v>
      </c>
      <c r="P85" s="729">
        <f t="shared" si="58"/>
        <v>0</v>
      </c>
      <c r="Q85" s="729">
        <f t="shared" si="58"/>
        <v>0</v>
      </c>
      <c r="R85" s="729">
        <f t="shared" si="58"/>
        <v>0</v>
      </c>
      <c r="S85" s="729">
        <f t="shared" si="58"/>
        <v>0</v>
      </c>
      <c r="T85" s="729">
        <f t="shared" si="58"/>
        <v>0</v>
      </c>
      <c r="V85" s="729">
        <f t="shared" si="55"/>
        <v>0</v>
      </c>
      <c r="W85" s="729">
        <f t="shared" si="55"/>
        <v>0</v>
      </c>
      <c r="X85" s="729">
        <f t="shared" si="55"/>
        <v>0</v>
      </c>
      <c r="Y85" s="729">
        <f t="shared" si="55"/>
        <v>0</v>
      </c>
      <c r="AA85" s="729">
        <f>T85</f>
        <v>0</v>
      </c>
      <c r="AB85" s="729">
        <f>Y85</f>
        <v>0</v>
      </c>
      <c r="AC85" s="729">
        <f t="shared" si="56"/>
        <v>0</v>
      </c>
      <c r="AD85" s="729">
        <f t="shared" si="56"/>
        <v>0</v>
      </c>
      <c r="AE85" s="729">
        <f t="shared" si="56"/>
        <v>0</v>
      </c>
    </row>
    <row r="87" spans="4:31" x14ac:dyDescent="0.25">
      <c r="D87" s="1" t="s">
        <v>384</v>
      </c>
    </row>
    <row r="88" spans="4:31" x14ac:dyDescent="0.25">
      <c r="D88" s="381">
        <f t="shared" ref="D88:E96" si="59">D50</f>
        <v>1</v>
      </c>
      <c r="E88" s="1" t="str">
        <f t="shared" si="59"/>
        <v>Clinical Manager</v>
      </c>
      <c r="I88" s="566">
        <f t="shared" ref="I88:T88" si="60">I50</f>
        <v>1</v>
      </c>
      <c r="J88" s="566">
        <f t="shared" si="60"/>
        <v>1</v>
      </c>
      <c r="K88" s="566">
        <f t="shared" si="60"/>
        <v>1</v>
      </c>
      <c r="L88" s="566">
        <f t="shared" si="60"/>
        <v>1</v>
      </c>
      <c r="M88" s="566">
        <f t="shared" si="60"/>
        <v>1</v>
      </c>
      <c r="N88" s="566">
        <f t="shared" si="60"/>
        <v>1</v>
      </c>
      <c r="O88" s="566">
        <f t="shared" si="60"/>
        <v>1</v>
      </c>
      <c r="P88" s="566">
        <f t="shared" si="60"/>
        <v>1</v>
      </c>
      <c r="Q88" s="566">
        <f t="shared" si="60"/>
        <v>1</v>
      </c>
      <c r="R88" s="566">
        <f t="shared" si="60"/>
        <v>1</v>
      </c>
      <c r="S88" s="566">
        <f t="shared" si="60"/>
        <v>1</v>
      </c>
      <c r="T88" s="566">
        <f t="shared" si="60"/>
        <v>1</v>
      </c>
      <c r="U88" s="566"/>
      <c r="V88" s="566">
        <f t="shared" ref="V88:Y89" si="61">V50</f>
        <v>1</v>
      </c>
      <c r="W88" s="566">
        <f t="shared" si="61"/>
        <v>1</v>
      </c>
      <c r="X88" s="566">
        <f t="shared" si="61"/>
        <v>1</v>
      </c>
      <c r="Y88" s="566">
        <f t="shared" si="61"/>
        <v>1</v>
      </c>
      <c r="Z88" s="566"/>
      <c r="AA88" s="566">
        <f t="shared" ref="AA88:AE89" si="62">AA50</f>
        <v>1</v>
      </c>
      <c r="AB88" s="566">
        <f t="shared" si="62"/>
        <v>1</v>
      </c>
      <c r="AC88" s="566">
        <f t="shared" si="62"/>
        <v>1</v>
      </c>
      <c r="AD88" s="566">
        <f t="shared" si="62"/>
        <v>1</v>
      </c>
      <c r="AE88" s="566">
        <f t="shared" si="62"/>
        <v>1</v>
      </c>
    </row>
    <row r="89" spans="4:31" x14ac:dyDescent="0.25">
      <c r="D89" s="381">
        <f t="shared" si="59"/>
        <v>2</v>
      </c>
      <c r="E89" s="1" t="str">
        <f t="shared" si="59"/>
        <v>Clinical Coordinator</v>
      </c>
      <c r="I89" s="566">
        <f t="shared" ref="I89:T89" si="63">I51</f>
        <v>0</v>
      </c>
      <c r="J89" s="566">
        <f t="shared" si="63"/>
        <v>0</v>
      </c>
      <c r="K89" s="566">
        <f t="shared" si="63"/>
        <v>0</v>
      </c>
      <c r="L89" s="566">
        <f t="shared" si="63"/>
        <v>0</v>
      </c>
      <c r="M89" s="566">
        <f t="shared" si="63"/>
        <v>0</v>
      </c>
      <c r="N89" s="566">
        <f t="shared" si="63"/>
        <v>0</v>
      </c>
      <c r="O89" s="566">
        <f t="shared" si="63"/>
        <v>0</v>
      </c>
      <c r="P89" s="566">
        <f t="shared" si="63"/>
        <v>0</v>
      </c>
      <c r="Q89" s="566">
        <f t="shared" si="63"/>
        <v>0</v>
      </c>
      <c r="R89" s="566">
        <f t="shared" si="63"/>
        <v>0</v>
      </c>
      <c r="S89" s="566">
        <f t="shared" si="63"/>
        <v>0</v>
      </c>
      <c r="T89" s="566">
        <f t="shared" si="63"/>
        <v>0</v>
      </c>
      <c r="U89" s="566"/>
      <c r="V89" s="566">
        <f t="shared" si="61"/>
        <v>0</v>
      </c>
      <c r="W89" s="566">
        <f t="shared" si="61"/>
        <v>0</v>
      </c>
      <c r="X89" s="566">
        <f t="shared" si="61"/>
        <v>0</v>
      </c>
      <c r="Y89" s="566">
        <f t="shared" si="61"/>
        <v>0</v>
      </c>
      <c r="Z89" s="566"/>
      <c r="AA89" s="566">
        <f t="shared" si="62"/>
        <v>0</v>
      </c>
      <c r="AB89" s="566">
        <f t="shared" si="62"/>
        <v>0</v>
      </c>
      <c r="AC89" s="566">
        <f t="shared" si="62"/>
        <v>0</v>
      </c>
      <c r="AD89" s="566">
        <f t="shared" si="62"/>
        <v>0</v>
      </c>
      <c r="AE89" s="566">
        <f t="shared" si="62"/>
        <v>0</v>
      </c>
    </row>
    <row r="90" spans="4:31" x14ac:dyDescent="0.25">
      <c r="D90" s="381">
        <f t="shared" si="59"/>
        <v>3</v>
      </c>
      <c r="E90" s="1" t="str">
        <f t="shared" si="59"/>
        <v>CCHT (PCT)</v>
      </c>
      <c r="I90" s="82">
        <f t="shared" ref="I90:T90" si="64">I52+I83</f>
        <v>0</v>
      </c>
      <c r="J90" s="82">
        <f t="shared" si="64"/>
        <v>0</v>
      </c>
      <c r="K90" s="82">
        <f t="shared" si="64"/>
        <v>0</v>
      </c>
      <c r="L90" s="82">
        <f t="shared" si="64"/>
        <v>0</v>
      </c>
      <c r="M90" s="82">
        <f t="shared" si="64"/>
        <v>0</v>
      </c>
      <c r="N90" s="82">
        <f t="shared" si="64"/>
        <v>0</v>
      </c>
      <c r="O90" s="82">
        <f t="shared" si="64"/>
        <v>0</v>
      </c>
      <c r="P90" s="82">
        <f t="shared" si="64"/>
        <v>0</v>
      </c>
      <c r="Q90" s="82">
        <f t="shared" si="64"/>
        <v>0</v>
      </c>
      <c r="R90" s="82">
        <f t="shared" si="64"/>
        <v>0</v>
      </c>
      <c r="S90" s="82">
        <f t="shared" si="64"/>
        <v>0</v>
      </c>
      <c r="T90" s="82">
        <f t="shared" si="64"/>
        <v>0</v>
      </c>
      <c r="U90" s="82"/>
      <c r="V90" s="82">
        <f>V52+V83</f>
        <v>0</v>
      </c>
      <c r="W90" s="82">
        <f>W52+W83</f>
        <v>0</v>
      </c>
      <c r="X90" s="82">
        <f>X52+X83</f>
        <v>0</v>
      </c>
      <c r="Y90" s="82">
        <f>Y52+Y83</f>
        <v>0</v>
      </c>
      <c r="Z90" s="82"/>
      <c r="AA90" s="82">
        <f>AA52+AA83</f>
        <v>0</v>
      </c>
      <c r="AB90" s="82">
        <f>AB52+AB83</f>
        <v>0</v>
      </c>
      <c r="AC90" s="82">
        <f>AC52+AC83</f>
        <v>0</v>
      </c>
      <c r="AD90" s="82">
        <f>AD52+AD83</f>
        <v>0</v>
      </c>
      <c r="AE90" s="82">
        <f>AE52+AE83</f>
        <v>0</v>
      </c>
    </row>
    <row r="91" spans="4:31" x14ac:dyDescent="0.25">
      <c r="D91" s="381">
        <f t="shared" si="59"/>
        <v>4</v>
      </c>
      <c r="E91" s="1" t="str">
        <f t="shared" si="59"/>
        <v>RN</v>
      </c>
      <c r="I91" s="82">
        <f t="shared" ref="I91:T91" si="65">I53+I80+I84</f>
        <v>3.2327709392981965</v>
      </c>
      <c r="J91" s="82">
        <f t="shared" si="65"/>
        <v>3.2380625647135552</v>
      </c>
      <c r="K91" s="82">
        <f t="shared" si="65"/>
        <v>3.2486631389489071</v>
      </c>
      <c r="L91" s="82">
        <f t="shared" si="65"/>
        <v>3.2592984167058474</v>
      </c>
      <c r="M91" s="82">
        <f t="shared" si="65"/>
        <v>3.2699685115946746</v>
      </c>
      <c r="N91" s="82">
        <f t="shared" si="65"/>
        <v>3.2806735375976199</v>
      </c>
      <c r="O91" s="82">
        <f t="shared" si="65"/>
        <v>3.2914136090700605</v>
      </c>
      <c r="P91" s="82">
        <f t="shared" si="65"/>
        <v>3.3021888407417439</v>
      </c>
      <c r="Q91" s="82">
        <f t="shared" si="65"/>
        <v>3.3129993477180135</v>
      </c>
      <c r="R91" s="82">
        <f t="shared" si="65"/>
        <v>3.3238452454810372</v>
      </c>
      <c r="S91" s="82">
        <f t="shared" si="65"/>
        <v>3.3347266498910417</v>
      </c>
      <c r="T91" s="82">
        <f t="shared" si="65"/>
        <v>3.3456436771875486</v>
      </c>
      <c r="U91" s="82"/>
      <c r="V91" s="82">
        <f>V53+V80+V84</f>
        <v>3.36367777777778</v>
      </c>
      <c r="W91" s="82">
        <f>W53+W80+W84</f>
        <v>3.3888111111111128</v>
      </c>
      <c r="X91" s="82">
        <f>X53+X80+X84</f>
        <v>3.4139444444444464</v>
      </c>
      <c r="Y91" s="82">
        <f>Y53+Y80+Y84</f>
        <v>3.4390777777777797</v>
      </c>
      <c r="Z91" s="82"/>
      <c r="AA91" s="82">
        <f>AA53+AA80+AA84</f>
        <v>3.3456436771875486</v>
      </c>
      <c r="AB91" s="82">
        <f>AB53+AB80+AB84</f>
        <v>3.4390777777777797</v>
      </c>
      <c r="AC91" s="82">
        <f>AC53+AC80+AC84</f>
        <v>3.5034191111111128</v>
      </c>
      <c r="AD91" s="82">
        <f>AD53+AD80+AD84</f>
        <v>3.6085216844444465</v>
      </c>
      <c r="AE91" s="82">
        <f>AE53+AE80+AE84</f>
        <v>3.7167773349777797</v>
      </c>
    </row>
    <row r="92" spans="4:31" x14ac:dyDescent="0.25">
      <c r="D92" s="381">
        <f t="shared" si="59"/>
        <v>5</v>
      </c>
      <c r="E92" s="1" t="str">
        <f t="shared" si="59"/>
        <v>Territory Tech Manager</v>
      </c>
      <c r="I92" s="566">
        <f t="shared" ref="I92:T92" si="66">I54</f>
        <v>0</v>
      </c>
      <c r="J92" s="566">
        <f t="shared" si="66"/>
        <v>0</v>
      </c>
      <c r="K92" s="566">
        <f t="shared" si="66"/>
        <v>0</v>
      </c>
      <c r="L92" s="566">
        <f t="shared" si="66"/>
        <v>0</v>
      </c>
      <c r="M92" s="566">
        <f t="shared" si="66"/>
        <v>0</v>
      </c>
      <c r="N92" s="566">
        <f t="shared" si="66"/>
        <v>0</v>
      </c>
      <c r="O92" s="566">
        <f t="shared" si="66"/>
        <v>0</v>
      </c>
      <c r="P92" s="566">
        <f t="shared" si="66"/>
        <v>0</v>
      </c>
      <c r="Q92" s="566">
        <f t="shared" si="66"/>
        <v>0</v>
      </c>
      <c r="R92" s="566">
        <f t="shared" si="66"/>
        <v>0</v>
      </c>
      <c r="S92" s="566">
        <f t="shared" si="66"/>
        <v>0</v>
      </c>
      <c r="T92" s="566">
        <f t="shared" si="66"/>
        <v>0</v>
      </c>
      <c r="U92" s="566"/>
      <c r="V92" s="566">
        <f>V54</f>
        <v>0</v>
      </c>
      <c r="W92" s="566">
        <f>W54</f>
        <v>0</v>
      </c>
      <c r="X92" s="566">
        <f>X54</f>
        <v>0</v>
      </c>
      <c r="Y92" s="566">
        <f>Y54</f>
        <v>0</v>
      </c>
      <c r="Z92" s="566"/>
      <c r="AA92" s="566">
        <f>AA54</f>
        <v>0</v>
      </c>
      <c r="AB92" s="566">
        <f>AB54</f>
        <v>0</v>
      </c>
      <c r="AC92" s="566">
        <f>AC54</f>
        <v>0</v>
      </c>
      <c r="AD92" s="566">
        <f>AD54</f>
        <v>0</v>
      </c>
      <c r="AE92" s="566">
        <f>AE54</f>
        <v>0</v>
      </c>
    </row>
    <row r="93" spans="4:31" x14ac:dyDescent="0.25">
      <c r="D93" s="381">
        <f t="shared" si="59"/>
        <v>6</v>
      </c>
      <c r="E93" s="1" t="str">
        <f t="shared" si="59"/>
        <v>Biomed Technician</v>
      </c>
      <c r="I93" s="82">
        <f t="shared" ref="I93:T93" si="67">I55+I85</f>
        <v>0.2</v>
      </c>
      <c r="J93" s="82">
        <f t="shared" si="67"/>
        <v>0.2</v>
      </c>
      <c r="K93" s="82">
        <f t="shared" si="67"/>
        <v>0.2</v>
      </c>
      <c r="L93" s="82">
        <f t="shared" si="67"/>
        <v>0.2</v>
      </c>
      <c r="M93" s="82">
        <f t="shared" si="67"/>
        <v>0.2</v>
      </c>
      <c r="N93" s="82">
        <f t="shared" si="67"/>
        <v>0.2</v>
      </c>
      <c r="O93" s="82">
        <f t="shared" si="67"/>
        <v>0.2</v>
      </c>
      <c r="P93" s="82">
        <f t="shared" si="67"/>
        <v>0.2</v>
      </c>
      <c r="Q93" s="82">
        <f t="shared" si="67"/>
        <v>0.2</v>
      </c>
      <c r="R93" s="82">
        <f t="shared" si="67"/>
        <v>0.2</v>
      </c>
      <c r="S93" s="82">
        <f t="shared" si="67"/>
        <v>0.2</v>
      </c>
      <c r="T93" s="82">
        <f t="shared" si="67"/>
        <v>0.2</v>
      </c>
      <c r="U93" s="82"/>
      <c r="V93" s="82">
        <f>V55+V85</f>
        <v>0.2</v>
      </c>
      <c r="W93" s="82">
        <f>W55+W85</f>
        <v>0.2</v>
      </c>
      <c r="X93" s="82">
        <f>X55+X85</f>
        <v>0.2</v>
      </c>
      <c r="Y93" s="82">
        <f>Y55+Y85</f>
        <v>0.2</v>
      </c>
      <c r="Z93" s="82"/>
      <c r="AA93" s="82">
        <f>AA55+AA85</f>
        <v>0.2</v>
      </c>
      <c r="AB93" s="82">
        <f>AB55+AB85</f>
        <v>0.2</v>
      </c>
      <c r="AC93" s="82">
        <f>AC55+AC85</f>
        <v>0.2</v>
      </c>
      <c r="AD93" s="82">
        <f>AD55+AD85</f>
        <v>0.2</v>
      </c>
      <c r="AE93" s="82">
        <f>AE55+AE85</f>
        <v>0.2</v>
      </c>
    </row>
    <row r="94" spans="4:31" x14ac:dyDescent="0.25">
      <c r="D94" s="381">
        <f t="shared" si="59"/>
        <v>7</v>
      </c>
      <c r="E94" s="1" t="str">
        <f t="shared" si="59"/>
        <v>Dietician</v>
      </c>
      <c r="I94" s="566">
        <f t="shared" ref="I94:T94" si="68">I56</f>
        <v>0.52899888097606851</v>
      </c>
      <c r="J94" s="566">
        <f t="shared" si="68"/>
        <v>0.52986478331676357</v>
      </c>
      <c r="K94" s="566">
        <f t="shared" si="68"/>
        <v>0.53159942273709393</v>
      </c>
      <c r="L94" s="566">
        <f t="shared" si="68"/>
        <v>0.53333974091550229</v>
      </c>
      <c r="M94" s="566">
        <f t="shared" si="68"/>
        <v>0.53508575644276501</v>
      </c>
      <c r="N94" s="566">
        <f t="shared" si="68"/>
        <v>0.53683748797051967</v>
      </c>
      <c r="O94" s="566">
        <f t="shared" si="68"/>
        <v>0.53859495421146453</v>
      </c>
      <c r="P94" s="566">
        <f t="shared" si="68"/>
        <v>0.5403581739395581</v>
      </c>
      <c r="Q94" s="566">
        <f t="shared" si="68"/>
        <v>0.54212716599022037</v>
      </c>
      <c r="R94" s="566">
        <f t="shared" si="68"/>
        <v>0.54390194926053337</v>
      </c>
      <c r="S94" s="566">
        <f t="shared" si="68"/>
        <v>0.54568254270944316</v>
      </c>
      <c r="T94" s="566">
        <f t="shared" si="68"/>
        <v>0.54746896535796252</v>
      </c>
      <c r="U94" s="566"/>
      <c r="V94" s="566">
        <f t="shared" ref="V94:Y96" si="69">V56</f>
        <v>0.55042000000000035</v>
      </c>
      <c r="W94" s="566">
        <f t="shared" si="69"/>
        <v>0.55453272727272751</v>
      </c>
      <c r="X94" s="566">
        <f t="shared" si="69"/>
        <v>0.55864545454545489</v>
      </c>
      <c r="Y94" s="566">
        <f t="shared" si="69"/>
        <v>0.56275818181818216</v>
      </c>
      <c r="Z94" s="566"/>
      <c r="AA94" s="566">
        <f t="shared" ref="AA94:AE96" si="70">AA56</f>
        <v>0.54746896535796252</v>
      </c>
      <c r="AB94" s="566">
        <f t="shared" si="70"/>
        <v>0.56275818181818216</v>
      </c>
      <c r="AC94" s="566">
        <f t="shared" si="70"/>
        <v>0.57328676363636399</v>
      </c>
      <c r="AD94" s="566">
        <f t="shared" si="70"/>
        <v>0.59048536654545491</v>
      </c>
      <c r="AE94" s="566">
        <f t="shared" si="70"/>
        <v>0.60819992754181851</v>
      </c>
    </row>
    <row r="95" spans="4:31" x14ac:dyDescent="0.25">
      <c r="D95" s="381">
        <f t="shared" si="59"/>
        <v>8</v>
      </c>
      <c r="E95" s="1" t="str">
        <f t="shared" si="59"/>
        <v>Social Worker</v>
      </c>
      <c r="I95" s="566">
        <f t="shared" ref="I95:T95" si="71">I57</f>
        <v>0.52899888097606851</v>
      </c>
      <c r="J95" s="566">
        <f t="shared" si="71"/>
        <v>0.52986478331676357</v>
      </c>
      <c r="K95" s="566">
        <f t="shared" si="71"/>
        <v>0.53159942273709393</v>
      </c>
      <c r="L95" s="566">
        <f t="shared" si="71"/>
        <v>0.53333974091550229</v>
      </c>
      <c r="M95" s="566">
        <f t="shared" si="71"/>
        <v>0.53508575644276501</v>
      </c>
      <c r="N95" s="566">
        <f t="shared" si="71"/>
        <v>0.53683748797051967</v>
      </c>
      <c r="O95" s="566">
        <f t="shared" si="71"/>
        <v>0.53859495421146453</v>
      </c>
      <c r="P95" s="566">
        <f t="shared" si="71"/>
        <v>0.5403581739395581</v>
      </c>
      <c r="Q95" s="566">
        <f t="shared" si="71"/>
        <v>0.54212716599022037</v>
      </c>
      <c r="R95" s="566">
        <f t="shared" si="71"/>
        <v>0.54390194926053337</v>
      </c>
      <c r="S95" s="566">
        <f t="shared" si="71"/>
        <v>0.54568254270944316</v>
      </c>
      <c r="T95" s="566">
        <f t="shared" si="71"/>
        <v>0.54746896535796252</v>
      </c>
      <c r="U95" s="566"/>
      <c r="V95" s="566">
        <f t="shared" si="69"/>
        <v>0.55042000000000035</v>
      </c>
      <c r="W95" s="566">
        <f t="shared" si="69"/>
        <v>0.55453272727272751</v>
      </c>
      <c r="X95" s="566">
        <f t="shared" si="69"/>
        <v>0.55864545454545489</v>
      </c>
      <c r="Y95" s="566">
        <f t="shared" si="69"/>
        <v>0.56275818181818216</v>
      </c>
      <c r="Z95" s="566"/>
      <c r="AA95" s="566">
        <f t="shared" si="70"/>
        <v>0.54746896535796252</v>
      </c>
      <c r="AB95" s="566">
        <f t="shared" si="70"/>
        <v>0.56275818181818216</v>
      </c>
      <c r="AC95" s="566">
        <f t="shared" si="70"/>
        <v>0.57328676363636399</v>
      </c>
      <c r="AD95" s="566">
        <f t="shared" si="70"/>
        <v>0.59048536654545491</v>
      </c>
      <c r="AE95" s="566">
        <f t="shared" si="70"/>
        <v>0.60819992754181851</v>
      </c>
    </row>
    <row r="96" spans="4:31" ht="17.25" x14ac:dyDescent="0.4">
      <c r="D96" s="381">
        <f t="shared" si="59"/>
        <v>9</v>
      </c>
      <c r="E96" s="1" t="str">
        <f t="shared" si="59"/>
        <v>Administrative Support</v>
      </c>
      <c r="I96" s="790">
        <f t="shared" ref="I96:T96" si="72">I58</f>
        <v>1.9396625635789178</v>
      </c>
      <c r="J96" s="790">
        <f t="shared" si="72"/>
        <v>1.9428375388281331</v>
      </c>
      <c r="K96" s="790">
        <f t="shared" si="72"/>
        <v>1.9491978833693442</v>
      </c>
      <c r="L96" s="790">
        <f t="shared" si="72"/>
        <v>1.9555790500235084</v>
      </c>
      <c r="M96" s="790">
        <f t="shared" si="72"/>
        <v>1.9619811069568049</v>
      </c>
      <c r="N96" s="790">
        <f t="shared" si="72"/>
        <v>1.968404122558572</v>
      </c>
      <c r="O96" s="790">
        <f t="shared" si="72"/>
        <v>1.9748481654420365</v>
      </c>
      <c r="P96" s="790">
        <f t="shared" si="72"/>
        <v>1.9813133044450464</v>
      </c>
      <c r="Q96" s="790">
        <f t="shared" si="72"/>
        <v>1.9877996086308081</v>
      </c>
      <c r="R96" s="790">
        <f t="shared" si="72"/>
        <v>1.9943071472886225</v>
      </c>
      <c r="S96" s="790">
        <f t="shared" si="72"/>
        <v>2.0008359899346249</v>
      </c>
      <c r="T96" s="790">
        <f t="shared" si="72"/>
        <v>2.0073862063125292</v>
      </c>
      <c r="U96" s="790"/>
      <c r="V96" s="790">
        <f t="shared" si="69"/>
        <v>2.0182066666666683</v>
      </c>
      <c r="W96" s="790">
        <f t="shared" si="69"/>
        <v>2.0332866666666676</v>
      </c>
      <c r="X96" s="790">
        <f t="shared" si="69"/>
        <v>2.0483666666666678</v>
      </c>
      <c r="Y96" s="790">
        <f t="shared" si="69"/>
        <v>2.063446666666668</v>
      </c>
      <c r="Z96" s="790"/>
      <c r="AA96" s="790">
        <f t="shared" si="70"/>
        <v>2.0073862063125292</v>
      </c>
      <c r="AB96" s="790">
        <f t="shared" si="70"/>
        <v>2.063446666666668</v>
      </c>
      <c r="AC96" s="790">
        <f t="shared" si="70"/>
        <v>2.1020514666666679</v>
      </c>
      <c r="AD96" s="790">
        <f t="shared" si="70"/>
        <v>2.1651130106666678</v>
      </c>
      <c r="AE96" s="790">
        <f t="shared" si="70"/>
        <v>2.2300664009866678</v>
      </c>
    </row>
    <row r="97" spans="6:31" x14ac:dyDescent="0.25">
      <c r="I97" s="566">
        <f>SUM(I88:I96)</f>
        <v>7.4304312648292523</v>
      </c>
      <c r="J97" s="566">
        <f t="shared" ref="J97:AE97" si="73">SUM(J88:J96)</f>
        <v>7.4406296701752153</v>
      </c>
      <c r="K97" s="566">
        <f t="shared" si="73"/>
        <v>7.4610598677924393</v>
      </c>
      <c r="L97" s="566">
        <f t="shared" si="73"/>
        <v>7.4815569485603604</v>
      </c>
      <c r="M97" s="566">
        <f t="shared" si="73"/>
        <v>7.5021211314370095</v>
      </c>
      <c r="N97" s="566">
        <f t="shared" si="73"/>
        <v>7.5227526360972305</v>
      </c>
      <c r="O97" s="566">
        <f t="shared" si="73"/>
        <v>7.543451682935026</v>
      </c>
      <c r="P97" s="566">
        <f t="shared" si="73"/>
        <v>7.5642184930659067</v>
      </c>
      <c r="Q97" s="566">
        <f t="shared" si="73"/>
        <v>7.585053288329263</v>
      </c>
      <c r="R97" s="566">
        <f t="shared" si="73"/>
        <v>7.6059562912907257</v>
      </c>
      <c r="S97" s="566">
        <f t="shared" si="73"/>
        <v>7.6269277252445526</v>
      </c>
      <c r="T97" s="566">
        <f t="shared" si="73"/>
        <v>7.6479678142160035</v>
      </c>
      <c r="U97" s="566"/>
      <c r="V97" s="566">
        <f t="shared" si="73"/>
        <v>7.6827244444444496</v>
      </c>
      <c r="W97" s="566">
        <f t="shared" si="73"/>
        <v>7.7311632323232349</v>
      </c>
      <c r="X97" s="566">
        <f t="shared" si="73"/>
        <v>7.7796020202020237</v>
      </c>
      <c r="Y97" s="566">
        <f t="shared" si="73"/>
        <v>7.8280408080808126</v>
      </c>
      <c r="Z97" s="566"/>
      <c r="AA97" s="566">
        <f t="shared" si="73"/>
        <v>7.6479678142160035</v>
      </c>
      <c r="AB97" s="566">
        <f t="shared" si="73"/>
        <v>7.8280408080808126</v>
      </c>
      <c r="AC97" s="566">
        <f t="shared" si="73"/>
        <v>7.9520441050505095</v>
      </c>
      <c r="AD97" s="566">
        <f t="shared" si="73"/>
        <v>8.1546054282020233</v>
      </c>
      <c r="AE97" s="566">
        <f t="shared" si="73"/>
        <v>8.363243591048084</v>
      </c>
    </row>
    <row r="100" spans="6:31" x14ac:dyDescent="0.25">
      <c r="F100" s="1" t="s">
        <v>960</v>
      </c>
    </row>
    <row r="101" spans="6:31" x14ac:dyDescent="0.25">
      <c r="F101" s="1" t="s">
        <v>957</v>
      </c>
      <c r="I101" s="381">
        <f>I11</f>
        <v>0</v>
      </c>
      <c r="J101" s="381">
        <f t="shared" ref="J101:T101" si="74">J11</f>
        <v>0</v>
      </c>
      <c r="K101" s="381">
        <f t="shared" si="74"/>
        <v>0</v>
      </c>
      <c r="L101" s="1234">
        <f t="shared" si="74"/>
        <v>0</v>
      </c>
      <c r="M101" s="1234">
        <f t="shared" si="74"/>
        <v>0</v>
      </c>
      <c r="N101" s="1234">
        <f t="shared" si="74"/>
        <v>0</v>
      </c>
      <c r="O101" s="1234">
        <f t="shared" si="74"/>
        <v>0</v>
      </c>
      <c r="P101" s="1234">
        <f t="shared" si="74"/>
        <v>0</v>
      </c>
      <c r="Q101" s="1234">
        <f t="shared" si="74"/>
        <v>0</v>
      </c>
      <c r="R101" s="1234">
        <f t="shared" si="74"/>
        <v>0</v>
      </c>
      <c r="S101" s="1234">
        <f t="shared" si="74"/>
        <v>0</v>
      </c>
      <c r="T101" s="1234">
        <f t="shared" si="74"/>
        <v>0</v>
      </c>
      <c r="U101" s="1234"/>
      <c r="V101" s="1234">
        <f>V11/3</f>
        <v>0</v>
      </c>
      <c r="W101" s="1234">
        <f>W11/3</f>
        <v>0</v>
      </c>
      <c r="X101" s="1234">
        <f>X11/3</f>
        <v>0</v>
      </c>
      <c r="Y101" s="1234">
        <f>Y11/3</f>
        <v>0</v>
      </c>
      <c r="Z101" s="1234"/>
      <c r="AA101" s="1234">
        <f>AA11/12</f>
        <v>0</v>
      </c>
      <c r="AB101" s="1234">
        <f>AB11/12</f>
        <v>0</v>
      </c>
      <c r="AC101" s="1234">
        <f>AC11/12</f>
        <v>0</v>
      </c>
      <c r="AD101" s="1234">
        <f>AD11/12</f>
        <v>0</v>
      </c>
      <c r="AE101" s="1234">
        <f>AE11/12</f>
        <v>0</v>
      </c>
    </row>
    <row r="102" spans="6:31" x14ac:dyDescent="0.25">
      <c r="F102" s="1" t="s">
        <v>958</v>
      </c>
      <c r="I102" s="381">
        <f>I16</f>
        <v>98.954473071149494</v>
      </c>
      <c r="J102" s="381">
        <f t="shared" ref="J102:T102" si="75">J16</f>
        <v>99.116448668709268</v>
      </c>
      <c r="K102" s="381">
        <f t="shared" si="75"/>
        <v>99.440930129786295</v>
      </c>
      <c r="L102" s="1234">
        <f t="shared" si="75"/>
        <v>99.766473858731047</v>
      </c>
      <c r="M102" s="1234">
        <f t="shared" si="75"/>
        <v>100.09308333313206</v>
      </c>
      <c r="N102" s="1234">
        <f t="shared" si="75"/>
        <v>100.42076204196269</v>
      </c>
      <c r="O102" s="1234">
        <f t="shared" si="75"/>
        <v>100.74951348561819</v>
      </c>
      <c r="P102" s="1234">
        <f t="shared" si="75"/>
        <v>101.07934117595325</v>
      </c>
      <c r="Q102" s="1234">
        <f t="shared" si="75"/>
        <v>101.41024863631942</v>
      </c>
      <c r="R102" s="1234">
        <f t="shared" si="75"/>
        <v>101.74223940160283</v>
      </c>
      <c r="S102" s="1234">
        <f t="shared" si="75"/>
        <v>102.07531701826186</v>
      </c>
      <c r="T102" s="1234">
        <f t="shared" si="75"/>
        <v>102.40948504436511</v>
      </c>
      <c r="U102" s="1234"/>
      <c r="V102" s="1234">
        <f>V16/3</f>
        <v>102.96150526315792</v>
      </c>
      <c r="W102" s="1234">
        <f>W16/3</f>
        <v>103.73083157894742</v>
      </c>
      <c r="X102" s="1234">
        <f>X16/3</f>
        <v>104.50015789473689</v>
      </c>
      <c r="Y102" s="1234">
        <f>Y16/3</f>
        <v>105.26948421052636</v>
      </c>
      <c r="Z102" s="1234"/>
      <c r="AA102" s="1234">
        <f>AA16/12</f>
        <v>100.60485965546594</v>
      </c>
      <c r="AB102" s="1234">
        <f>AB16/12</f>
        <v>104.11549473684215</v>
      </c>
      <c r="AC102" s="1234">
        <f>AC16/12</f>
        <v>107.2389595789474</v>
      </c>
      <c r="AD102" s="1234">
        <f>AD16/12</f>
        <v>110.45612836631584</v>
      </c>
      <c r="AE102" s="1234">
        <f>AE16/12</f>
        <v>113.76981221730533</v>
      </c>
    </row>
    <row r="103" spans="6:31" x14ac:dyDescent="0.25">
      <c r="F103" s="1" t="s">
        <v>883</v>
      </c>
      <c r="I103" s="381">
        <f>I19</f>
        <v>0</v>
      </c>
      <c r="J103" s="381">
        <f t="shared" ref="J103:T103" si="76">J19</f>
        <v>0</v>
      </c>
      <c r="K103" s="381">
        <f t="shared" si="76"/>
        <v>0</v>
      </c>
      <c r="L103" s="1234">
        <f t="shared" si="76"/>
        <v>0</v>
      </c>
      <c r="M103" s="1234">
        <f t="shared" si="76"/>
        <v>0</v>
      </c>
      <c r="N103" s="1234">
        <f t="shared" si="76"/>
        <v>0</v>
      </c>
      <c r="O103" s="1234">
        <f t="shared" si="76"/>
        <v>0</v>
      </c>
      <c r="P103" s="1234">
        <f t="shared" si="76"/>
        <v>0</v>
      </c>
      <c r="Q103" s="1234">
        <f t="shared" si="76"/>
        <v>0</v>
      </c>
      <c r="R103" s="1234">
        <f t="shared" si="76"/>
        <v>0</v>
      </c>
      <c r="S103" s="1234">
        <f t="shared" si="76"/>
        <v>0</v>
      </c>
      <c r="T103" s="1234">
        <f t="shared" si="76"/>
        <v>0</v>
      </c>
      <c r="U103" s="1234"/>
      <c r="V103" s="1234">
        <f>V19/3</f>
        <v>0</v>
      </c>
      <c r="W103" s="1234">
        <f>W19/3</f>
        <v>0</v>
      </c>
      <c r="X103" s="1234">
        <f>X19/3</f>
        <v>0</v>
      </c>
      <c r="Y103" s="1234">
        <f>Y19/3</f>
        <v>0</v>
      </c>
      <c r="Z103" s="1234"/>
      <c r="AA103" s="1234">
        <f>AA19/12</f>
        <v>0</v>
      </c>
      <c r="AB103" s="1234">
        <f>AB19/12</f>
        <v>0</v>
      </c>
      <c r="AC103" s="1234">
        <f>AC19/12</f>
        <v>0</v>
      </c>
      <c r="AD103" s="1234">
        <f>AD19/12</f>
        <v>0</v>
      </c>
      <c r="AE103" s="1234">
        <f>AE19/12</f>
        <v>0</v>
      </c>
    </row>
    <row r="104" spans="6:31" x14ac:dyDescent="0.25">
      <c r="L104" s="1183"/>
      <c r="M104" s="1183"/>
      <c r="N104" s="1183"/>
      <c r="O104" s="1183"/>
      <c r="P104" s="1183"/>
      <c r="Q104" s="1183"/>
      <c r="R104" s="1183"/>
      <c r="S104" s="1183"/>
      <c r="T104" s="1183"/>
      <c r="U104" s="1183"/>
      <c r="V104" s="1183"/>
      <c r="W104" s="1183"/>
      <c r="X104" s="1183"/>
      <c r="Y104" s="1183"/>
      <c r="Z104" s="1183"/>
      <c r="AA104" s="1183"/>
      <c r="AB104" s="1183"/>
      <c r="AC104" s="1183"/>
      <c r="AD104" s="1183"/>
      <c r="AE104" s="1183"/>
    </row>
  </sheetData>
  <printOptions horizontalCentered="1"/>
  <pageMargins left="0.5" right="0.5" top="0.75" bottom="0.75" header="0.3" footer="0.3"/>
  <pageSetup scale="48" orientation="landscape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>
    <tabColor theme="9" tint="-0.249977111117893"/>
    <pageSetUpPr fitToPage="1"/>
  </sheetPr>
  <dimension ref="A1:AO16"/>
  <sheetViews>
    <sheetView showGridLines="0" view="pageBreakPreview" zoomScale="110" zoomScaleNormal="132" zoomScaleSheetLayoutView="110" workbookViewId="0"/>
  </sheetViews>
  <sheetFormatPr defaultColWidth="9.42578125" defaultRowHeight="15" x14ac:dyDescent="0.25"/>
  <cols>
    <col min="1" max="1" width="1.5703125" style="1" customWidth="1"/>
    <col min="2" max="5" width="3" style="1" customWidth="1"/>
    <col min="6" max="6" width="5.140625" style="1" customWidth="1"/>
    <col min="7" max="7" width="8.42578125" style="173" customWidth="1"/>
    <col min="8" max="8" width="1.42578125" style="1" customWidth="1"/>
    <col min="9" max="20" width="8.42578125" style="1" customWidth="1"/>
    <col min="21" max="21" width="2.42578125" style="1" customWidth="1"/>
    <col min="22" max="25" width="7.5703125" style="1" customWidth="1"/>
    <col min="26" max="26" width="3.42578125" style="1" customWidth="1"/>
    <col min="27" max="31" width="8.5703125" style="1" customWidth="1"/>
    <col min="32" max="16384" width="9.42578125" style="1"/>
  </cols>
  <sheetData>
    <row r="1" spans="1:41" ht="6" customHeight="1" thickBot="1" x14ac:dyDescent="0.3">
      <c r="B1" s="85"/>
      <c r="C1" s="86"/>
      <c r="D1" s="85"/>
      <c r="E1" s="85"/>
      <c r="F1" s="85"/>
      <c r="G1" s="505"/>
      <c r="H1" s="85"/>
      <c r="I1" s="85"/>
      <c r="J1" s="85"/>
      <c r="K1" s="85"/>
      <c r="L1" s="85"/>
      <c r="M1" s="85"/>
      <c r="N1" s="85"/>
      <c r="O1" s="85"/>
      <c r="P1" s="85"/>
      <c r="Q1" s="85"/>
      <c r="R1" s="85"/>
      <c r="S1" s="85"/>
      <c r="T1" s="85"/>
      <c r="U1" s="85"/>
      <c r="V1" s="85"/>
      <c r="W1" s="85"/>
      <c r="X1" s="85"/>
      <c r="Y1" s="85"/>
      <c r="Z1" s="85"/>
      <c r="AA1" s="85"/>
      <c r="AB1" s="85"/>
      <c r="AC1" s="85"/>
      <c r="AD1" s="85"/>
      <c r="AE1" s="85"/>
    </row>
    <row r="2" spans="1:41" ht="16.5" thickTop="1" x14ac:dyDescent="0.25">
      <c r="B2" s="110" t="str">
        <f>MainOutline!B2</f>
        <v>WB Santa Cruz</v>
      </c>
      <c r="C2" s="111"/>
      <c r="D2" s="111"/>
      <c r="E2" s="111"/>
      <c r="F2" s="111"/>
      <c r="G2" s="506"/>
      <c r="H2" s="111"/>
      <c r="I2" s="508" t="str">
        <f>'A1'!$C$90</f>
        <v>Acquisition of an existing facility</v>
      </c>
      <c r="J2" s="111"/>
      <c r="K2" s="111"/>
      <c r="L2" s="111"/>
      <c r="M2" s="111"/>
      <c r="N2" s="111"/>
      <c r="O2" s="111"/>
      <c r="P2" s="111"/>
      <c r="Q2" s="111"/>
      <c r="R2" s="111"/>
      <c r="S2" s="111"/>
      <c r="T2" s="1409"/>
      <c r="U2" s="111"/>
      <c r="V2" s="111"/>
      <c r="W2" s="111"/>
      <c r="X2" s="111"/>
      <c r="Y2" s="111"/>
      <c r="Z2" s="111"/>
      <c r="AA2" s="111"/>
      <c r="AB2" s="111"/>
      <c r="AC2" s="111"/>
      <c r="AD2" s="111"/>
      <c r="AE2" s="1409">
        <f>$A3</f>
        <v>39</v>
      </c>
    </row>
    <row r="3" spans="1:41" ht="15.75" x14ac:dyDescent="0.25">
      <c r="A3" s="123">
        <f>MainOutline!B54</f>
        <v>39</v>
      </c>
      <c r="B3" s="102" t="str">
        <f>MainOutline!C54</f>
        <v>Appendix C9</v>
      </c>
      <c r="C3" s="89"/>
      <c r="D3" s="89"/>
      <c r="E3" s="89"/>
      <c r="F3" s="89"/>
      <c r="G3" s="509"/>
      <c r="H3" s="89"/>
      <c r="I3" s="89"/>
      <c r="J3" s="89"/>
      <c r="K3" s="89"/>
      <c r="L3" s="89"/>
      <c r="M3" s="89"/>
      <c r="N3" s="89"/>
      <c r="O3" s="89"/>
      <c r="P3" s="89"/>
      <c r="Q3" s="89"/>
      <c r="R3" s="89"/>
      <c r="S3" s="89"/>
      <c r="T3" s="89"/>
      <c r="U3" s="89"/>
      <c r="V3" s="89"/>
      <c r="W3" s="89"/>
      <c r="X3" s="89"/>
      <c r="Y3" s="89"/>
      <c r="Z3" s="89"/>
      <c r="AA3" s="89"/>
      <c r="AB3" s="89"/>
      <c r="AC3" s="89"/>
      <c r="AD3" s="89"/>
      <c r="AE3" s="89"/>
      <c r="AI3" s="1" t="s">
        <v>114</v>
      </c>
      <c r="AK3" s="1">
        <f>'A1'!AG9</f>
        <v>0</v>
      </c>
      <c r="AL3" s="1">
        <f>'A1'!AH9</f>
        <v>0</v>
      </c>
    </row>
    <row r="4" spans="1:41" ht="16.5" thickBot="1" x14ac:dyDescent="0.3">
      <c r="B4" s="104" t="s">
        <v>290</v>
      </c>
      <c r="C4" s="97"/>
      <c r="D4" s="97"/>
      <c r="E4" s="97"/>
      <c r="F4" s="97"/>
      <c r="G4" s="510"/>
      <c r="H4" s="97"/>
      <c r="I4" s="97"/>
      <c r="J4" s="97"/>
      <c r="K4" s="97"/>
      <c r="L4" s="97"/>
      <c r="M4" s="97"/>
      <c r="N4" s="97"/>
      <c r="O4" s="97"/>
      <c r="P4" s="97"/>
      <c r="Q4" s="97"/>
      <c r="R4" s="97"/>
      <c r="S4" s="97"/>
      <c r="T4" s="388"/>
      <c r="U4" s="97"/>
      <c r="V4" s="97"/>
      <c r="W4" s="97"/>
      <c r="X4" s="97"/>
      <c r="Y4" s="97"/>
      <c r="Z4" s="97"/>
      <c r="AA4" s="97"/>
      <c r="AB4" s="97"/>
      <c r="AC4" s="97"/>
      <c r="AD4" s="97"/>
      <c r="AE4" s="388" t="str">
        <f>'A1'!$AA$4</f>
        <v>Inputs in $; Results in $000</v>
      </c>
      <c r="AI4" s="1" t="s">
        <v>110</v>
      </c>
      <c r="AK4" s="1">
        <f>'A1'!AG43</f>
        <v>0</v>
      </c>
      <c r="AL4" s="1">
        <f>'A1'!AH43</f>
        <v>0</v>
      </c>
    </row>
    <row r="5" spans="1:41" ht="15.75" thickTop="1" x14ac:dyDescent="0.25">
      <c r="AI5" s="1" t="s">
        <v>98</v>
      </c>
    </row>
    <row r="6" spans="1:41" ht="17.25" x14ac:dyDescent="0.4">
      <c r="I6" s="681" t="s">
        <v>471</v>
      </c>
      <c r="J6" s="715"/>
      <c r="K6" s="715"/>
      <c r="L6" s="715"/>
      <c r="M6" s="715"/>
      <c r="N6" s="715"/>
      <c r="O6" s="715"/>
      <c r="P6" s="715"/>
      <c r="Q6" s="715"/>
      <c r="R6" s="715"/>
      <c r="S6" s="715"/>
      <c r="T6" s="716"/>
      <c r="V6" s="681" t="s">
        <v>472</v>
      </c>
      <c r="W6" s="715"/>
      <c r="X6" s="715"/>
      <c r="Y6" s="716"/>
      <c r="AA6" s="681" t="s">
        <v>133</v>
      </c>
      <c r="AB6" s="715"/>
      <c r="AC6" s="715"/>
      <c r="AD6" s="715"/>
      <c r="AE6" s="715"/>
    </row>
    <row r="7" spans="1:41" s="511" customFormat="1" ht="15.75" thickBot="1" x14ac:dyDescent="0.3">
      <c r="I7" s="717">
        <v>1</v>
      </c>
      <c r="J7" s="717">
        <f>I7+1</f>
        <v>2</v>
      </c>
      <c r="K7" s="717">
        <f t="shared" ref="K7:T7" si="0">J7+1</f>
        <v>3</v>
      </c>
      <c r="L7" s="717">
        <f t="shared" si="0"/>
        <v>4</v>
      </c>
      <c r="M7" s="717">
        <f t="shared" si="0"/>
        <v>5</v>
      </c>
      <c r="N7" s="717">
        <f t="shared" si="0"/>
        <v>6</v>
      </c>
      <c r="O7" s="717">
        <f t="shared" si="0"/>
        <v>7</v>
      </c>
      <c r="P7" s="717">
        <f t="shared" si="0"/>
        <v>8</v>
      </c>
      <c r="Q7" s="717">
        <f t="shared" si="0"/>
        <v>9</v>
      </c>
      <c r="R7" s="717">
        <f t="shared" si="0"/>
        <v>10</v>
      </c>
      <c r="S7" s="717">
        <f t="shared" si="0"/>
        <v>11</v>
      </c>
      <c r="T7" s="718">
        <f t="shared" si="0"/>
        <v>12</v>
      </c>
      <c r="U7" s="1"/>
      <c r="V7" s="719" t="s">
        <v>24</v>
      </c>
      <c r="W7" s="719" t="s">
        <v>25</v>
      </c>
      <c r="X7" s="719" t="s">
        <v>26</v>
      </c>
      <c r="Y7" s="720" t="s">
        <v>27</v>
      </c>
      <c r="Z7" s="1"/>
      <c r="AA7" s="684">
        <v>1</v>
      </c>
      <c r="AB7" s="684">
        <v>2</v>
      </c>
      <c r="AC7" s="684">
        <v>3</v>
      </c>
      <c r="AD7" s="684">
        <v>4</v>
      </c>
      <c r="AE7" s="685">
        <v>5</v>
      </c>
      <c r="AG7" s="82"/>
    </row>
    <row r="8" spans="1:41" x14ac:dyDescent="0.25">
      <c r="T8" s="188"/>
      <c r="Y8" s="188"/>
      <c r="AE8" s="188"/>
      <c r="AG8" s="82"/>
      <c r="AH8" s="1" t="s">
        <v>130</v>
      </c>
      <c r="AO8" s="1" t="s">
        <v>131</v>
      </c>
    </row>
    <row r="9" spans="1:41" x14ac:dyDescent="0.25">
      <c r="B9" s="81" t="s">
        <v>156</v>
      </c>
      <c r="G9" s="286">
        <f>'A1'!O13*'A1'!O14/1000</f>
        <v>6.3467999999999991</v>
      </c>
      <c r="H9" s="76"/>
      <c r="I9" s="13">
        <f>G9</f>
        <v>6.3467999999999991</v>
      </c>
      <c r="J9" s="13">
        <f>I9</f>
        <v>6.3467999999999991</v>
      </c>
      <c r="K9" s="13">
        <f t="shared" ref="K9:T10" si="1">J9</f>
        <v>6.3467999999999991</v>
      </c>
      <c r="L9" s="13">
        <f t="shared" si="1"/>
        <v>6.3467999999999991</v>
      </c>
      <c r="M9" s="13">
        <f t="shared" si="1"/>
        <v>6.3467999999999991</v>
      </c>
      <c r="N9" s="13">
        <f t="shared" si="1"/>
        <v>6.3467999999999991</v>
      </c>
      <c r="O9" s="13">
        <f t="shared" si="1"/>
        <v>6.3467999999999991</v>
      </c>
      <c r="P9" s="13">
        <f t="shared" si="1"/>
        <v>6.3467999999999991</v>
      </c>
      <c r="Q9" s="13">
        <f t="shared" si="1"/>
        <v>6.3467999999999991</v>
      </c>
      <c r="R9" s="13">
        <f t="shared" si="1"/>
        <v>6.3467999999999991</v>
      </c>
      <c r="S9" s="13">
        <f t="shared" si="1"/>
        <v>6.3467999999999991</v>
      </c>
      <c r="T9" s="14">
        <f t="shared" si="1"/>
        <v>6.3467999999999991</v>
      </c>
      <c r="U9" s="13"/>
      <c r="V9" s="13">
        <f t="shared" ref="V9:Y13" si="2">$AI9*3</f>
        <v>19.516409999999993</v>
      </c>
      <c r="W9" s="13">
        <f t="shared" si="2"/>
        <v>19.516409999999993</v>
      </c>
      <c r="X9" s="13">
        <f t="shared" si="2"/>
        <v>19.516409999999993</v>
      </c>
      <c r="Y9" s="14">
        <f t="shared" si="2"/>
        <v>19.516409999999993</v>
      </c>
      <c r="Z9" s="13"/>
      <c r="AA9" s="13">
        <f>SUM(I9:T9)</f>
        <v>76.161600000000007</v>
      </c>
      <c r="AB9" s="13">
        <f>SUM(V9:Y9)</f>
        <v>78.065639999999973</v>
      </c>
      <c r="AC9" s="13">
        <f t="shared" ref="AC9:AE13" si="3">AJ9*12</f>
        <v>80.017280999999969</v>
      </c>
      <c r="AD9" s="13">
        <f t="shared" si="3"/>
        <v>82.017713024999949</v>
      </c>
      <c r="AE9" s="14">
        <f t="shared" si="3"/>
        <v>84.068155850624947</v>
      </c>
      <c r="AG9" s="76">
        <f>'A1'!O20</f>
        <v>2.5000000000000001E-2</v>
      </c>
      <c r="AI9" s="729">
        <f>G9*(1+AG9)</f>
        <v>6.5054699999999981</v>
      </c>
      <c r="AJ9" s="729">
        <f t="shared" ref="AJ9:AL11" si="4">AI9*(1+$AG9)</f>
        <v>6.6681067499999971</v>
      </c>
      <c r="AK9" s="729">
        <f t="shared" si="4"/>
        <v>6.8348094187499964</v>
      </c>
      <c r="AL9" s="729">
        <f t="shared" si="4"/>
        <v>7.0056796542187456</v>
      </c>
    </row>
    <row r="10" spans="1:41" x14ac:dyDescent="0.25">
      <c r="B10" s="81" t="s">
        <v>157</v>
      </c>
      <c r="G10" s="286">
        <f>'A1'!AS17/1000</f>
        <v>1.9802258333333331</v>
      </c>
      <c r="H10" s="76"/>
      <c r="I10" s="13">
        <f>G10</f>
        <v>1.9802258333333331</v>
      </c>
      <c r="J10" s="13">
        <f>I10</f>
        <v>1.9802258333333331</v>
      </c>
      <c r="K10" s="13">
        <f t="shared" si="1"/>
        <v>1.9802258333333331</v>
      </c>
      <c r="L10" s="13">
        <f t="shared" si="1"/>
        <v>1.9802258333333331</v>
      </c>
      <c r="M10" s="13">
        <f t="shared" si="1"/>
        <v>1.9802258333333331</v>
      </c>
      <c r="N10" s="13">
        <f t="shared" si="1"/>
        <v>1.9802258333333331</v>
      </c>
      <c r="O10" s="13">
        <f t="shared" si="1"/>
        <v>1.9802258333333331</v>
      </c>
      <c r="P10" s="13">
        <f t="shared" si="1"/>
        <v>1.9802258333333331</v>
      </c>
      <c r="Q10" s="13">
        <f t="shared" si="1"/>
        <v>1.9802258333333331</v>
      </c>
      <c r="R10" s="13">
        <f t="shared" si="1"/>
        <v>1.9802258333333331</v>
      </c>
      <c r="S10" s="13">
        <f t="shared" si="1"/>
        <v>1.9802258333333331</v>
      </c>
      <c r="T10" s="14">
        <f t="shared" si="1"/>
        <v>1.9802258333333331</v>
      </c>
      <c r="U10" s="13"/>
      <c r="V10" s="13">
        <f t="shared" si="2"/>
        <v>6.0891944374999989</v>
      </c>
      <c r="W10" s="13">
        <f t="shared" si="2"/>
        <v>6.0891944374999989</v>
      </c>
      <c r="X10" s="13">
        <f t="shared" si="2"/>
        <v>6.0891944374999989</v>
      </c>
      <c r="Y10" s="14">
        <f t="shared" si="2"/>
        <v>6.0891944374999989</v>
      </c>
      <c r="Z10" s="13"/>
      <c r="AA10" s="13">
        <f>SUM(I10:T10)</f>
        <v>23.762709999999995</v>
      </c>
      <c r="AB10" s="13">
        <f>SUM(V10:Y10)</f>
        <v>24.356777749999996</v>
      </c>
      <c r="AC10" s="13">
        <f t="shared" si="3"/>
        <v>24.965697193749993</v>
      </c>
      <c r="AD10" s="13">
        <f t="shared" si="3"/>
        <v>25.58983962359374</v>
      </c>
      <c r="AE10" s="14">
        <f t="shared" si="3"/>
        <v>26.229585614183584</v>
      </c>
      <c r="AG10" s="76">
        <f>AG9</f>
        <v>2.5000000000000001E-2</v>
      </c>
      <c r="AI10" s="729">
        <f>G10*(1+AG10)</f>
        <v>2.0297314791666663</v>
      </c>
      <c r="AJ10" s="729">
        <f t="shared" si="4"/>
        <v>2.0804747661458327</v>
      </c>
      <c r="AK10" s="729">
        <f t="shared" si="4"/>
        <v>2.1324866352994785</v>
      </c>
      <c r="AL10" s="729">
        <f t="shared" si="4"/>
        <v>2.1857988011819653</v>
      </c>
    </row>
    <row r="11" spans="1:41" ht="17.25" x14ac:dyDescent="0.4">
      <c r="B11" s="81" t="str">
        <f>'A1'!M17</f>
        <v>Office Expense</v>
      </c>
      <c r="G11" s="286">
        <f>'A1'!AS18/1000</f>
        <v>0.78093083333333335</v>
      </c>
      <c r="H11" s="76"/>
      <c r="I11" s="13">
        <f>G11</f>
        <v>0.78093083333333335</v>
      </c>
      <c r="J11" s="13">
        <f>I11</f>
        <v>0.78093083333333335</v>
      </c>
      <c r="K11" s="13">
        <f t="shared" ref="K11:T11" si="5">J11</f>
        <v>0.78093083333333335</v>
      </c>
      <c r="L11" s="13">
        <f t="shared" si="5"/>
        <v>0.78093083333333335</v>
      </c>
      <c r="M11" s="13">
        <f t="shared" si="5"/>
        <v>0.78093083333333335</v>
      </c>
      <c r="N11" s="13">
        <f t="shared" si="5"/>
        <v>0.78093083333333335</v>
      </c>
      <c r="O11" s="13">
        <f t="shared" si="5"/>
        <v>0.78093083333333335</v>
      </c>
      <c r="P11" s="13">
        <f t="shared" si="5"/>
        <v>0.78093083333333335</v>
      </c>
      <c r="Q11" s="13">
        <f t="shared" si="5"/>
        <v>0.78093083333333335</v>
      </c>
      <c r="R11" s="13">
        <f t="shared" si="5"/>
        <v>0.78093083333333335</v>
      </c>
      <c r="S11" s="13">
        <f t="shared" si="5"/>
        <v>0.78093083333333335</v>
      </c>
      <c r="T11" s="14">
        <f t="shared" si="5"/>
        <v>0.78093083333333335</v>
      </c>
      <c r="U11" s="558"/>
      <c r="V11" s="13">
        <f t="shared" si="2"/>
        <v>2.4013623124999999</v>
      </c>
      <c r="W11" s="13">
        <f t="shared" si="2"/>
        <v>2.4013623124999999</v>
      </c>
      <c r="X11" s="13">
        <f t="shared" si="2"/>
        <v>2.4013623124999999</v>
      </c>
      <c r="Y11" s="14">
        <f t="shared" si="2"/>
        <v>2.4013623124999999</v>
      </c>
      <c r="Z11" s="558"/>
      <c r="AA11" s="13">
        <f>SUM(I11:T11)</f>
        <v>9.3711700000000011</v>
      </c>
      <c r="AB11" s="13">
        <f>SUM(V11:Y11)</f>
        <v>9.6054492499999995</v>
      </c>
      <c r="AC11" s="13">
        <f t="shared" si="3"/>
        <v>9.8455854812499997</v>
      </c>
      <c r="AD11" s="13">
        <f t="shared" si="3"/>
        <v>10.091725118281248</v>
      </c>
      <c r="AE11" s="14">
        <f t="shared" si="3"/>
        <v>10.344018246238278</v>
      </c>
      <c r="AG11" s="76">
        <f>AG10</f>
        <v>2.5000000000000001E-2</v>
      </c>
      <c r="AI11" s="729">
        <f>G11*(1+AG11)</f>
        <v>0.80045410416666662</v>
      </c>
      <c r="AJ11" s="729">
        <f t="shared" si="4"/>
        <v>0.82046545677083327</v>
      </c>
      <c r="AK11" s="729">
        <f t="shared" si="4"/>
        <v>0.84097709319010405</v>
      </c>
      <c r="AL11" s="729">
        <f t="shared" si="4"/>
        <v>0.86200152051985657</v>
      </c>
    </row>
    <row r="12" spans="1:41" ht="17.25" x14ac:dyDescent="0.4">
      <c r="B12" s="81" t="str">
        <f>'A1'!M18</f>
        <v>Outside Service</v>
      </c>
      <c r="C12" s="81"/>
      <c r="G12" s="286">
        <f>'A1'!AS19/1000</f>
        <v>2.1844641666666664</v>
      </c>
      <c r="H12" s="76"/>
      <c r="I12" s="13">
        <f>G12</f>
        <v>2.1844641666666664</v>
      </c>
      <c r="J12" s="13">
        <f>I12</f>
        <v>2.1844641666666664</v>
      </c>
      <c r="K12" s="13">
        <f t="shared" ref="K12:T12" si="6">J12</f>
        <v>2.1844641666666664</v>
      </c>
      <c r="L12" s="13">
        <f t="shared" si="6"/>
        <v>2.1844641666666664</v>
      </c>
      <c r="M12" s="13">
        <f t="shared" si="6"/>
        <v>2.1844641666666664</v>
      </c>
      <c r="N12" s="13">
        <f t="shared" si="6"/>
        <v>2.1844641666666664</v>
      </c>
      <c r="O12" s="13">
        <f t="shared" si="6"/>
        <v>2.1844641666666664</v>
      </c>
      <c r="P12" s="13">
        <f t="shared" si="6"/>
        <v>2.1844641666666664</v>
      </c>
      <c r="Q12" s="13">
        <f t="shared" si="6"/>
        <v>2.1844641666666664</v>
      </c>
      <c r="R12" s="13">
        <f t="shared" si="6"/>
        <v>2.1844641666666664</v>
      </c>
      <c r="S12" s="13">
        <f t="shared" si="6"/>
        <v>2.1844641666666664</v>
      </c>
      <c r="T12" s="14">
        <f t="shared" si="6"/>
        <v>2.1844641666666664</v>
      </c>
      <c r="U12" s="13"/>
      <c r="V12" s="13">
        <f t="shared" si="2"/>
        <v>6.7172273124999986</v>
      </c>
      <c r="W12" s="13">
        <f t="shared" si="2"/>
        <v>6.7172273124999986</v>
      </c>
      <c r="X12" s="13">
        <f t="shared" si="2"/>
        <v>6.7172273124999986</v>
      </c>
      <c r="Y12" s="14">
        <f t="shared" si="2"/>
        <v>6.7172273124999986</v>
      </c>
      <c r="Z12" s="558"/>
      <c r="AA12" s="13">
        <f>SUM(I12:T12)</f>
        <v>26.21356999999999</v>
      </c>
      <c r="AB12" s="13">
        <f>SUM(V12:Y12)</f>
        <v>26.868909249999994</v>
      </c>
      <c r="AC12" s="13">
        <f t="shared" si="3"/>
        <v>27.540631981249994</v>
      </c>
      <c r="AD12" s="13">
        <f t="shared" si="3"/>
        <v>28.22914778078124</v>
      </c>
      <c r="AE12" s="14">
        <f t="shared" si="3"/>
        <v>28.934876475300769</v>
      </c>
      <c r="AG12" s="76">
        <f>AG11</f>
        <v>2.5000000000000001E-2</v>
      </c>
      <c r="AI12" s="729">
        <f>G12*(1+AG12)</f>
        <v>2.2390757708333329</v>
      </c>
      <c r="AJ12" s="729">
        <f t="shared" ref="AJ12:AL13" si="7">AI12*(1+$AG12)</f>
        <v>2.2950526651041661</v>
      </c>
      <c r="AK12" s="729">
        <f t="shared" si="7"/>
        <v>2.3524289817317698</v>
      </c>
      <c r="AL12" s="729">
        <f t="shared" si="7"/>
        <v>2.4112397062750639</v>
      </c>
    </row>
    <row r="13" spans="1:41" ht="17.25" x14ac:dyDescent="0.4">
      <c r="B13" s="81" t="str">
        <f>'A1'!M19</f>
        <v>Other G&amp;A</v>
      </c>
      <c r="C13" s="81"/>
      <c r="G13" s="286">
        <f>'A1'!AS20/1000</f>
        <v>6.9298666666666655</v>
      </c>
      <c r="H13" s="76"/>
      <c r="I13" s="13">
        <f>G13</f>
        <v>6.9298666666666655</v>
      </c>
      <c r="J13" s="13">
        <f>I13</f>
        <v>6.9298666666666655</v>
      </c>
      <c r="K13" s="13">
        <f t="shared" ref="K13:T13" si="8">J13</f>
        <v>6.9298666666666655</v>
      </c>
      <c r="L13" s="13">
        <f t="shared" si="8"/>
        <v>6.9298666666666655</v>
      </c>
      <c r="M13" s="13">
        <f t="shared" si="8"/>
        <v>6.9298666666666655</v>
      </c>
      <c r="N13" s="13">
        <f t="shared" si="8"/>
        <v>6.9298666666666655</v>
      </c>
      <c r="O13" s="13">
        <f t="shared" si="8"/>
        <v>6.9298666666666655</v>
      </c>
      <c r="P13" s="13">
        <f t="shared" si="8"/>
        <v>6.9298666666666655</v>
      </c>
      <c r="Q13" s="13">
        <f t="shared" si="8"/>
        <v>6.9298666666666655</v>
      </c>
      <c r="R13" s="13">
        <f t="shared" si="8"/>
        <v>6.9298666666666655</v>
      </c>
      <c r="S13" s="13">
        <f t="shared" si="8"/>
        <v>6.9298666666666655</v>
      </c>
      <c r="T13" s="14">
        <f t="shared" si="8"/>
        <v>6.9298666666666655</v>
      </c>
      <c r="U13" s="13"/>
      <c r="V13" s="13">
        <f t="shared" si="2"/>
        <v>21.309339999999992</v>
      </c>
      <c r="W13" s="13">
        <f t="shared" si="2"/>
        <v>21.309339999999992</v>
      </c>
      <c r="X13" s="13">
        <f t="shared" si="2"/>
        <v>21.309339999999992</v>
      </c>
      <c r="Y13" s="14">
        <f t="shared" si="2"/>
        <v>21.309339999999992</v>
      </c>
      <c r="Z13" s="558"/>
      <c r="AA13" s="13">
        <f>SUM(I13:T13)</f>
        <v>83.158400000000015</v>
      </c>
      <c r="AB13" s="13">
        <f>SUM(V13:Y13)</f>
        <v>85.237359999999967</v>
      </c>
      <c r="AC13" s="13">
        <f t="shared" si="3"/>
        <v>87.368293999999963</v>
      </c>
      <c r="AD13" s="13">
        <f t="shared" si="3"/>
        <v>89.552501349999957</v>
      </c>
      <c r="AE13" s="14">
        <f t="shared" si="3"/>
        <v>91.791313883749936</v>
      </c>
      <c r="AG13" s="76">
        <f>AG12</f>
        <v>2.5000000000000001E-2</v>
      </c>
      <c r="AI13" s="729">
        <f>G13*(1+AG13)</f>
        <v>7.1031133333333312</v>
      </c>
      <c r="AJ13" s="729">
        <f t="shared" si="7"/>
        <v>7.2806911666666636</v>
      </c>
      <c r="AK13" s="729">
        <f t="shared" si="7"/>
        <v>7.4627084458333295</v>
      </c>
      <c r="AL13" s="729">
        <f t="shared" si="7"/>
        <v>7.6492761569791616</v>
      </c>
    </row>
    <row r="14" spans="1:41" ht="18" thickBot="1" x14ac:dyDescent="0.45">
      <c r="B14" s="687" t="s">
        <v>13</v>
      </c>
      <c r="C14" s="733"/>
      <c r="D14" s="733"/>
      <c r="E14" s="733"/>
      <c r="F14" s="687"/>
      <c r="G14" s="734"/>
      <c r="H14" s="687"/>
      <c r="I14" s="689">
        <f t="shared" ref="I14:T14" si="9">SUM(I9:I13)</f>
        <v>18.222287499999997</v>
      </c>
      <c r="J14" s="689">
        <f t="shared" si="9"/>
        <v>18.222287499999997</v>
      </c>
      <c r="K14" s="689">
        <f t="shared" si="9"/>
        <v>18.222287499999997</v>
      </c>
      <c r="L14" s="689">
        <f t="shared" si="9"/>
        <v>18.222287499999997</v>
      </c>
      <c r="M14" s="689">
        <f t="shared" si="9"/>
        <v>18.222287499999997</v>
      </c>
      <c r="N14" s="689">
        <f t="shared" si="9"/>
        <v>18.222287499999997</v>
      </c>
      <c r="O14" s="689">
        <f t="shared" si="9"/>
        <v>18.222287499999997</v>
      </c>
      <c r="P14" s="689">
        <f t="shared" si="9"/>
        <v>18.222287499999997</v>
      </c>
      <c r="Q14" s="689">
        <f t="shared" si="9"/>
        <v>18.222287499999997</v>
      </c>
      <c r="R14" s="689">
        <f t="shared" si="9"/>
        <v>18.222287499999997</v>
      </c>
      <c r="S14" s="689">
        <f t="shared" si="9"/>
        <v>18.222287499999997</v>
      </c>
      <c r="T14" s="735">
        <f t="shared" si="9"/>
        <v>18.222287499999997</v>
      </c>
      <c r="U14" s="689"/>
      <c r="V14" s="689">
        <f>SUM(V9:V13)</f>
        <v>56.033534062499982</v>
      </c>
      <c r="W14" s="689">
        <f>SUM(W9:W13)</f>
        <v>56.033534062499982</v>
      </c>
      <c r="X14" s="689">
        <f>SUM(X9:X13)</f>
        <v>56.033534062499982</v>
      </c>
      <c r="Y14" s="735">
        <f>SUM(Y9:Y13)</f>
        <v>56.033534062499982</v>
      </c>
      <c r="Z14" s="791"/>
      <c r="AA14" s="689">
        <f>SUM(AA9:AA13)</f>
        <v>218.66745000000003</v>
      </c>
      <c r="AB14" s="689">
        <f>SUM(AB9:AB13)</f>
        <v>224.13413624999993</v>
      </c>
      <c r="AC14" s="689">
        <f>SUM(AC9:AC13)</f>
        <v>229.73748965624992</v>
      </c>
      <c r="AD14" s="689">
        <f>SUM(AD9:AD13)</f>
        <v>235.48092689765616</v>
      </c>
      <c r="AE14" s="735">
        <f>SUM(AE9:AE13)</f>
        <v>241.36795007009749</v>
      </c>
    </row>
    <row r="15" spans="1:41" ht="18" thickTop="1" x14ac:dyDescent="0.4">
      <c r="U15" s="13"/>
      <c r="Z15" s="558"/>
    </row>
    <row r="16" spans="1:41" ht="17.25" x14ac:dyDescent="0.4">
      <c r="Z16" s="558"/>
    </row>
  </sheetData>
  <printOptions horizontalCentered="1"/>
  <pageMargins left="0.5" right="0.5" top="0.75" bottom="0.75" header="0.3" footer="0.3"/>
  <pageSetup scale="61" orientation="landscape" r:id="rId1"/>
  <ignoredErrors>
    <ignoredError sqref="B3:AN8 A14:AE14 A3 B11:F13 B9:F9 H9:AN9 B10:F10 H10:AN10 H11:AN13 B2:AJ2 AM2:AN2" unlockedFormula="1"/>
  </ignoredError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>
    <tabColor theme="9" tint="-0.249977111117893"/>
    <pageSetUpPr fitToPage="1"/>
  </sheetPr>
  <dimension ref="A1:Y127"/>
  <sheetViews>
    <sheetView showGridLines="0" view="pageBreakPreview" topLeftCell="J18" zoomScaleNormal="132" zoomScaleSheetLayoutView="100" workbookViewId="0">
      <selection activeCell="O26" sqref="O26"/>
    </sheetView>
  </sheetViews>
  <sheetFormatPr defaultColWidth="8.5703125" defaultRowHeight="15" x14ac:dyDescent="0.25"/>
  <cols>
    <col min="1" max="1" width="2.42578125" style="1" customWidth="1"/>
    <col min="2" max="2" width="3" style="1" customWidth="1"/>
    <col min="3" max="3" width="16.5703125" style="1" customWidth="1"/>
    <col min="4" max="8" width="12.42578125" style="1" customWidth="1"/>
    <col min="9" max="9" width="12.42578125" style="83" customWidth="1"/>
    <col min="10" max="13" width="12.42578125" style="1" customWidth="1"/>
    <col min="14" max="14" width="13.42578125" style="1" customWidth="1"/>
    <col min="15" max="15" width="10" style="1" customWidth="1"/>
    <col min="16" max="16" width="10.42578125" style="1" customWidth="1"/>
    <col min="17" max="16384" width="8.5703125" style="1"/>
  </cols>
  <sheetData>
    <row r="1" spans="1:18" ht="6" customHeight="1" thickBot="1" x14ac:dyDescent="0.3">
      <c r="B1" s="85"/>
      <c r="C1" s="86"/>
      <c r="D1" s="85"/>
      <c r="E1" s="85"/>
      <c r="F1" s="85"/>
      <c r="G1" s="85"/>
      <c r="H1" s="85"/>
      <c r="I1" s="383"/>
      <c r="J1" s="85"/>
      <c r="K1" s="85"/>
      <c r="L1" s="85"/>
      <c r="M1" s="85"/>
      <c r="N1" s="85"/>
      <c r="O1" s="85"/>
      <c r="P1" s="528"/>
    </row>
    <row r="2" spans="1:18" ht="16.5" thickTop="1" x14ac:dyDescent="0.25">
      <c r="B2" s="110" t="str">
        <f>MainOutline!B2</f>
        <v>WB Santa Cruz</v>
      </c>
      <c r="C2" s="111"/>
      <c r="D2" s="111"/>
      <c r="E2" s="111"/>
      <c r="F2" s="111"/>
      <c r="G2" s="111"/>
      <c r="H2" s="508" t="str">
        <f>'A1'!$C$90</f>
        <v>Acquisition of an existing facility</v>
      </c>
      <c r="I2" s="385"/>
      <c r="J2" s="111"/>
      <c r="K2" s="111"/>
      <c r="L2" s="111"/>
      <c r="M2" s="111"/>
      <c r="N2" s="111"/>
      <c r="O2" s="1409">
        <f>$A3</f>
        <v>40</v>
      </c>
      <c r="P2" s="528"/>
    </row>
    <row r="3" spans="1:18" ht="15.75" x14ac:dyDescent="0.25">
      <c r="A3" s="123">
        <f>MainOutline!B55</f>
        <v>40</v>
      </c>
      <c r="B3" s="102" t="str">
        <f>MainOutline!C55</f>
        <v>Appendix C10</v>
      </c>
      <c r="C3" s="89"/>
      <c r="D3" s="89"/>
      <c r="E3" s="89"/>
      <c r="F3" s="89"/>
      <c r="G3" s="89"/>
      <c r="H3" s="89"/>
      <c r="I3" s="386"/>
      <c r="J3" s="89"/>
      <c r="K3" s="89"/>
      <c r="L3" s="89"/>
      <c r="M3" s="89"/>
      <c r="N3" s="89"/>
      <c r="O3" s="89"/>
      <c r="P3" s="528"/>
    </row>
    <row r="4" spans="1:18" ht="16.5" thickBot="1" x14ac:dyDescent="0.3">
      <c r="B4" s="104" t="s">
        <v>613</v>
      </c>
      <c r="C4" s="97"/>
      <c r="D4" s="97"/>
      <c r="E4" s="97"/>
      <c r="F4" s="97"/>
      <c r="G4" s="97"/>
      <c r="H4" s="97"/>
      <c r="I4" s="387"/>
      <c r="J4" s="97"/>
      <c r="K4" s="97"/>
      <c r="L4" s="97"/>
      <c r="M4" s="97"/>
      <c r="N4" s="97"/>
      <c r="O4" s="138" t="s">
        <v>19</v>
      </c>
      <c r="P4" s="528"/>
    </row>
    <row r="5" spans="1:18" ht="15.75" thickTop="1" x14ac:dyDescent="0.25">
      <c r="P5" s="528"/>
    </row>
    <row r="6" spans="1:18" x14ac:dyDescent="0.25">
      <c r="A6" s="511"/>
      <c r="B6" s="511"/>
      <c r="C6" s="752"/>
      <c r="D6" s="511"/>
      <c r="E6" s="511"/>
      <c r="H6" s="1">
        <v>1</v>
      </c>
      <c r="I6" s="1">
        <f>H6+1</f>
        <v>2</v>
      </c>
      <c r="J6" s="1">
        <f t="shared" ref="J6:N6" si="0">I6+1</f>
        <v>3</v>
      </c>
      <c r="K6" s="1">
        <f t="shared" si="0"/>
        <v>4</v>
      </c>
      <c r="L6" s="1">
        <f t="shared" si="0"/>
        <v>5</v>
      </c>
      <c r="M6" s="1">
        <f t="shared" si="0"/>
        <v>6</v>
      </c>
      <c r="N6" s="1">
        <f t="shared" si="0"/>
        <v>7</v>
      </c>
      <c r="O6" s="1">
        <f t="shared" ref="O6:R6" si="1">N6+1</f>
        <v>8</v>
      </c>
      <c r="P6" s="1">
        <f t="shared" si="1"/>
        <v>9</v>
      </c>
      <c r="Q6" s="1">
        <f t="shared" si="1"/>
        <v>10</v>
      </c>
      <c r="R6" s="1">
        <f t="shared" si="1"/>
        <v>11</v>
      </c>
    </row>
    <row r="7" spans="1:18" s="291" customFormat="1" ht="18" thickBot="1" x14ac:dyDescent="0.45">
      <c r="A7" s="511"/>
      <c r="D7" s="640" t="s">
        <v>1107</v>
      </c>
      <c r="E7" s="1557">
        <v>0</v>
      </c>
      <c r="G7" s="792" t="s">
        <v>196</v>
      </c>
      <c r="H7" s="792" t="s">
        <v>116</v>
      </c>
      <c r="I7" s="792" t="s">
        <v>90</v>
      </c>
      <c r="J7" s="792" t="s">
        <v>91</v>
      </c>
      <c r="K7" s="792" t="s">
        <v>92</v>
      </c>
      <c r="L7" s="792" t="s">
        <v>93</v>
      </c>
      <c r="M7" s="792" t="s">
        <v>1291</v>
      </c>
      <c r="N7" s="792" t="s">
        <v>1292</v>
      </c>
      <c r="O7" s="792" t="s">
        <v>1293</v>
      </c>
      <c r="P7" s="792" t="s">
        <v>1294</v>
      </c>
      <c r="Q7" s="792" t="s">
        <v>1295</v>
      </c>
      <c r="R7" s="792" t="s">
        <v>1296</v>
      </c>
    </row>
    <row r="8" spans="1:18" s="511" customFormat="1" x14ac:dyDescent="0.25">
      <c r="B8" s="550" t="s">
        <v>962</v>
      </c>
      <c r="C8" s="752"/>
      <c r="G8" s="793">
        <v>1</v>
      </c>
      <c r="H8" s="793">
        <f>G8+1</f>
        <v>2</v>
      </c>
      <c r="I8" s="793">
        <f t="shared" ref="I8:N8" si="2">H8+1</f>
        <v>3</v>
      </c>
      <c r="J8" s="793">
        <f t="shared" si="2"/>
        <v>4</v>
      </c>
      <c r="K8" s="793">
        <f t="shared" si="2"/>
        <v>5</v>
      </c>
      <c r="L8" s="793">
        <f t="shared" si="2"/>
        <v>6</v>
      </c>
      <c r="M8" s="793">
        <f t="shared" si="2"/>
        <v>7</v>
      </c>
      <c r="N8" s="793">
        <f t="shared" si="2"/>
        <v>8</v>
      </c>
      <c r="O8" s="793">
        <f t="shared" ref="O8:R8" si="3">N8+1</f>
        <v>9</v>
      </c>
      <c r="P8" s="793">
        <f t="shared" si="3"/>
        <v>10</v>
      </c>
      <c r="Q8" s="793">
        <f t="shared" si="3"/>
        <v>11</v>
      </c>
      <c r="R8" s="793">
        <f t="shared" si="3"/>
        <v>12</v>
      </c>
    </row>
    <row r="9" spans="1:18" x14ac:dyDescent="0.25">
      <c r="B9" s="528"/>
      <c r="C9" s="742"/>
      <c r="D9" s="742"/>
      <c r="E9" s="793"/>
      <c r="F9" s="794"/>
      <c r="G9" s="794"/>
      <c r="H9" s="794"/>
      <c r="I9" s="794"/>
      <c r="J9" s="530"/>
      <c r="K9" s="81"/>
      <c r="L9" s="794"/>
      <c r="M9" s="794"/>
      <c r="N9" s="794"/>
      <c r="O9" s="530"/>
      <c r="P9" s="530"/>
      <c r="Q9" s="530"/>
      <c r="R9" s="530"/>
    </row>
    <row r="10" spans="1:18" s="101" customFormat="1" ht="34.5" x14ac:dyDescent="0.4">
      <c r="C10" s="101" t="s">
        <v>194</v>
      </c>
      <c r="D10" s="101" t="s">
        <v>185</v>
      </c>
      <c r="E10" s="101" t="s">
        <v>286</v>
      </c>
      <c r="F10" s="101" t="s">
        <v>193</v>
      </c>
    </row>
    <row r="11" spans="1:18" s="101" customFormat="1" ht="17.25" x14ac:dyDescent="0.4">
      <c r="C11" s="1235" t="str">
        <f>'A1'!P28</f>
        <v>Tenant Impr.</v>
      </c>
      <c r="D11" s="798">
        <f>+'A1'!Q28/1000</f>
        <v>3.41804</v>
      </c>
      <c r="E11" s="797">
        <f>'A1'!Q34</f>
        <v>7</v>
      </c>
      <c r="F11" s="798">
        <f>D11/E11</f>
        <v>0.48829142857142854</v>
      </c>
      <c r="H11" s="798">
        <f>IF(H6&gt;$E11,0,$F11)</f>
        <v>0.48829142857142854</v>
      </c>
      <c r="I11" s="798">
        <f>IF(I6&gt;$E11,0,$F11)</f>
        <v>0.48829142857142854</v>
      </c>
      <c r="J11" s="798">
        <f>IF(J6&gt;$E11,0,$F11)</f>
        <v>0.48829142857142854</v>
      </c>
      <c r="K11" s="798">
        <f>IF(K6&gt;$E11,0,$F11)</f>
        <v>0.48829142857142854</v>
      </c>
      <c r="L11" s="798">
        <f>IF(L6&gt;$E11,0,$F11)</f>
        <v>0.48829142857142854</v>
      </c>
      <c r="M11" s="798">
        <f t="shared" ref="M11:N11" si="4">IF(M6&gt;$E11,0,$F11)</f>
        <v>0.48829142857142854</v>
      </c>
      <c r="N11" s="798">
        <f t="shared" ref="N11:O11" si="5">IF(N6&gt;$E11,0,$F11)</f>
        <v>0.48829142857142854</v>
      </c>
      <c r="O11" s="798">
        <f t="shared" si="5"/>
        <v>0</v>
      </c>
      <c r="P11" s="798">
        <f t="shared" ref="P11:R11" si="6">IF(P6&gt;$E11,0,$F11)</f>
        <v>0</v>
      </c>
      <c r="Q11" s="798">
        <f t="shared" si="6"/>
        <v>0</v>
      </c>
      <c r="R11" s="798">
        <f t="shared" si="6"/>
        <v>0</v>
      </c>
    </row>
    <row r="12" spans="1:18" s="101" customFormat="1" ht="17.25" x14ac:dyDescent="0.4">
      <c r="C12" s="78" t="s">
        <v>116</v>
      </c>
      <c r="D12" s="798">
        <f>'A1'!Q29/1000</f>
        <v>0</v>
      </c>
      <c r="E12" s="1673">
        <v>10</v>
      </c>
      <c r="F12" s="798">
        <f>D12/E12</f>
        <v>0</v>
      </c>
      <c r="H12" s="798">
        <f>IF($E$12&gt;=G$8,$F12,0)</f>
        <v>0</v>
      </c>
      <c r="I12" s="798">
        <f t="shared" ref="I12:L12" si="7">IF($E$12&gt;=H$8,$F12,0)</f>
        <v>0</v>
      </c>
      <c r="J12" s="798">
        <f t="shared" si="7"/>
        <v>0</v>
      </c>
      <c r="K12" s="798">
        <f t="shared" si="7"/>
        <v>0</v>
      </c>
      <c r="L12" s="798">
        <f t="shared" si="7"/>
        <v>0</v>
      </c>
      <c r="M12" s="798">
        <f t="shared" ref="M12:N12" si="8">IF($E$12&gt;=L$8,$F12,0)</f>
        <v>0</v>
      </c>
      <c r="N12" s="798">
        <f t="shared" ref="N12:O12" si="9">IF($E$12&gt;=M$8,$F12,0)</f>
        <v>0</v>
      </c>
      <c r="O12" s="798">
        <f t="shared" si="9"/>
        <v>0</v>
      </c>
      <c r="P12" s="798">
        <f t="shared" ref="P12:R12" si="10">IF($E$12&gt;=O$8,$F12,0)</f>
        <v>0</v>
      </c>
      <c r="Q12" s="798">
        <f t="shared" si="10"/>
        <v>0</v>
      </c>
      <c r="R12" s="798">
        <f t="shared" si="10"/>
        <v>0</v>
      </c>
    </row>
    <row r="13" spans="1:18" s="101" customFormat="1" ht="17.25" x14ac:dyDescent="0.4">
      <c r="C13" s="78" t="s">
        <v>90</v>
      </c>
      <c r="D13" s="798">
        <f>'A1'!Q30/1000</f>
        <v>600</v>
      </c>
      <c r="E13" s="1674">
        <f>E12</f>
        <v>10</v>
      </c>
      <c r="F13" s="798">
        <f>D13/E13</f>
        <v>60</v>
      </c>
      <c r="H13" s="798"/>
      <c r="I13" s="798">
        <f>IF($E$13&gt;=H$8,$F13,0)</f>
        <v>60</v>
      </c>
      <c r="J13" s="798">
        <f t="shared" ref="J13:O13" si="11">IF($E$13&gt;=I$8,$F13,0)</f>
        <v>60</v>
      </c>
      <c r="K13" s="798">
        <f t="shared" si="11"/>
        <v>60</v>
      </c>
      <c r="L13" s="798">
        <f t="shared" si="11"/>
        <v>60</v>
      </c>
      <c r="M13" s="798">
        <f t="shared" si="11"/>
        <v>60</v>
      </c>
      <c r="N13" s="798">
        <f t="shared" si="11"/>
        <v>60</v>
      </c>
      <c r="O13" s="798">
        <f t="shared" si="11"/>
        <v>60</v>
      </c>
      <c r="P13" s="798">
        <f t="shared" ref="P13:R13" si="12">IF($E$13&gt;=O$8,$F13,0)</f>
        <v>60</v>
      </c>
      <c r="Q13" s="798">
        <f t="shared" si="12"/>
        <v>60</v>
      </c>
      <c r="R13" s="798">
        <f t="shared" si="12"/>
        <v>0</v>
      </c>
    </row>
    <row r="14" spans="1:18" s="101" customFormat="1" ht="17.25" x14ac:dyDescent="0.4">
      <c r="C14" s="78" t="s">
        <v>91</v>
      </c>
      <c r="D14" s="798">
        <f>'A1'!Q31/1000</f>
        <v>0</v>
      </c>
      <c r="E14" s="1674">
        <f t="shared" ref="E14:E16" si="13">E13</f>
        <v>10</v>
      </c>
      <c r="F14" s="798">
        <f t="shared" ref="F14:F16" si="14">D14/E14</f>
        <v>0</v>
      </c>
      <c r="H14" s="798"/>
      <c r="I14" s="798"/>
      <c r="J14" s="798">
        <f>IF($E$14&gt;=I$8,$F14,0)</f>
        <v>0</v>
      </c>
      <c r="K14" s="798">
        <f t="shared" ref="K14:L15" si="15">IF($E$14&gt;=J$8,$F14,0)</f>
        <v>0</v>
      </c>
      <c r="L14" s="798">
        <f t="shared" si="15"/>
        <v>0</v>
      </c>
      <c r="M14" s="798">
        <f t="shared" ref="M14:N14" si="16">IF($E$14&gt;=L$8,$F14,0)</f>
        <v>0</v>
      </c>
      <c r="N14" s="798">
        <f t="shared" ref="N14:O14" si="17">IF($E$14&gt;=M$8,$F14,0)</f>
        <v>0</v>
      </c>
      <c r="O14" s="798">
        <f t="shared" si="17"/>
        <v>0</v>
      </c>
      <c r="P14" s="798">
        <f t="shared" ref="P14:R14" si="18">IF($E$14&gt;=O$8,$F14,0)</f>
        <v>0</v>
      </c>
      <c r="Q14" s="798">
        <f t="shared" si="18"/>
        <v>0</v>
      </c>
      <c r="R14" s="798">
        <f t="shared" si="18"/>
        <v>0</v>
      </c>
    </row>
    <row r="15" spans="1:18" s="101" customFormat="1" ht="17.25" x14ac:dyDescent="0.4">
      <c r="C15" s="78" t="s">
        <v>92</v>
      </c>
      <c r="D15" s="798">
        <f>'A1'!Q32/1000</f>
        <v>0</v>
      </c>
      <c r="E15" s="1674">
        <f t="shared" si="13"/>
        <v>10</v>
      </c>
      <c r="F15" s="798">
        <f t="shared" si="14"/>
        <v>0</v>
      </c>
      <c r="H15" s="798"/>
      <c r="I15" s="798"/>
      <c r="J15" s="798"/>
      <c r="K15" s="798">
        <f>IF($E$15&gt;=J$8,$F15,0)</f>
        <v>0</v>
      </c>
      <c r="L15" s="798">
        <f>IF($E$15&gt;=K$8,$F15,0)</f>
        <v>0</v>
      </c>
      <c r="M15" s="798">
        <f t="shared" ref="M15:N15" si="19">IF($E$15&gt;=L$8,$F15,0)</f>
        <v>0</v>
      </c>
      <c r="N15" s="798">
        <f t="shared" ref="N15:O15" si="20">IF($E$15&gt;=M$8,$F15,0)</f>
        <v>0</v>
      </c>
      <c r="O15" s="798">
        <f t="shared" si="20"/>
        <v>0</v>
      </c>
      <c r="P15" s="798">
        <f t="shared" ref="P15:R15" si="21">IF($E$15&gt;=O$8,$F15,0)</f>
        <v>0</v>
      </c>
      <c r="Q15" s="798">
        <f t="shared" si="21"/>
        <v>0</v>
      </c>
      <c r="R15" s="798">
        <f t="shared" si="21"/>
        <v>0</v>
      </c>
    </row>
    <row r="16" spans="1:18" s="101" customFormat="1" ht="17.25" x14ac:dyDescent="0.4">
      <c r="C16" s="78" t="s">
        <v>93</v>
      </c>
      <c r="D16" s="798">
        <f>'A1'!Q33/1000</f>
        <v>0</v>
      </c>
      <c r="E16" s="1674">
        <f t="shared" si="13"/>
        <v>10</v>
      </c>
      <c r="F16" s="798">
        <f t="shared" si="14"/>
        <v>0</v>
      </c>
      <c r="H16" s="798"/>
      <c r="I16" s="798"/>
      <c r="J16" s="798"/>
      <c r="K16" s="798"/>
      <c r="L16" s="798">
        <f>IF($E$16&gt;=K$8,$F16,0)</f>
        <v>0</v>
      </c>
      <c r="M16" s="798">
        <f t="shared" ref="M16:N16" si="22">IF($E$16&gt;=L$8,$F16,0)</f>
        <v>0</v>
      </c>
      <c r="N16" s="798">
        <f t="shared" ref="N16:O16" si="23">IF($E$16&gt;=M$8,$F16,0)</f>
        <v>0</v>
      </c>
      <c r="O16" s="798">
        <f t="shared" si="23"/>
        <v>0</v>
      </c>
      <c r="P16" s="798">
        <f t="shared" ref="P16:R16" si="24">IF($E$16&gt;=O$8,$F16,0)</f>
        <v>0</v>
      </c>
      <c r="Q16" s="798">
        <f t="shared" si="24"/>
        <v>0</v>
      </c>
      <c r="R16" s="798">
        <f t="shared" si="24"/>
        <v>0</v>
      </c>
    </row>
    <row r="17" spans="2:25" x14ac:dyDescent="0.25">
      <c r="B17" s="528"/>
      <c r="C17" s="1235" t="str">
        <f>'A1'!M28</f>
        <v>Equipment</v>
      </c>
      <c r="D17" s="798">
        <f>+'A1'!O28/1000</f>
        <v>20.456319999999998</v>
      </c>
      <c r="E17" s="797">
        <f>'A1'!O34</f>
        <v>2</v>
      </c>
      <c r="F17" s="798">
        <f t="shared" ref="F17:F22" si="25">D17/E17</f>
        <v>10.228159999999999</v>
      </c>
      <c r="G17" s="798"/>
      <c r="H17" s="798">
        <f>IF($E$17&gt;=G$8,$F17,0)</f>
        <v>10.228159999999999</v>
      </c>
      <c r="I17" s="798">
        <f>IF($E$17&gt;=H$8,$F17,0)</f>
        <v>10.228159999999999</v>
      </c>
      <c r="J17" s="798">
        <f>IF($E$17&gt;=I$8,$F17,0)</f>
        <v>0</v>
      </c>
      <c r="K17" s="798">
        <f>IF($E$17&gt;=J$8,$F17,0)</f>
        <v>0</v>
      </c>
      <c r="L17" s="798">
        <f>IF($E$17&gt;=K$8,$F17,0)</f>
        <v>0</v>
      </c>
      <c r="M17" s="798">
        <f t="shared" ref="M17:N17" si="26">IF($E$17&gt;=L$8,$F17,0)</f>
        <v>0</v>
      </c>
      <c r="N17" s="798">
        <f t="shared" ref="N17:O17" si="27">IF($E$17&gt;=M$8,$F17,0)</f>
        <v>0</v>
      </c>
      <c r="O17" s="798">
        <f t="shared" si="27"/>
        <v>0</v>
      </c>
      <c r="P17" s="798">
        <f t="shared" ref="P17:R17" si="28">IF($E$17&gt;=O$8,$F17,0)</f>
        <v>0</v>
      </c>
      <c r="Q17" s="798">
        <f t="shared" si="28"/>
        <v>0</v>
      </c>
      <c r="R17" s="798">
        <f t="shared" si="28"/>
        <v>0</v>
      </c>
      <c r="X17" s="1556">
        <f>('Historical Actuals'!N77*12/8)/1000</f>
        <v>200.00844000000004</v>
      </c>
      <c r="Y17" s="528"/>
    </row>
    <row r="18" spans="2:25" x14ac:dyDescent="0.25">
      <c r="B18" s="528"/>
      <c r="C18" s="1235" t="str">
        <f>'A1'!M29</f>
        <v>Year 1</v>
      </c>
      <c r="D18" s="798">
        <f>'A1'!O29/1000</f>
        <v>10</v>
      </c>
      <c r="E18" s="1067">
        <v>5</v>
      </c>
      <c r="F18" s="798">
        <f t="shared" si="25"/>
        <v>2</v>
      </c>
      <c r="G18" s="799"/>
      <c r="H18" s="798">
        <f>IF($E$18&gt;=G$8,$F18,0)</f>
        <v>2</v>
      </c>
      <c r="I18" s="798">
        <f t="shared" ref="I18:L18" si="29">IF($E$18&gt;=H$8,$F18,0)</f>
        <v>2</v>
      </c>
      <c r="J18" s="798">
        <f t="shared" si="29"/>
        <v>2</v>
      </c>
      <c r="K18" s="798">
        <f t="shared" si="29"/>
        <v>2</v>
      </c>
      <c r="L18" s="798">
        <f t="shared" si="29"/>
        <v>2</v>
      </c>
      <c r="M18" s="798">
        <f t="shared" ref="M18:N18" si="30">IF($E$18&gt;=L$8,$F18,0)</f>
        <v>0</v>
      </c>
      <c r="N18" s="798">
        <f t="shared" ref="N18:O18" si="31">IF($E$18&gt;=M$8,$F18,0)</f>
        <v>0</v>
      </c>
      <c r="O18" s="798">
        <f t="shared" si="31"/>
        <v>0</v>
      </c>
      <c r="P18" s="798">
        <f t="shared" ref="P18:R18" si="32">IF($E$18&gt;=O$8,$F18,0)</f>
        <v>0</v>
      </c>
      <c r="Q18" s="798">
        <f t="shared" si="32"/>
        <v>0</v>
      </c>
      <c r="R18" s="798">
        <f t="shared" si="32"/>
        <v>0</v>
      </c>
      <c r="Y18" s="528"/>
    </row>
    <row r="19" spans="2:25" x14ac:dyDescent="0.25">
      <c r="B19" s="528"/>
      <c r="C19" s="1235" t="str">
        <f>'A1'!M30</f>
        <v>Year 2</v>
      </c>
      <c r="D19" s="798">
        <f>'A1'!O30/1000</f>
        <v>255</v>
      </c>
      <c r="E19" s="529">
        <f>E18</f>
        <v>5</v>
      </c>
      <c r="F19" s="798">
        <f t="shared" si="25"/>
        <v>51</v>
      </c>
      <c r="G19" s="799"/>
      <c r="H19" s="799"/>
      <c r="I19" s="798">
        <f>IF($E$19&gt;=G$8,$F19,0)</f>
        <v>51</v>
      </c>
      <c r="J19" s="798">
        <f t="shared" ref="J19:L19" si="33">IF($E$19&gt;=H$8,$F19,0)</f>
        <v>51</v>
      </c>
      <c r="K19" s="798">
        <f t="shared" si="33"/>
        <v>51</v>
      </c>
      <c r="L19" s="798">
        <f t="shared" si="33"/>
        <v>51</v>
      </c>
      <c r="M19" s="798">
        <f t="shared" ref="M19" si="34">IF($E$19&gt;=K$8,$F19,0)</f>
        <v>51</v>
      </c>
      <c r="N19" s="798">
        <f t="shared" ref="N19" si="35">IF($E$19&gt;=L$8,$F19,0)</f>
        <v>0</v>
      </c>
      <c r="O19" s="798">
        <f t="shared" ref="O19" si="36">IF($E$19&gt;=M$8,$F19,0)</f>
        <v>0</v>
      </c>
      <c r="P19" s="798">
        <f t="shared" ref="P19" si="37">IF($E$19&gt;=N$8,$F19,0)</f>
        <v>0</v>
      </c>
      <c r="Q19" s="798">
        <f t="shared" ref="Q19" si="38">IF($E$19&gt;=O$8,$F19,0)</f>
        <v>0</v>
      </c>
      <c r="R19" s="798">
        <f t="shared" ref="R19" si="39">IF($E$19&gt;=P$8,$F19,0)</f>
        <v>0</v>
      </c>
      <c r="X19" s="528"/>
      <c r="Y19" s="528"/>
    </row>
    <row r="20" spans="2:25" x14ac:dyDescent="0.25">
      <c r="B20" s="528"/>
      <c r="C20" s="1235" t="str">
        <f>'A1'!M31</f>
        <v>Year 3</v>
      </c>
      <c r="D20" s="798">
        <f>'A1'!O31/1000</f>
        <v>0</v>
      </c>
      <c r="E20" s="529">
        <f>E19</f>
        <v>5</v>
      </c>
      <c r="F20" s="798">
        <f t="shared" si="25"/>
        <v>0</v>
      </c>
      <c r="G20" s="799"/>
      <c r="H20" s="799"/>
      <c r="I20" s="799"/>
      <c r="J20" s="798">
        <f>IF($E$20&gt;=H$8,$F20,0)</f>
        <v>0</v>
      </c>
      <c r="K20" s="798">
        <f t="shared" ref="K20:L20" si="40">IF($E$20&gt;=I$8,$F20,0)</f>
        <v>0</v>
      </c>
      <c r="L20" s="798">
        <f t="shared" si="40"/>
        <v>0</v>
      </c>
      <c r="M20" s="798">
        <f t="shared" ref="M20" si="41">IF($E$20&gt;=K$8,$F20,0)</f>
        <v>0</v>
      </c>
      <c r="N20" s="798">
        <f t="shared" ref="N20" si="42">IF($E$20&gt;=L$8,$F20,0)</f>
        <v>0</v>
      </c>
      <c r="O20" s="798">
        <f t="shared" ref="O20" si="43">IF($E$20&gt;=M$8,$F20,0)</f>
        <v>0</v>
      </c>
      <c r="P20" s="798">
        <f t="shared" ref="P20" si="44">IF($E$20&gt;=N$8,$F20,0)</f>
        <v>0</v>
      </c>
      <c r="Q20" s="798">
        <f t="shared" ref="Q20" si="45">IF($E$20&gt;=O$8,$F20,0)</f>
        <v>0</v>
      </c>
      <c r="R20" s="798">
        <f t="shared" ref="R20" si="46">IF($E$20&gt;=P$8,$F20,0)</f>
        <v>0</v>
      </c>
      <c r="X20" s="519"/>
      <c r="Y20" s="528"/>
    </row>
    <row r="21" spans="2:25" x14ac:dyDescent="0.25">
      <c r="B21" s="528"/>
      <c r="C21" s="1235" t="str">
        <f>'A1'!M32</f>
        <v>Year 4</v>
      </c>
      <c r="D21" s="798">
        <f>'A1'!O32/1000</f>
        <v>0</v>
      </c>
      <c r="E21" s="529">
        <f>E20</f>
        <v>5</v>
      </c>
      <c r="F21" s="798">
        <f t="shared" si="25"/>
        <v>0</v>
      </c>
      <c r="G21" s="799"/>
      <c r="H21" s="799"/>
      <c r="I21" s="799"/>
      <c r="J21" s="800"/>
      <c r="K21" s="798">
        <f>IF($E$21&gt;=G$8,$F21,0)</f>
        <v>0</v>
      </c>
      <c r="L21" s="798">
        <f>IF($E$21&gt;=H$8,$F21,0)</f>
        <v>0</v>
      </c>
      <c r="M21" s="798">
        <f t="shared" ref="M21:N21" si="47">IF($E$21&gt;=I$8,$F21,0)</f>
        <v>0</v>
      </c>
      <c r="N21" s="798">
        <f t="shared" ref="N21" si="48">IF($E$21&gt;=J$8,$F21,0)</f>
        <v>0</v>
      </c>
      <c r="O21" s="798">
        <f t="shared" ref="O21" si="49">IF($E$21&gt;=K$8,$F21,0)</f>
        <v>0</v>
      </c>
      <c r="P21" s="798">
        <f t="shared" ref="P21" si="50">IF($E$21&gt;=L$8,$F21,0)</f>
        <v>0</v>
      </c>
      <c r="Q21" s="798">
        <f t="shared" ref="Q21" si="51">IF($E$21&gt;=M$8,$F21,0)</f>
        <v>0</v>
      </c>
      <c r="R21" s="798">
        <f t="shared" ref="R21" si="52">IF($E$21&gt;=N$8,$F21,0)</f>
        <v>0</v>
      </c>
      <c r="X21" s="519"/>
      <c r="Y21" s="528"/>
    </row>
    <row r="22" spans="2:25" x14ac:dyDescent="0.25">
      <c r="B22" s="528"/>
      <c r="C22" s="1235" t="str">
        <f>'A1'!M33</f>
        <v>Year 5</v>
      </c>
      <c r="D22" s="798">
        <f>'A1'!O33/1000</f>
        <v>0</v>
      </c>
      <c r="E22" s="529">
        <f>E21</f>
        <v>5</v>
      </c>
      <c r="F22" s="798">
        <f t="shared" si="25"/>
        <v>0</v>
      </c>
      <c r="G22" s="801"/>
      <c r="H22" s="801"/>
      <c r="I22" s="801"/>
      <c r="J22" s="800"/>
      <c r="K22" s="802"/>
      <c r="L22" s="798">
        <f>IF($E$22&gt;=G$8,$F22,0)</f>
        <v>0</v>
      </c>
      <c r="M22" s="798">
        <f t="shared" ref="M22:N22" si="53">IF($E$22&gt;=H$8,$F22,0)</f>
        <v>0</v>
      </c>
      <c r="N22" s="798">
        <f t="shared" ref="N22" si="54">IF($E$22&gt;=I$8,$F22,0)</f>
        <v>0</v>
      </c>
      <c r="O22" s="798">
        <f t="shared" ref="O22" si="55">IF($E$22&gt;=J$8,$F22,0)</f>
        <v>0</v>
      </c>
      <c r="P22" s="798">
        <f t="shared" ref="P22" si="56">IF($E$22&gt;=K$8,$F22,0)</f>
        <v>0</v>
      </c>
      <c r="Q22" s="798">
        <f t="shared" ref="Q22" si="57">IF($E$22&gt;=L$8,$F22,0)</f>
        <v>0</v>
      </c>
      <c r="R22" s="798">
        <f t="shared" ref="R22" si="58">IF($E$22&gt;=M$8,$F22,0)</f>
        <v>0</v>
      </c>
      <c r="X22" s="519"/>
      <c r="Y22" s="528"/>
    </row>
    <row r="23" spans="2:25" x14ac:dyDescent="0.25">
      <c r="B23" s="528"/>
      <c r="C23" s="795"/>
      <c r="D23" s="796"/>
      <c r="E23" s="796"/>
      <c r="F23" s="796"/>
      <c r="G23" s="803"/>
      <c r="H23" s="803"/>
      <c r="I23" s="803"/>
      <c r="J23" s="530"/>
      <c r="K23" s="81"/>
      <c r="L23" s="796"/>
      <c r="M23" s="796"/>
      <c r="N23" s="796"/>
      <c r="O23" s="796"/>
      <c r="P23" s="796"/>
      <c r="Q23" s="796"/>
      <c r="R23" s="796"/>
      <c r="X23" s="519">
        <v>4413225</v>
      </c>
      <c r="Y23" s="528"/>
    </row>
    <row r="24" spans="2:25" x14ac:dyDescent="0.25">
      <c r="B24" s="528"/>
      <c r="C24" s="804" t="s">
        <v>195</v>
      </c>
      <c r="D24" s="805"/>
      <c r="E24" s="805"/>
      <c r="F24" s="805"/>
      <c r="G24" s="806"/>
      <c r="H24" s="806">
        <f>SUM(H11:H22)</f>
        <v>12.716451428571428</v>
      </c>
      <c r="I24" s="806">
        <f>SUM(I11:I22)</f>
        <v>123.71645142857143</v>
      </c>
      <c r="J24" s="806">
        <f>SUM(J11:J22)</f>
        <v>113.48829142857143</v>
      </c>
      <c r="K24" s="806">
        <f>SUM(K11:K22)</f>
        <v>113.48829142857143</v>
      </c>
      <c r="L24" s="806">
        <f>SUM(L11:L22)</f>
        <v>113.48829142857143</v>
      </c>
      <c r="M24" s="806">
        <f t="shared" ref="M24:N24" si="59">SUM(M11:M22)</f>
        <v>111.48829142857143</v>
      </c>
      <c r="N24" s="806">
        <f t="shared" ref="N24:O24" si="60">SUM(N11:N22)</f>
        <v>60.488291428571429</v>
      </c>
      <c r="O24" s="806">
        <f t="shared" si="60"/>
        <v>60</v>
      </c>
      <c r="P24" s="806">
        <f t="shared" ref="P24:R24" si="61">SUM(P11:P22)</f>
        <v>60</v>
      </c>
      <c r="Q24" s="806">
        <f t="shared" si="61"/>
        <v>60</v>
      </c>
      <c r="R24" s="806">
        <f t="shared" si="61"/>
        <v>0</v>
      </c>
      <c r="X24" s="519">
        <v>1839501</v>
      </c>
      <c r="Y24" s="528"/>
    </row>
    <row r="25" spans="2:25" s="516" customFormat="1" x14ac:dyDescent="0.25">
      <c r="C25" s="742" t="s">
        <v>200</v>
      </c>
      <c r="E25" s="742"/>
      <c r="F25" s="742"/>
      <c r="G25" s="807"/>
      <c r="H25" s="807">
        <f>H24/12</f>
        <v>1.0597042857142858</v>
      </c>
      <c r="I25" s="807">
        <f>I24/12</f>
        <v>10.309704285714286</v>
      </c>
      <c r="J25" s="807">
        <f>J24/12</f>
        <v>9.4573576190476185</v>
      </c>
      <c r="K25" s="807">
        <f>K24/12</f>
        <v>9.4573576190476185</v>
      </c>
      <c r="L25" s="807">
        <f>L24/12</f>
        <v>9.4573576190476185</v>
      </c>
      <c r="M25" s="807"/>
      <c r="N25" s="807"/>
      <c r="O25" s="742"/>
      <c r="P25" s="518"/>
    </row>
    <row r="26" spans="2:25" x14ac:dyDescent="0.25">
      <c r="B26" s="528"/>
      <c r="C26" s="742" t="s">
        <v>201</v>
      </c>
      <c r="D26" s="794"/>
      <c r="E26" s="794"/>
      <c r="F26" s="794"/>
      <c r="G26" s="807"/>
      <c r="H26" s="807">
        <f>H24/4</f>
        <v>3.1791128571428571</v>
      </c>
      <c r="I26" s="807">
        <f>I24/4</f>
        <v>30.929112857142858</v>
      </c>
      <c r="J26" s="807">
        <f>J24/4</f>
        <v>28.372072857142857</v>
      </c>
      <c r="K26" s="807">
        <f>K24/4</f>
        <v>28.372072857142857</v>
      </c>
      <c r="L26" s="807">
        <f>L24/4</f>
        <v>28.372072857142857</v>
      </c>
      <c r="M26" s="807"/>
      <c r="N26" s="807"/>
      <c r="O26" s="530"/>
      <c r="P26" s="581"/>
      <c r="Q26" s="528"/>
      <c r="R26" s="528"/>
    </row>
    <row r="27" spans="2:25" x14ac:dyDescent="0.25">
      <c r="B27" s="528"/>
      <c r="C27" s="81"/>
      <c r="D27" s="794"/>
      <c r="E27" s="794"/>
      <c r="F27" s="794"/>
      <c r="G27" s="794"/>
      <c r="H27" s="794"/>
      <c r="I27" s="794"/>
      <c r="J27" s="530"/>
      <c r="K27" s="530"/>
      <c r="L27" s="81"/>
      <c r="M27" s="81"/>
      <c r="N27" s="81"/>
      <c r="O27" s="530"/>
      <c r="P27" s="581"/>
      <c r="Q27" s="528"/>
      <c r="R27" s="528"/>
    </row>
    <row r="28" spans="2:25" x14ac:dyDescent="0.25">
      <c r="D28" s="530" t="s">
        <v>197</v>
      </c>
      <c r="E28" s="530"/>
      <c r="F28" s="530"/>
      <c r="G28" s="530"/>
      <c r="H28" s="530"/>
      <c r="I28" s="808"/>
      <c r="J28" s="530"/>
      <c r="K28" s="530"/>
      <c r="L28" s="530"/>
      <c r="M28" s="530"/>
      <c r="N28" s="530"/>
      <c r="O28" s="530"/>
      <c r="P28" s="528"/>
      <c r="Q28" s="528"/>
      <c r="R28" s="528"/>
    </row>
    <row r="29" spans="2:25" x14ac:dyDescent="0.25">
      <c r="B29" s="528"/>
      <c r="D29" s="809" t="s">
        <v>177</v>
      </c>
      <c r="F29" s="530"/>
      <c r="G29" s="581">
        <v>0</v>
      </c>
      <c r="H29" s="581">
        <f>G31</f>
        <v>23.874359999999999</v>
      </c>
      <c r="I29" s="581">
        <f>H31</f>
        <v>33.874359999999996</v>
      </c>
      <c r="J29" s="581">
        <f>I31</f>
        <v>288.87436000000002</v>
      </c>
      <c r="K29" s="581">
        <f>J31</f>
        <v>288.87436000000002</v>
      </c>
      <c r="L29" s="581">
        <f>K31</f>
        <v>288.87436000000002</v>
      </c>
      <c r="M29" s="581"/>
      <c r="N29" s="581"/>
      <c r="O29" s="530"/>
      <c r="P29" s="519"/>
      <c r="Q29" s="528"/>
      <c r="R29" s="528"/>
    </row>
    <row r="30" spans="2:25" ht="17.25" x14ac:dyDescent="0.25">
      <c r="B30" s="528"/>
      <c r="D30" s="810" t="s">
        <v>198</v>
      </c>
      <c r="F30" s="530"/>
      <c r="G30" s="811">
        <f>D11+D17</f>
        <v>23.874359999999999</v>
      </c>
      <c r="H30" s="811">
        <f>D18</f>
        <v>10</v>
      </c>
      <c r="I30" s="811">
        <f>D19</f>
        <v>255</v>
      </c>
      <c r="J30" s="811">
        <f>D20</f>
        <v>0</v>
      </c>
      <c r="K30" s="811">
        <f>D21</f>
        <v>0</v>
      </c>
      <c r="L30" s="811">
        <f>D22</f>
        <v>0</v>
      </c>
      <c r="M30" s="811"/>
      <c r="N30" s="811"/>
      <c r="O30" s="530"/>
      <c r="P30" s="519"/>
      <c r="Q30" s="528"/>
      <c r="R30" s="528"/>
    </row>
    <row r="31" spans="2:25" s="106" customFormat="1" ht="16.5" x14ac:dyDescent="0.35">
      <c r="B31" s="528"/>
      <c r="D31" s="812" t="s">
        <v>199</v>
      </c>
      <c r="F31" s="535"/>
      <c r="G31" s="813">
        <f t="shared" ref="G31:L31" si="62">G29+G30</f>
        <v>23.874359999999999</v>
      </c>
      <c r="H31" s="813">
        <f t="shared" si="62"/>
        <v>33.874359999999996</v>
      </c>
      <c r="I31" s="813">
        <f t="shared" si="62"/>
        <v>288.87436000000002</v>
      </c>
      <c r="J31" s="813">
        <f t="shared" si="62"/>
        <v>288.87436000000002</v>
      </c>
      <c r="K31" s="813">
        <f t="shared" si="62"/>
        <v>288.87436000000002</v>
      </c>
      <c r="L31" s="813">
        <f t="shared" si="62"/>
        <v>288.87436000000002</v>
      </c>
      <c r="M31" s="813"/>
      <c r="N31" s="813"/>
      <c r="O31" s="340"/>
      <c r="P31" s="536"/>
    </row>
    <row r="32" spans="2:25" s="537" customFormat="1" ht="17.25" x14ac:dyDescent="0.4">
      <c r="B32" s="528"/>
      <c r="C32" s="569"/>
      <c r="D32" s="101"/>
      <c r="E32" s="101"/>
      <c r="F32" s="101"/>
      <c r="G32" s="101"/>
      <c r="H32" s="101"/>
      <c r="I32" s="101"/>
      <c r="J32" s="101"/>
      <c r="L32" s="101"/>
      <c r="M32" s="101"/>
      <c r="N32" s="101"/>
      <c r="O32" s="101"/>
    </row>
    <row r="33" spans="1:18" x14ac:dyDescent="0.25">
      <c r="B33" s="528"/>
      <c r="C33" s="814"/>
      <c r="D33" s="78" t="s">
        <v>163</v>
      </c>
      <c r="E33" s="78"/>
      <c r="F33" s="78"/>
      <c r="G33" s="794"/>
      <c r="H33" s="794"/>
      <c r="I33" s="794"/>
      <c r="J33" s="794"/>
      <c r="K33" s="794"/>
      <c r="L33" s="794"/>
      <c r="M33" s="794"/>
      <c r="N33" s="794"/>
      <c r="O33" s="794"/>
      <c r="P33" s="753"/>
      <c r="Q33" s="528"/>
      <c r="R33" s="528"/>
    </row>
    <row r="34" spans="1:18" x14ac:dyDescent="0.25">
      <c r="B34" s="528"/>
      <c r="C34" s="814"/>
      <c r="D34" s="809" t="str">
        <f>D29</f>
        <v>Beginning Balance</v>
      </c>
      <c r="F34" s="815"/>
      <c r="G34" s="581">
        <v>0</v>
      </c>
      <c r="H34" s="581">
        <f>G36</f>
        <v>0</v>
      </c>
      <c r="I34" s="581">
        <f>H36</f>
        <v>12.716451428571428</v>
      </c>
      <c r="J34" s="581">
        <f>I36</f>
        <v>136.43290285714286</v>
      </c>
      <c r="K34" s="581">
        <f>J36</f>
        <v>249.92119428571431</v>
      </c>
      <c r="L34" s="581">
        <f>K36</f>
        <v>363.40948571428572</v>
      </c>
      <c r="M34" s="581"/>
      <c r="N34" s="581"/>
      <c r="O34" s="816"/>
      <c r="P34" s="753"/>
      <c r="Q34" s="528"/>
      <c r="R34" s="528"/>
    </row>
    <row r="35" spans="1:18" ht="17.25" x14ac:dyDescent="0.25">
      <c r="B35" s="528"/>
      <c r="C35" s="742"/>
      <c r="D35" s="810" t="str">
        <f>D30</f>
        <v>Additions</v>
      </c>
      <c r="F35" s="815"/>
      <c r="G35" s="811">
        <f t="shared" ref="G35:L35" si="63">G24</f>
        <v>0</v>
      </c>
      <c r="H35" s="811">
        <f t="shared" si="63"/>
        <v>12.716451428571428</v>
      </c>
      <c r="I35" s="811">
        <f t="shared" si="63"/>
        <v>123.71645142857143</v>
      </c>
      <c r="J35" s="811">
        <f t="shared" si="63"/>
        <v>113.48829142857143</v>
      </c>
      <c r="K35" s="811">
        <f t="shared" si="63"/>
        <v>113.48829142857143</v>
      </c>
      <c r="L35" s="811">
        <f t="shared" si="63"/>
        <v>113.48829142857143</v>
      </c>
      <c r="M35" s="811"/>
      <c r="N35" s="811"/>
      <c r="O35" s="816"/>
      <c r="P35" s="754"/>
      <c r="Q35" s="528"/>
      <c r="R35" s="528"/>
    </row>
    <row r="36" spans="1:18" x14ac:dyDescent="0.25">
      <c r="B36" s="528"/>
      <c r="C36" s="817"/>
      <c r="D36" s="812" t="str">
        <f>D31</f>
        <v>Ending Balance</v>
      </c>
      <c r="F36" s="816"/>
      <c r="G36" s="813">
        <f t="shared" ref="G36:L36" si="64">G34+G35</f>
        <v>0</v>
      </c>
      <c r="H36" s="813">
        <f t="shared" si="64"/>
        <v>12.716451428571428</v>
      </c>
      <c r="I36" s="813">
        <f t="shared" si="64"/>
        <v>136.43290285714286</v>
      </c>
      <c r="J36" s="813">
        <f t="shared" si="64"/>
        <v>249.92119428571431</v>
      </c>
      <c r="K36" s="813">
        <f t="shared" si="64"/>
        <v>363.40948571428572</v>
      </c>
      <c r="L36" s="813">
        <f t="shared" si="64"/>
        <v>476.89777714285714</v>
      </c>
      <c r="M36" s="813"/>
      <c r="N36" s="813"/>
      <c r="O36" s="816"/>
      <c r="P36" s="518"/>
      <c r="Q36" s="528"/>
      <c r="R36" s="528"/>
    </row>
    <row r="37" spans="1:18" x14ac:dyDescent="0.25">
      <c r="B37" s="528"/>
      <c r="C37" s="818"/>
      <c r="D37" s="794"/>
      <c r="E37" s="794"/>
      <c r="F37" s="794"/>
      <c r="G37" s="794"/>
      <c r="H37" s="794"/>
      <c r="I37" s="794"/>
      <c r="J37" s="794"/>
      <c r="K37" s="794"/>
      <c r="L37" s="794"/>
      <c r="M37" s="794"/>
      <c r="N37" s="794"/>
      <c r="O37" s="794"/>
      <c r="P37" s="519"/>
      <c r="Q37" s="528"/>
      <c r="R37" s="528"/>
    </row>
    <row r="38" spans="1:18" x14ac:dyDescent="0.25">
      <c r="B38" s="528"/>
      <c r="C38" s="818"/>
      <c r="D38" s="794" t="s">
        <v>41</v>
      </c>
      <c r="E38" s="794"/>
      <c r="F38" s="794"/>
      <c r="G38" s="794"/>
      <c r="H38" s="794"/>
      <c r="I38" s="794"/>
      <c r="J38" s="794"/>
      <c r="K38" s="794"/>
      <c r="L38" s="794"/>
      <c r="M38" s="794"/>
      <c r="N38" s="794"/>
      <c r="O38" s="794"/>
      <c r="P38" s="519"/>
      <c r="Q38" s="528"/>
      <c r="R38" s="528"/>
    </row>
    <row r="39" spans="1:18" x14ac:dyDescent="0.25">
      <c r="B39" s="528"/>
      <c r="C39" s="817"/>
      <c r="D39" s="809" t="s">
        <v>171</v>
      </c>
      <c r="F39" s="794"/>
      <c r="G39" s="581">
        <f t="shared" ref="G39:L39" si="65">G31</f>
        <v>23.874359999999999</v>
      </c>
      <c r="H39" s="581">
        <f t="shared" si="65"/>
        <v>33.874359999999996</v>
      </c>
      <c r="I39" s="581">
        <f t="shared" si="65"/>
        <v>288.87436000000002</v>
      </c>
      <c r="J39" s="581">
        <f t="shared" si="65"/>
        <v>288.87436000000002</v>
      </c>
      <c r="K39" s="581">
        <f t="shared" si="65"/>
        <v>288.87436000000002</v>
      </c>
      <c r="L39" s="581">
        <f t="shared" si="65"/>
        <v>288.87436000000002</v>
      </c>
      <c r="M39" s="581"/>
      <c r="N39" s="581"/>
      <c r="O39" s="794"/>
      <c r="P39" s="519"/>
      <c r="Q39" s="528"/>
      <c r="R39" s="528"/>
    </row>
    <row r="40" spans="1:18" ht="17.25" x14ac:dyDescent="0.25">
      <c r="B40" s="528"/>
      <c r="C40" s="817"/>
      <c r="D40" s="810" t="s">
        <v>202</v>
      </c>
      <c r="F40" s="794"/>
      <c r="G40" s="811">
        <f t="shared" ref="G40:L40" si="66">-G36</f>
        <v>0</v>
      </c>
      <c r="H40" s="811">
        <f t="shared" si="66"/>
        <v>-12.716451428571428</v>
      </c>
      <c r="I40" s="811">
        <f t="shared" si="66"/>
        <v>-136.43290285714286</v>
      </c>
      <c r="J40" s="811">
        <f t="shared" si="66"/>
        <v>-249.92119428571431</v>
      </c>
      <c r="K40" s="811">
        <f t="shared" si="66"/>
        <v>-363.40948571428572</v>
      </c>
      <c r="L40" s="811">
        <f t="shared" si="66"/>
        <v>-476.89777714285714</v>
      </c>
      <c r="M40" s="811"/>
      <c r="N40" s="811"/>
      <c r="O40" s="794"/>
      <c r="P40" s="519"/>
      <c r="Q40" s="528"/>
      <c r="R40" s="528"/>
    </row>
    <row r="41" spans="1:18" ht="17.25" x14ac:dyDescent="0.25">
      <c r="B41" s="528"/>
      <c r="C41" s="817"/>
      <c r="D41" s="810" t="s">
        <v>203</v>
      </c>
      <c r="F41" s="794"/>
      <c r="G41" s="1403">
        <f t="shared" ref="G41:L41" si="67">G39+G40</f>
        <v>23.874359999999999</v>
      </c>
      <c r="H41" s="1403">
        <f t="shared" si="67"/>
        <v>21.157908571428568</v>
      </c>
      <c r="I41" s="1403">
        <f t="shared" si="67"/>
        <v>152.44145714285716</v>
      </c>
      <c r="J41" s="1403">
        <f t="shared" si="67"/>
        <v>38.953165714285717</v>
      </c>
      <c r="K41" s="1403">
        <f t="shared" si="67"/>
        <v>-74.535125714285698</v>
      </c>
      <c r="L41" s="1403">
        <f t="shared" si="67"/>
        <v>-188.02341714285711</v>
      </c>
      <c r="M41" s="811"/>
      <c r="N41" s="811"/>
      <c r="O41" s="794"/>
      <c r="P41" s="519"/>
      <c r="Q41" s="528"/>
      <c r="R41" s="528"/>
    </row>
    <row r="42" spans="1:18" ht="17.25" x14ac:dyDescent="0.25">
      <c r="B42" s="528"/>
      <c r="C42" s="817"/>
      <c r="D42" s="810" t="s">
        <v>1108</v>
      </c>
      <c r="F42" s="794"/>
      <c r="G42" s="811"/>
      <c r="H42" s="811">
        <f>E7</f>
        <v>0</v>
      </c>
      <c r="I42" s="811">
        <f>H42</f>
        <v>0</v>
      </c>
      <c r="J42" s="811">
        <f>I42</f>
        <v>0</v>
      </c>
      <c r="K42" s="811">
        <f>J42</f>
        <v>0</v>
      </c>
      <c r="L42" s="811">
        <f>K42</f>
        <v>0</v>
      </c>
      <c r="M42" s="811"/>
      <c r="N42" s="811"/>
      <c r="O42" s="794"/>
      <c r="P42" s="519"/>
      <c r="Q42" s="528"/>
      <c r="R42" s="528"/>
    </row>
    <row r="43" spans="1:18" x14ac:dyDescent="0.25">
      <c r="B43" s="528"/>
      <c r="C43" s="817"/>
      <c r="D43" s="812" t="s">
        <v>203</v>
      </c>
      <c r="E43" s="794"/>
      <c r="F43" s="794"/>
      <c r="G43" s="813"/>
      <c r="H43" s="813">
        <f>H41+H42</f>
        <v>21.157908571428568</v>
      </c>
      <c r="I43" s="813">
        <f>I41+I42</f>
        <v>152.44145714285716</v>
      </c>
      <c r="J43" s="813">
        <f>J41+J42</f>
        <v>38.953165714285717</v>
      </c>
      <c r="K43" s="813">
        <f>K41+K42</f>
        <v>-74.535125714285698</v>
      </c>
      <c r="L43" s="813">
        <f>L41+L42</f>
        <v>-188.02341714285711</v>
      </c>
      <c r="M43" s="813"/>
      <c r="N43" s="813"/>
      <c r="O43" s="794"/>
      <c r="P43" s="519"/>
      <c r="Q43" s="528"/>
      <c r="R43" s="528"/>
    </row>
    <row r="44" spans="1:18" x14ac:dyDescent="0.25">
      <c r="B44" s="528"/>
      <c r="C44" s="817"/>
      <c r="D44" s="803"/>
      <c r="E44" s="803"/>
      <c r="F44" s="803"/>
      <c r="G44" s="803"/>
      <c r="H44" s="803"/>
      <c r="I44" s="803"/>
      <c r="J44" s="803"/>
      <c r="K44" s="819"/>
      <c r="L44" s="803"/>
      <c r="M44" s="803"/>
      <c r="N44" s="803"/>
      <c r="O44" s="803"/>
      <c r="P44" s="518"/>
      <c r="Q44" s="528"/>
      <c r="R44" s="528"/>
    </row>
    <row r="45" spans="1:18" x14ac:dyDescent="0.25">
      <c r="A45" s="107" t="s">
        <v>216</v>
      </c>
      <c r="B45" s="528"/>
      <c r="C45" s="817"/>
      <c r="D45" s="794"/>
      <c r="E45" s="794"/>
      <c r="F45" s="794"/>
      <c r="G45" s="794"/>
      <c r="H45" s="794"/>
      <c r="I45" s="794"/>
      <c r="J45" s="794"/>
      <c r="K45" s="794"/>
      <c r="L45" s="794"/>
      <c r="M45" s="794"/>
      <c r="N45" s="794"/>
      <c r="O45" s="794"/>
      <c r="P45" s="519"/>
      <c r="Q45" s="528"/>
      <c r="R45" s="528"/>
    </row>
    <row r="46" spans="1:18" x14ac:dyDescent="0.25">
      <c r="B46" s="820" t="s">
        <v>204</v>
      </c>
      <c r="C46" s="821"/>
      <c r="D46" s="822">
        <f>ApndxB5!G7</f>
        <v>1</v>
      </c>
      <c r="E46" s="822">
        <f>ApndxB5!H7</f>
        <v>0</v>
      </c>
      <c r="F46" s="822">
        <f>ApndxB5!I7</f>
        <v>-1</v>
      </c>
      <c r="G46" s="822">
        <f>ApndxB5!J7</f>
        <v>-2</v>
      </c>
      <c r="H46" s="822">
        <f>ApndxB5!K7</f>
        <v>-3</v>
      </c>
      <c r="I46" s="822">
        <f>ApndxB5!L7</f>
        <v>-4</v>
      </c>
      <c r="J46" s="822">
        <f>ApndxB5!M7</f>
        <v>-5</v>
      </c>
      <c r="K46" s="822">
        <f>ApndxB5!N7</f>
        <v>-6</v>
      </c>
      <c r="L46" s="822">
        <f>ApndxB5!O7</f>
        <v>-7</v>
      </c>
      <c r="M46" s="822">
        <f>ApndxB5!P7</f>
        <v>-8</v>
      </c>
      <c r="N46" s="822">
        <f>ApndxB5!Q7</f>
        <v>-9</v>
      </c>
      <c r="O46" s="822" t="str">
        <f>ApndxB5!T7</f>
        <v>Total</v>
      </c>
      <c r="P46" s="519"/>
      <c r="Q46" s="528"/>
      <c r="R46" s="528"/>
    </row>
    <row r="47" spans="1:18" x14ac:dyDescent="0.25">
      <c r="B47" s="81" t="s">
        <v>206</v>
      </c>
      <c r="C47" s="81"/>
      <c r="D47" s="823">
        <v>0</v>
      </c>
      <c r="E47" s="823">
        <f>D50</f>
        <v>23.874359999999999</v>
      </c>
      <c r="F47" s="823">
        <f t="shared" ref="F47:O47" si="68">E50</f>
        <v>23.874359999999999</v>
      </c>
      <c r="G47" s="823">
        <f t="shared" si="68"/>
        <v>23.874359999999999</v>
      </c>
      <c r="H47" s="823">
        <f t="shared" si="68"/>
        <v>23.874359999999999</v>
      </c>
      <c r="I47" s="823">
        <f t="shared" si="68"/>
        <v>23.874359999999999</v>
      </c>
      <c r="J47" s="823">
        <f t="shared" si="68"/>
        <v>23.874359999999999</v>
      </c>
      <c r="K47" s="823">
        <f t="shared" si="68"/>
        <v>23.874359999999999</v>
      </c>
      <c r="L47" s="823">
        <f t="shared" si="68"/>
        <v>23.874359999999999</v>
      </c>
      <c r="M47" s="823">
        <f t="shared" si="68"/>
        <v>23.874359999999999</v>
      </c>
      <c r="N47" s="823">
        <f t="shared" si="68"/>
        <v>23.874359999999999</v>
      </c>
      <c r="O47" s="823">
        <f t="shared" si="68"/>
        <v>23.874359999999999</v>
      </c>
      <c r="P47" s="519"/>
      <c r="Q47" s="528"/>
      <c r="R47" s="528"/>
    </row>
    <row r="48" spans="1:18" x14ac:dyDescent="0.25">
      <c r="B48" s="81"/>
      <c r="C48" s="81" t="s">
        <v>207</v>
      </c>
      <c r="D48" s="823">
        <f>D17+D11</f>
        <v>23.874359999999999</v>
      </c>
      <c r="E48" s="823">
        <v>0</v>
      </c>
      <c r="F48" s="823">
        <v>0</v>
      </c>
      <c r="G48" s="823">
        <v>0</v>
      </c>
      <c r="H48" s="823">
        <v>0</v>
      </c>
      <c r="I48" s="823">
        <v>0</v>
      </c>
      <c r="J48" s="823">
        <v>0</v>
      </c>
      <c r="K48" s="823">
        <v>0</v>
      </c>
      <c r="L48" s="823">
        <v>0</v>
      </c>
      <c r="M48" s="823">
        <v>0</v>
      </c>
      <c r="N48" s="823">
        <v>0</v>
      </c>
      <c r="O48" s="823">
        <v>0</v>
      </c>
      <c r="P48" s="519"/>
      <c r="Q48" s="528"/>
      <c r="R48" s="528"/>
    </row>
    <row r="49" spans="1:18" x14ac:dyDescent="0.25">
      <c r="B49" s="530"/>
      <c r="C49" s="81" t="s">
        <v>208</v>
      </c>
      <c r="D49" s="824">
        <f>-IF(D46&lt;=0,0,$G$25)</f>
        <v>0</v>
      </c>
      <c r="E49" s="824">
        <f t="shared" ref="E49:O49" si="69">-IF(E46&lt;=0,0,$G$25)</f>
        <v>0</v>
      </c>
      <c r="F49" s="824">
        <f t="shared" si="69"/>
        <v>0</v>
      </c>
      <c r="G49" s="824">
        <f t="shared" si="69"/>
        <v>0</v>
      </c>
      <c r="H49" s="824">
        <f t="shared" si="69"/>
        <v>0</v>
      </c>
      <c r="I49" s="824">
        <f t="shared" si="69"/>
        <v>0</v>
      </c>
      <c r="J49" s="824">
        <f t="shared" si="69"/>
        <v>0</v>
      </c>
      <c r="K49" s="824">
        <f t="shared" si="69"/>
        <v>0</v>
      </c>
      <c r="L49" s="824">
        <f t="shared" si="69"/>
        <v>0</v>
      </c>
      <c r="M49" s="824">
        <f t="shared" si="69"/>
        <v>0</v>
      </c>
      <c r="N49" s="824">
        <f t="shared" si="69"/>
        <v>0</v>
      </c>
      <c r="O49" s="824">
        <f t="shared" si="69"/>
        <v>0</v>
      </c>
      <c r="P49" s="519"/>
      <c r="Q49" s="528"/>
      <c r="R49" s="528"/>
    </row>
    <row r="50" spans="1:18" x14ac:dyDescent="0.25">
      <c r="B50" s="530" t="s">
        <v>209</v>
      </c>
      <c r="C50" s="817"/>
      <c r="D50" s="825">
        <f>SUM(D47:D49)</f>
        <v>23.874359999999999</v>
      </c>
      <c r="E50" s="825">
        <f t="shared" ref="E50:O50" si="70">SUM(E47:E49)</f>
        <v>23.874359999999999</v>
      </c>
      <c r="F50" s="825">
        <f t="shared" si="70"/>
        <v>23.874359999999999</v>
      </c>
      <c r="G50" s="825">
        <f t="shared" si="70"/>
        <v>23.874359999999999</v>
      </c>
      <c r="H50" s="825">
        <f t="shared" si="70"/>
        <v>23.874359999999999</v>
      </c>
      <c r="I50" s="825">
        <f t="shared" si="70"/>
        <v>23.874359999999999</v>
      </c>
      <c r="J50" s="825">
        <f t="shared" si="70"/>
        <v>23.874359999999999</v>
      </c>
      <c r="K50" s="825">
        <f t="shared" si="70"/>
        <v>23.874359999999999</v>
      </c>
      <c r="L50" s="825">
        <f t="shared" si="70"/>
        <v>23.874359999999999</v>
      </c>
      <c r="M50" s="825">
        <f t="shared" si="70"/>
        <v>23.874359999999999</v>
      </c>
      <c r="N50" s="825">
        <f t="shared" si="70"/>
        <v>23.874359999999999</v>
      </c>
      <c r="O50" s="825">
        <f t="shared" si="70"/>
        <v>23.874359999999999</v>
      </c>
      <c r="P50" s="519"/>
      <c r="Q50" s="528"/>
      <c r="R50" s="528"/>
    </row>
    <row r="51" spans="1:18" x14ac:dyDescent="0.25">
      <c r="B51" s="530"/>
      <c r="C51" s="817"/>
      <c r="D51" s="794"/>
      <c r="E51" s="794"/>
      <c r="F51" s="794"/>
      <c r="G51" s="794"/>
      <c r="H51" s="794"/>
      <c r="I51" s="794"/>
      <c r="J51" s="794"/>
      <c r="K51" s="794"/>
      <c r="L51" s="794"/>
      <c r="M51" s="794"/>
      <c r="N51" s="794"/>
      <c r="O51" s="794"/>
      <c r="P51" s="519"/>
      <c r="Q51" s="528"/>
      <c r="R51" s="528"/>
    </row>
    <row r="52" spans="1:18" x14ac:dyDescent="0.25">
      <c r="A52" s="107" t="s">
        <v>217</v>
      </c>
      <c r="B52" s="530"/>
      <c r="C52" s="817"/>
      <c r="D52" s="794"/>
      <c r="E52" s="794"/>
      <c r="F52" s="794"/>
      <c r="G52" s="794"/>
      <c r="H52" s="794"/>
      <c r="I52" s="794"/>
      <c r="J52" s="794"/>
      <c r="K52" s="794"/>
      <c r="L52" s="794"/>
      <c r="M52" s="794"/>
      <c r="N52" s="794"/>
      <c r="O52" s="794"/>
      <c r="P52" s="519"/>
      <c r="Q52" s="528"/>
      <c r="R52" s="528"/>
    </row>
    <row r="53" spans="1:18" x14ac:dyDescent="0.25">
      <c r="B53" s="820" t="s">
        <v>205</v>
      </c>
      <c r="C53" s="821"/>
      <c r="D53" s="552">
        <f>ApndxB1!G7</f>
        <v>1</v>
      </c>
      <c r="E53" s="552">
        <f>ApndxB1!H7</f>
        <v>2</v>
      </c>
      <c r="F53" s="552">
        <f>ApndxB1!I7</f>
        <v>3</v>
      </c>
      <c r="G53" s="552">
        <f>ApndxB1!J7</f>
        <v>4</v>
      </c>
      <c r="H53" s="552">
        <f>ApndxB1!K7</f>
        <v>5</v>
      </c>
      <c r="I53" s="552">
        <f>ApndxB1!L7</f>
        <v>6</v>
      </c>
      <c r="J53" s="552">
        <f>ApndxB1!M7</f>
        <v>7</v>
      </c>
      <c r="K53" s="552">
        <f>ApndxB1!N7</f>
        <v>8</v>
      </c>
      <c r="L53" s="552">
        <f>ApndxB1!O7</f>
        <v>9</v>
      </c>
      <c r="M53" s="552">
        <f>ApndxB1!P7</f>
        <v>10</v>
      </c>
      <c r="N53" s="552">
        <f>ApndxB1!Q7</f>
        <v>11</v>
      </c>
      <c r="O53" s="552">
        <f>ApndxB1!R7</f>
        <v>12</v>
      </c>
      <c r="P53" s="518"/>
      <c r="Q53" s="528"/>
      <c r="R53" s="528"/>
    </row>
    <row r="54" spans="1:18" x14ac:dyDescent="0.25">
      <c r="B54" s="530" t="str">
        <f>B47</f>
        <v>Beg. Fixed Assets</v>
      </c>
      <c r="C54" s="817"/>
      <c r="D54" s="1417">
        <f>O50</f>
        <v>23.874359999999999</v>
      </c>
      <c r="E54" s="1418">
        <f t="shared" ref="E54:O54" si="71">D58</f>
        <v>32.814655714285713</v>
      </c>
      <c r="F54" s="1418">
        <f t="shared" si="71"/>
        <v>31.754951428571427</v>
      </c>
      <c r="G54" s="1418">
        <f t="shared" si="71"/>
        <v>30.695247142857141</v>
      </c>
      <c r="H54" s="1418">
        <f t="shared" si="71"/>
        <v>29.635542857142855</v>
      </c>
      <c r="I54" s="1418">
        <f t="shared" si="71"/>
        <v>28.575838571428569</v>
      </c>
      <c r="J54" s="1418">
        <f t="shared" si="71"/>
        <v>27.516134285714283</v>
      </c>
      <c r="K54" s="1418">
        <f t="shared" si="71"/>
        <v>26.456429999999997</v>
      </c>
      <c r="L54" s="1418">
        <f t="shared" si="71"/>
        <v>25.396725714285711</v>
      </c>
      <c r="M54" s="1418">
        <f t="shared" si="71"/>
        <v>24.337021428571425</v>
      </c>
      <c r="N54" s="1418">
        <f t="shared" si="71"/>
        <v>23.277317142857139</v>
      </c>
      <c r="O54" s="1418">
        <f t="shared" si="71"/>
        <v>22.217612857142853</v>
      </c>
      <c r="P54" s="519"/>
      <c r="Q54" s="528"/>
      <c r="R54" s="528"/>
    </row>
    <row r="55" spans="1:18" x14ac:dyDescent="0.25">
      <c r="B55" s="530"/>
      <c r="C55" s="530" t="s">
        <v>1109</v>
      </c>
      <c r="D55" s="1404">
        <f>E7</f>
        <v>0</v>
      </c>
      <c r="E55" s="652"/>
      <c r="F55" s="652"/>
      <c r="G55" s="652"/>
      <c r="H55" s="652"/>
      <c r="I55" s="652"/>
      <c r="J55" s="652"/>
      <c r="K55" s="652"/>
      <c r="L55" s="652"/>
      <c r="M55" s="652"/>
      <c r="N55" s="652"/>
      <c r="O55" s="652"/>
      <c r="P55" s="519"/>
      <c r="Q55" s="528"/>
      <c r="R55" s="528"/>
    </row>
    <row r="56" spans="1:18" x14ac:dyDescent="0.25">
      <c r="B56" s="530"/>
      <c r="C56" s="530" t="str">
        <f>C48</f>
        <v>Cap. Exp.</v>
      </c>
      <c r="D56" s="826">
        <f>D18</f>
        <v>10</v>
      </c>
      <c r="E56" s="652">
        <v>0</v>
      </c>
      <c r="F56" s="652">
        <v>0</v>
      </c>
      <c r="G56" s="652">
        <v>0</v>
      </c>
      <c r="H56" s="652">
        <v>0</v>
      </c>
      <c r="I56" s="652">
        <v>0</v>
      </c>
      <c r="J56" s="652">
        <v>0</v>
      </c>
      <c r="K56" s="652">
        <v>0</v>
      </c>
      <c r="L56" s="652">
        <v>0</v>
      </c>
      <c r="M56" s="652">
        <v>0</v>
      </c>
      <c r="N56" s="652">
        <v>0</v>
      </c>
      <c r="O56" s="652">
        <v>0</v>
      </c>
      <c r="P56" s="519"/>
      <c r="Q56" s="528"/>
      <c r="R56" s="528"/>
    </row>
    <row r="57" spans="1:18" x14ac:dyDescent="0.25">
      <c r="B57" s="530"/>
      <c r="C57" s="530" t="str">
        <f>C49</f>
        <v>Depr.</v>
      </c>
      <c r="D57" s="1419">
        <f>-H25</f>
        <v>-1.0597042857142858</v>
      </c>
      <c r="E57" s="1419">
        <f>D57</f>
        <v>-1.0597042857142858</v>
      </c>
      <c r="F57" s="1419">
        <f t="shared" ref="F57:O57" si="72">E57</f>
        <v>-1.0597042857142858</v>
      </c>
      <c r="G57" s="1419">
        <f t="shared" si="72"/>
        <v>-1.0597042857142858</v>
      </c>
      <c r="H57" s="1419">
        <f t="shared" si="72"/>
        <v>-1.0597042857142858</v>
      </c>
      <c r="I57" s="1419">
        <f t="shared" si="72"/>
        <v>-1.0597042857142858</v>
      </c>
      <c r="J57" s="1419">
        <f t="shared" si="72"/>
        <v>-1.0597042857142858</v>
      </c>
      <c r="K57" s="1419">
        <f t="shared" si="72"/>
        <v>-1.0597042857142858</v>
      </c>
      <c r="L57" s="1419">
        <f t="shared" si="72"/>
        <v>-1.0597042857142858</v>
      </c>
      <c r="M57" s="1419">
        <f t="shared" si="72"/>
        <v>-1.0597042857142858</v>
      </c>
      <c r="N57" s="1419">
        <f t="shared" si="72"/>
        <v>-1.0597042857142858</v>
      </c>
      <c r="O57" s="1419">
        <f t="shared" si="72"/>
        <v>-1.0597042857142858</v>
      </c>
      <c r="P57" s="549">
        <f>SUM(D57:O57)</f>
        <v>-12.71645142857143</v>
      </c>
      <c r="Q57" s="528"/>
      <c r="R57" s="528"/>
    </row>
    <row r="58" spans="1:18" x14ac:dyDescent="0.25">
      <c r="B58" s="530" t="str">
        <f>B50</f>
        <v>Ending Fixed Assets</v>
      </c>
      <c r="C58" s="530"/>
      <c r="D58" s="1417">
        <f t="shared" ref="D58:O58" si="73">SUM(D54:D57)</f>
        <v>32.814655714285713</v>
      </c>
      <c r="E58" s="1417">
        <f t="shared" si="73"/>
        <v>31.754951428571427</v>
      </c>
      <c r="F58" s="1417">
        <f t="shared" si="73"/>
        <v>30.695247142857141</v>
      </c>
      <c r="G58" s="1417">
        <f t="shared" si="73"/>
        <v>29.635542857142855</v>
      </c>
      <c r="H58" s="1417">
        <f t="shared" si="73"/>
        <v>28.575838571428569</v>
      </c>
      <c r="I58" s="1417">
        <f t="shared" si="73"/>
        <v>27.516134285714283</v>
      </c>
      <c r="J58" s="1417">
        <f t="shared" si="73"/>
        <v>26.456429999999997</v>
      </c>
      <c r="K58" s="1417">
        <f t="shared" si="73"/>
        <v>25.396725714285711</v>
      </c>
      <c r="L58" s="1417">
        <f t="shared" si="73"/>
        <v>24.337021428571425</v>
      </c>
      <c r="M58" s="1417">
        <f t="shared" si="73"/>
        <v>23.277317142857139</v>
      </c>
      <c r="N58" s="1417">
        <f t="shared" si="73"/>
        <v>22.217612857142853</v>
      </c>
      <c r="O58" s="1417">
        <f t="shared" si="73"/>
        <v>21.157908571428568</v>
      </c>
      <c r="P58" s="528"/>
      <c r="Q58" s="528"/>
      <c r="R58" s="528"/>
    </row>
    <row r="59" spans="1:18" x14ac:dyDescent="0.25">
      <c r="B59" s="528"/>
      <c r="C59" s="530"/>
      <c r="D59" s="530"/>
      <c r="E59" s="530"/>
      <c r="F59" s="530"/>
      <c r="G59" s="530"/>
      <c r="H59" s="530"/>
      <c r="I59" s="808"/>
      <c r="J59" s="530"/>
      <c r="K59" s="530"/>
      <c r="L59" s="530"/>
      <c r="M59" s="530"/>
      <c r="N59" s="530"/>
      <c r="O59" s="530"/>
      <c r="P59" s="528"/>
      <c r="Q59" s="528"/>
      <c r="R59" s="528"/>
    </row>
    <row r="60" spans="1:18" x14ac:dyDescent="0.25">
      <c r="A60" s="107" t="s">
        <v>218</v>
      </c>
      <c r="B60" s="528"/>
      <c r="C60" s="530"/>
      <c r="D60" s="530"/>
      <c r="E60" s="530"/>
      <c r="F60" s="530"/>
      <c r="G60" s="530"/>
      <c r="H60" s="530"/>
      <c r="I60" s="808"/>
      <c r="J60" s="530"/>
      <c r="K60" s="530"/>
      <c r="L60" s="530"/>
      <c r="M60" s="530"/>
      <c r="N60" s="530"/>
      <c r="O60" s="530"/>
      <c r="P60" s="528"/>
      <c r="Q60" s="528"/>
      <c r="R60" s="528"/>
    </row>
    <row r="61" spans="1:18" x14ac:dyDescent="0.25">
      <c r="B61" s="820" t="s">
        <v>211</v>
      </c>
      <c r="C61" s="821"/>
      <c r="D61" s="552" t="s">
        <v>212</v>
      </c>
      <c r="E61" s="552" t="s">
        <v>213</v>
      </c>
      <c r="F61" s="552" t="s">
        <v>214</v>
      </c>
      <c r="G61" s="552" t="s">
        <v>215</v>
      </c>
      <c r="H61" s="530"/>
      <c r="I61" s="808"/>
      <c r="J61" s="530"/>
      <c r="K61" s="530"/>
      <c r="L61" s="530"/>
      <c r="M61" s="530"/>
      <c r="N61" s="530"/>
      <c r="O61" s="530"/>
      <c r="P61" s="528"/>
      <c r="Q61" s="528"/>
      <c r="R61" s="528"/>
    </row>
    <row r="62" spans="1:18" x14ac:dyDescent="0.25">
      <c r="B62" s="530" t="str">
        <f>B54</f>
        <v>Beg. Fixed Assets</v>
      </c>
      <c r="C62" s="817"/>
      <c r="D62" s="1417">
        <f>O58</f>
        <v>21.157908571428568</v>
      </c>
      <c r="E62" s="1418">
        <f>D65</f>
        <v>245.2287957142857</v>
      </c>
      <c r="F62" s="1418">
        <f>E65</f>
        <v>214.29968285714284</v>
      </c>
      <c r="G62" s="1418">
        <f>F65</f>
        <v>183.37056999999999</v>
      </c>
      <c r="H62" s="530"/>
      <c r="I62" s="808"/>
      <c r="J62" s="530"/>
      <c r="K62" s="530"/>
      <c r="L62" s="530"/>
      <c r="M62" s="530"/>
      <c r="N62" s="530"/>
      <c r="O62" s="530"/>
      <c r="P62" s="528"/>
      <c r="Q62" s="528"/>
      <c r="R62" s="528"/>
    </row>
    <row r="63" spans="1:18" x14ac:dyDescent="0.25">
      <c r="B63" s="530"/>
      <c r="C63" s="530" t="str">
        <f>C56</f>
        <v>Cap. Exp.</v>
      </c>
      <c r="D63" s="1417">
        <f>D19</f>
        <v>255</v>
      </c>
      <c r="E63" s="1418">
        <v>0</v>
      </c>
      <c r="F63" s="1418">
        <v>0</v>
      </c>
      <c r="G63" s="1418">
        <v>0</v>
      </c>
      <c r="H63" s="530"/>
      <c r="I63" s="808"/>
      <c r="J63" s="530"/>
      <c r="K63" s="530"/>
      <c r="L63" s="530"/>
      <c r="M63" s="530"/>
      <c r="N63" s="530"/>
      <c r="O63" s="530"/>
      <c r="P63" s="528"/>
      <c r="Q63" s="528"/>
      <c r="R63" s="528"/>
    </row>
    <row r="64" spans="1:18" x14ac:dyDescent="0.25">
      <c r="B64" s="530"/>
      <c r="C64" s="530" t="str">
        <f>C57</f>
        <v>Depr.</v>
      </c>
      <c r="D64" s="1419">
        <f>-I26</f>
        <v>-30.929112857142858</v>
      </c>
      <c r="E64" s="1419">
        <f>D64</f>
        <v>-30.929112857142858</v>
      </c>
      <c r="F64" s="1419">
        <f>E64</f>
        <v>-30.929112857142858</v>
      </c>
      <c r="G64" s="1419">
        <f>F64</f>
        <v>-30.929112857142858</v>
      </c>
      <c r="H64" s="530"/>
      <c r="I64" s="808"/>
      <c r="J64" s="530"/>
      <c r="K64" s="530"/>
      <c r="L64" s="530"/>
      <c r="M64" s="530"/>
      <c r="N64" s="530"/>
      <c r="O64" s="530"/>
      <c r="P64" s="549">
        <f>SUM(D64:O64)</f>
        <v>-123.71645142857143</v>
      </c>
      <c r="Q64" s="528"/>
      <c r="R64" s="528"/>
    </row>
    <row r="65" spans="1:18" x14ac:dyDescent="0.25">
      <c r="B65" s="530" t="str">
        <f>B58</f>
        <v>Ending Fixed Assets</v>
      </c>
      <c r="C65" s="530"/>
      <c r="D65" s="1417">
        <f>SUM(D62:D64)</f>
        <v>245.2287957142857</v>
      </c>
      <c r="E65" s="1417">
        <f>SUM(E62:E64)</f>
        <v>214.29968285714284</v>
      </c>
      <c r="F65" s="1417">
        <f>SUM(F62:F64)</f>
        <v>183.37056999999999</v>
      </c>
      <c r="G65" s="1417">
        <f>SUM(G62:G64)</f>
        <v>152.44145714285713</v>
      </c>
      <c r="H65" s="530"/>
      <c r="I65" s="808"/>
      <c r="J65" s="530"/>
      <c r="K65" s="530"/>
      <c r="L65" s="530"/>
      <c r="M65" s="530"/>
      <c r="N65" s="530"/>
      <c r="O65" s="530"/>
      <c r="P65" s="528"/>
      <c r="Q65" s="528"/>
      <c r="R65" s="528"/>
    </row>
    <row r="66" spans="1:18" x14ac:dyDescent="0.25">
      <c r="B66" s="530"/>
      <c r="C66" s="530"/>
      <c r="D66" s="826"/>
      <c r="E66" s="826"/>
      <c r="F66" s="826"/>
      <c r="G66" s="530"/>
      <c r="H66" s="530"/>
      <c r="I66" s="808"/>
      <c r="J66" s="530"/>
      <c r="K66" s="530"/>
      <c r="L66" s="530"/>
      <c r="M66" s="530"/>
      <c r="N66" s="530"/>
      <c r="O66" s="530"/>
      <c r="P66" s="528"/>
      <c r="Q66" s="528"/>
      <c r="R66" s="528"/>
    </row>
    <row r="67" spans="1:18" x14ac:dyDescent="0.25">
      <c r="A67" s="1" t="s">
        <v>210</v>
      </c>
      <c r="B67" s="528"/>
      <c r="C67" s="530"/>
      <c r="D67" s="530">
        <f>IF(D46&lt;=0,1,0)</f>
        <v>0</v>
      </c>
      <c r="E67" s="530">
        <f t="shared" ref="E67:O67" si="74">IF(E46&lt;=0,1,0)</f>
        <v>1</v>
      </c>
      <c r="F67" s="530">
        <f t="shared" si="74"/>
        <v>1</v>
      </c>
      <c r="G67" s="530">
        <f t="shared" si="74"/>
        <v>1</v>
      </c>
      <c r="H67" s="530">
        <f t="shared" si="74"/>
        <v>1</v>
      </c>
      <c r="I67" s="530">
        <f t="shared" si="74"/>
        <v>1</v>
      </c>
      <c r="J67" s="530">
        <f t="shared" si="74"/>
        <v>1</v>
      </c>
      <c r="K67" s="530">
        <f t="shared" si="74"/>
        <v>1</v>
      </c>
      <c r="L67" s="530">
        <f t="shared" si="74"/>
        <v>1</v>
      </c>
      <c r="M67" s="530">
        <f t="shared" si="74"/>
        <v>1</v>
      </c>
      <c r="N67" s="530">
        <f t="shared" si="74"/>
        <v>1</v>
      </c>
      <c r="O67" s="530">
        <f t="shared" si="74"/>
        <v>0</v>
      </c>
      <c r="P67" s="528"/>
      <c r="Q67" s="528"/>
      <c r="R67" s="528"/>
    </row>
    <row r="68" spans="1:18" x14ac:dyDescent="0.25">
      <c r="B68" s="528"/>
      <c r="C68" s="530"/>
      <c r="D68" s="530"/>
      <c r="E68" s="530"/>
      <c r="F68" s="530"/>
      <c r="G68" s="530"/>
      <c r="H68" s="530"/>
      <c r="I68" s="808"/>
      <c r="J68" s="530"/>
      <c r="K68" s="530"/>
      <c r="L68" s="530"/>
      <c r="M68" s="530"/>
      <c r="N68" s="530"/>
      <c r="O68" s="530"/>
      <c r="P68" s="528"/>
      <c r="Q68" s="528"/>
      <c r="R68" s="528"/>
    </row>
    <row r="69" spans="1:18" x14ac:dyDescent="0.25">
      <c r="B69" s="528"/>
      <c r="C69" s="530"/>
      <c r="D69" s="530"/>
      <c r="E69" s="530"/>
      <c r="F69" s="530"/>
      <c r="G69" s="530"/>
      <c r="H69" s="530"/>
      <c r="I69" s="808"/>
      <c r="J69" s="530"/>
      <c r="K69" s="530"/>
      <c r="L69" s="530"/>
      <c r="M69" s="530"/>
      <c r="N69" s="530"/>
      <c r="O69" s="530"/>
      <c r="P69" s="528"/>
      <c r="Q69" s="528"/>
      <c r="R69" s="528"/>
    </row>
    <row r="70" spans="1:18" x14ac:dyDescent="0.25">
      <c r="B70" s="528"/>
      <c r="C70" s="528"/>
      <c r="D70" s="528"/>
      <c r="E70" s="528"/>
      <c r="F70" s="528"/>
      <c r="G70" s="528"/>
      <c r="H70" s="528"/>
      <c r="I70" s="531"/>
      <c r="J70" s="528"/>
      <c r="K70" s="528"/>
      <c r="L70" s="528"/>
      <c r="M70" s="528"/>
      <c r="N70" s="528"/>
      <c r="O70" s="528"/>
      <c r="P70" s="528"/>
      <c r="Q70" s="528"/>
      <c r="R70" s="528"/>
    </row>
    <row r="71" spans="1:18" x14ac:dyDescent="0.25">
      <c r="B71" s="528"/>
      <c r="C71" s="528"/>
      <c r="D71" s="528"/>
      <c r="E71" s="528"/>
      <c r="F71" s="528"/>
      <c r="G71" s="528"/>
      <c r="H71" s="528"/>
      <c r="I71" s="531"/>
      <c r="J71" s="528"/>
      <c r="K71" s="528"/>
      <c r="L71" s="528"/>
      <c r="M71" s="528"/>
      <c r="N71" s="528"/>
      <c r="O71" s="528"/>
      <c r="P71" s="528"/>
      <c r="Q71" s="528"/>
      <c r="R71" s="528"/>
    </row>
    <row r="72" spans="1:18" x14ac:dyDescent="0.25">
      <c r="B72" s="528"/>
      <c r="C72" s="528"/>
      <c r="D72" s="528"/>
      <c r="E72" s="528"/>
      <c r="F72" s="528"/>
      <c r="G72" s="528"/>
      <c r="H72" s="528"/>
      <c r="I72" s="531"/>
      <c r="J72" s="528"/>
      <c r="K72" s="528"/>
      <c r="L72" s="528"/>
      <c r="M72" s="528"/>
      <c r="N72" s="528"/>
      <c r="O72" s="528"/>
      <c r="P72" s="528"/>
      <c r="Q72" s="528"/>
      <c r="R72" s="528"/>
    </row>
    <row r="73" spans="1:18" x14ac:dyDescent="0.25">
      <c r="B73" s="528"/>
      <c r="C73" s="528"/>
      <c r="D73" s="528"/>
      <c r="E73" s="528"/>
      <c r="F73" s="528"/>
      <c r="G73" s="528"/>
      <c r="H73" s="528"/>
      <c r="I73" s="531"/>
      <c r="J73" s="528"/>
      <c r="K73" s="528"/>
      <c r="L73" s="528"/>
      <c r="M73" s="528"/>
      <c r="N73" s="528"/>
      <c r="O73" s="528"/>
      <c r="P73" s="528"/>
      <c r="Q73" s="528"/>
      <c r="R73" s="528"/>
    </row>
    <row r="74" spans="1:18" x14ac:dyDescent="0.25">
      <c r="B74" s="528"/>
      <c r="C74" s="528"/>
      <c r="D74" s="528"/>
      <c r="E74" s="528"/>
      <c r="F74" s="528"/>
      <c r="G74" s="528"/>
      <c r="H74" s="528"/>
      <c r="I74" s="531"/>
      <c r="J74" s="528"/>
      <c r="K74" s="528"/>
      <c r="L74" s="528"/>
      <c r="M74" s="528"/>
      <c r="N74" s="528"/>
      <c r="O74" s="528"/>
      <c r="P74" s="528"/>
      <c r="Q74" s="528"/>
      <c r="R74" s="528"/>
    </row>
    <row r="75" spans="1:18" x14ac:dyDescent="0.25">
      <c r="B75" s="528"/>
      <c r="C75" s="528"/>
      <c r="D75" s="528"/>
      <c r="E75" s="528"/>
      <c r="F75" s="528"/>
      <c r="G75" s="528"/>
      <c r="H75" s="528"/>
      <c r="I75" s="531"/>
      <c r="J75" s="528"/>
      <c r="K75" s="528"/>
      <c r="L75" s="528"/>
      <c r="M75" s="528"/>
      <c r="N75" s="528"/>
      <c r="O75" s="528"/>
      <c r="P75" s="528"/>
      <c r="Q75" s="528"/>
      <c r="R75" s="528"/>
    </row>
    <row r="76" spans="1:18" x14ac:dyDescent="0.25">
      <c r="B76" s="528"/>
      <c r="C76" s="528"/>
      <c r="D76" s="528"/>
      <c r="E76" s="528"/>
      <c r="F76" s="528"/>
      <c r="G76" s="528"/>
      <c r="H76" s="528"/>
      <c r="I76" s="531"/>
      <c r="J76" s="528"/>
      <c r="K76" s="528"/>
      <c r="L76" s="528"/>
      <c r="M76" s="528"/>
      <c r="N76" s="528"/>
      <c r="O76" s="528"/>
      <c r="P76" s="528"/>
      <c r="Q76" s="528"/>
      <c r="R76" s="528"/>
    </row>
    <row r="77" spans="1:18" x14ac:dyDescent="0.25">
      <c r="B77" s="528"/>
      <c r="C77" s="528"/>
      <c r="D77" s="528"/>
      <c r="E77" s="528"/>
      <c r="F77" s="528"/>
      <c r="G77" s="528"/>
      <c r="H77" s="528"/>
      <c r="I77" s="531"/>
      <c r="J77" s="528"/>
      <c r="K77" s="528"/>
      <c r="L77" s="528"/>
      <c r="M77" s="528"/>
      <c r="N77" s="528"/>
      <c r="O77" s="528"/>
      <c r="P77" s="528"/>
      <c r="Q77" s="528"/>
      <c r="R77" s="528"/>
    </row>
    <row r="78" spans="1:18" x14ac:dyDescent="0.25">
      <c r="B78" s="528"/>
      <c r="C78" s="528"/>
      <c r="D78" s="528"/>
      <c r="E78" s="528"/>
      <c r="F78" s="528"/>
      <c r="G78" s="528"/>
      <c r="H78" s="528"/>
      <c r="I78" s="531"/>
      <c r="J78" s="528"/>
      <c r="K78" s="528"/>
      <c r="L78" s="528"/>
      <c r="M78" s="528"/>
      <c r="N78" s="528"/>
      <c r="O78" s="528"/>
      <c r="P78" s="528"/>
      <c r="Q78" s="528"/>
      <c r="R78" s="528"/>
    </row>
    <row r="79" spans="1:18" x14ac:dyDescent="0.25">
      <c r="B79" s="528"/>
      <c r="C79" s="528"/>
      <c r="D79" s="528"/>
      <c r="E79" s="528"/>
      <c r="F79" s="528"/>
      <c r="G79" s="528"/>
      <c r="H79" s="528"/>
      <c r="I79" s="531"/>
      <c r="J79" s="528"/>
      <c r="K79" s="528"/>
      <c r="L79" s="528"/>
      <c r="M79" s="528"/>
      <c r="N79" s="528"/>
      <c r="O79" s="528"/>
      <c r="P79" s="528"/>
      <c r="Q79" s="528"/>
      <c r="R79" s="528"/>
    </row>
    <row r="80" spans="1:18" x14ac:dyDescent="0.25">
      <c r="B80" s="528"/>
      <c r="C80" s="528"/>
      <c r="D80" s="528"/>
      <c r="E80" s="528"/>
      <c r="F80" s="528"/>
      <c r="G80" s="528"/>
      <c r="H80" s="528"/>
      <c r="I80" s="531"/>
      <c r="J80" s="528"/>
      <c r="K80" s="528"/>
      <c r="L80" s="528"/>
      <c r="M80" s="528"/>
      <c r="N80" s="528"/>
      <c r="O80" s="528"/>
      <c r="P80" s="528"/>
      <c r="Q80" s="528"/>
      <c r="R80" s="528"/>
    </row>
    <row r="81" spans="2:18" x14ac:dyDescent="0.25">
      <c r="B81" s="528"/>
      <c r="C81" s="528"/>
      <c r="D81" s="528"/>
      <c r="E81" s="528"/>
      <c r="F81" s="528"/>
      <c r="G81" s="528"/>
      <c r="H81" s="528"/>
      <c r="I81" s="531"/>
      <c r="J81" s="528"/>
      <c r="K81" s="528"/>
      <c r="L81" s="528"/>
      <c r="M81" s="528"/>
      <c r="N81" s="528"/>
      <c r="O81" s="528"/>
      <c r="P81" s="528"/>
      <c r="Q81" s="528"/>
      <c r="R81" s="528"/>
    </row>
    <row r="82" spans="2:18" x14ac:dyDescent="0.25">
      <c r="B82" s="528"/>
      <c r="C82" s="528"/>
      <c r="D82" s="528"/>
      <c r="E82" s="528"/>
      <c r="F82" s="528"/>
      <c r="G82" s="528"/>
      <c r="H82" s="528"/>
      <c r="I82" s="531"/>
      <c r="J82" s="528"/>
      <c r="K82" s="528"/>
      <c r="L82" s="528"/>
      <c r="M82" s="528"/>
      <c r="N82" s="528"/>
      <c r="O82" s="528"/>
      <c r="P82" s="528"/>
      <c r="Q82" s="528"/>
      <c r="R82" s="528"/>
    </row>
    <row r="83" spans="2:18" x14ac:dyDescent="0.25">
      <c r="B83" s="528"/>
      <c r="C83" s="528"/>
      <c r="D83" s="528"/>
      <c r="E83" s="528"/>
      <c r="F83" s="528"/>
      <c r="G83" s="528"/>
      <c r="H83" s="528"/>
      <c r="I83" s="531"/>
      <c r="J83" s="528"/>
      <c r="K83" s="528"/>
      <c r="L83" s="528"/>
      <c r="M83" s="528"/>
      <c r="N83" s="528"/>
      <c r="O83" s="528"/>
      <c r="P83" s="528"/>
      <c r="Q83" s="528"/>
      <c r="R83" s="528"/>
    </row>
    <row r="84" spans="2:18" x14ac:dyDescent="0.25">
      <c r="B84" s="528"/>
      <c r="C84" s="528"/>
      <c r="D84" s="528"/>
      <c r="E84" s="528"/>
      <c r="F84" s="528"/>
      <c r="G84" s="528"/>
      <c r="H84" s="528"/>
      <c r="I84" s="531"/>
      <c r="J84" s="528"/>
      <c r="K84" s="528"/>
      <c r="L84" s="528"/>
      <c r="M84" s="528"/>
      <c r="N84" s="528"/>
      <c r="O84" s="528"/>
      <c r="P84" s="528"/>
      <c r="Q84" s="528"/>
      <c r="R84" s="528"/>
    </row>
    <row r="85" spans="2:18" x14ac:dyDescent="0.25">
      <c r="B85" s="528"/>
      <c r="C85" s="528"/>
      <c r="D85" s="528"/>
      <c r="E85" s="528"/>
      <c r="F85" s="528"/>
      <c r="G85" s="528"/>
      <c r="H85" s="528"/>
      <c r="I85" s="531"/>
      <c r="J85" s="528"/>
      <c r="K85" s="528"/>
      <c r="L85" s="528"/>
      <c r="M85" s="528"/>
      <c r="N85" s="528"/>
      <c r="O85" s="528"/>
      <c r="P85" s="528"/>
      <c r="Q85" s="528"/>
      <c r="R85" s="528"/>
    </row>
    <row r="86" spans="2:18" x14ac:dyDescent="0.25">
      <c r="B86" s="528"/>
      <c r="C86" s="528"/>
      <c r="D86" s="528"/>
      <c r="E86" s="528"/>
      <c r="F86" s="528"/>
      <c r="G86" s="528"/>
      <c r="H86" s="528"/>
      <c r="I86" s="531"/>
      <c r="J86" s="528"/>
      <c r="K86" s="528"/>
      <c r="L86" s="528"/>
      <c r="M86" s="528"/>
      <c r="N86" s="528"/>
      <c r="O86" s="528"/>
      <c r="P86" s="528"/>
      <c r="Q86" s="528"/>
      <c r="R86" s="528"/>
    </row>
    <row r="87" spans="2:18" x14ac:dyDescent="0.25">
      <c r="B87" s="528"/>
      <c r="C87" s="528"/>
      <c r="D87" s="528"/>
      <c r="E87" s="528"/>
      <c r="F87" s="528"/>
      <c r="G87" s="528"/>
      <c r="H87" s="528"/>
      <c r="I87" s="531"/>
      <c r="J87" s="528"/>
      <c r="K87" s="528"/>
      <c r="L87" s="528"/>
      <c r="M87" s="528"/>
      <c r="N87" s="528"/>
      <c r="O87" s="528"/>
      <c r="P87" s="528"/>
      <c r="Q87" s="528"/>
      <c r="R87" s="528"/>
    </row>
    <row r="88" spans="2:18" x14ac:dyDescent="0.25">
      <c r="B88" s="528"/>
      <c r="C88" s="528"/>
      <c r="D88" s="528"/>
      <c r="E88" s="528"/>
      <c r="F88" s="528"/>
      <c r="G88" s="528"/>
      <c r="H88" s="528"/>
      <c r="I88" s="531"/>
      <c r="J88" s="528"/>
      <c r="K88" s="528"/>
      <c r="L88" s="528"/>
      <c r="M88" s="528"/>
      <c r="N88" s="528"/>
      <c r="O88" s="528"/>
      <c r="P88" s="528"/>
      <c r="Q88" s="528"/>
      <c r="R88" s="528"/>
    </row>
    <row r="89" spans="2:18" x14ac:dyDescent="0.25">
      <c r="B89" s="528"/>
      <c r="C89" s="528"/>
      <c r="D89" s="528"/>
      <c r="E89" s="528"/>
      <c r="F89" s="528"/>
      <c r="G89" s="528"/>
      <c r="H89" s="528"/>
      <c r="I89" s="531"/>
      <c r="J89" s="528"/>
      <c r="K89" s="528"/>
      <c r="L89" s="528"/>
      <c r="M89" s="528"/>
      <c r="N89" s="528"/>
      <c r="O89" s="528"/>
      <c r="P89" s="528"/>
      <c r="Q89" s="528"/>
      <c r="R89" s="528"/>
    </row>
    <row r="90" spans="2:18" x14ac:dyDescent="0.25">
      <c r="B90" s="528"/>
      <c r="C90" s="528"/>
      <c r="D90" s="528"/>
      <c r="E90" s="528"/>
      <c r="F90" s="528"/>
      <c r="G90" s="528"/>
      <c r="H90" s="528"/>
      <c r="I90" s="531"/>
      <c r="J90" s="528"/>
      <c r="K90" s="528"/>
      <c r="L90" s="528"/>
      <c r="M90" s="528"/>
      <c r="N90" s="528"/>
      <c r="O90" s="528"/>
      <c r="P90" s="528"/>
      <c r="Q90" s="528"/>
      <c r="R90" s="528"/>
    </row>
    <row r="91" spans="2:18" x14ac:dyDescent="0.25">
      <c r="B91" s="528"/>
      <c r="C91" s="528"/>
      <c r="D91" s="528"/>
      <c r="E91" s="528"/>
      <c r="F91" s="528"/>
      <c r="G91" s="528"/>
      <c r="H91" s="528"/>
      <c r="I91" s="531"/>
      <c r="J91" s="528"/>
      <c r="K91" s="528"/>
      <c r="L91" s="528"/>
      <c r="M91" s="528"/>
      <c r="N91" s="528"/>
      <c r="O91" s="528"/>
      <c r="P91" s="528"/>
      <c r="Q91" s="528"/>
      <c r="R91" s="528"/>
    </row>
    <row r="92" spans="2:18" x14ac:dyDescent="0.25">
      <c r="B92" s="528"/>
      <c r="C92" s="528"/>
      <c r="D92" s="528"/>
      <c r="E92" s="528"/>
      <c r="F92" s="528"/>
      <c r="G92" s="528"/>
      <c r="H92" s="528"/>
      <c r="I92" s="531"/>
      <c r="J92" s="528"/>
      <c r="K92" s="528"/>
      <c r="L92" s="528"/>
      <c r="M92" s="528"/>
      <c r="N92" s="528"/>
      <c r="O92" s="528"/>
      <c r="P92" s="528"/>
      <c r="Q92" s="528"/>
      <c r="R92" s="528"/>
    </row>
    <row r="93" spans="2:18" x14ac:dyDescent="0.25">
      <c r="B93" s="528"/>
      <c r="C93" s="528"/>
      <c r="D93" s="528"/>
      <c r="E93" s="528"/>
      <c r="F93" s="528"/>
      <c r="G93" s="528"/>
      <c r="H93" s="528"/>
      <c r="I93" s="531"/>
      <c r="J93" s="528"/>
      <c r="K93" s="528"/>
      <c r="L93" s="528"/>
      <c r="M93" s="528"/>
      <c r="N93" s="528"/>
      <c r="O93" s="528"/>
      <c r="P93" s="528"/>
      <c r="Q93" s="528"/>
      <c r="R93" s="528"/>
    </row>
    <row r="94" spans="2:18" x14ac:dyDescent="0.25">
      <c r="B94" s="528"/>
      <c r="C94" s="528"/>
      <c r="D94" s="528"/>
      <c r="E94" s="528"/>
      <c r="F94" s="528"/>
      <c r="G94" s="528"/>
      <c r="H94" s="528"/>
      <c r="I94" s="531"/>
      <c r="J94" s="528"/>
      <c r="K94" s="528"/>
      <c r="L94" s="528"/>
      <c r="M94" s="528"/>
      <c r="N94" s="528"/>
      <c r="O94" s="528"/>
      <c r="P94" s="528"/>
      <c r="Q94" s="528"/>
      <c r="R94" s="528"/>
    </row>
    <row r="95" spans="2:18" x14ac:dyDescent="0.25">
      <c r="B95" s="528"/>
      <c r="C95" s="528"/>
      <c r="D95" s="528"/>
      <c r="E95" s="528"/>
      <c r="F95" s="528"/>
      <c r="G95" s="528"/>
      <c r="H95" s="528"/>
      <c r="I95" s="531"/>
      <c r="J95" s="528"/>
      <c r="K95" s="528"/>
      <c r="L95" s="528"/>
      <c r="M95" s="528"/>
      <c r="N95" s="528"/>
      <c r="O95" s="528"/>
      <c r="P95" s="528"/>
      <c r="Q95" s="528"/>
      <c r="R95" s="528"/>
    </row>
    <row r="96" spans="2:18" x14ac:dyDescent="0.25">
      <c r="B96" s="528"/>
      <c r="C96" s="528"/>
      <c r="D96" s="528"/>
      <c r="E96" s="528"/>
      <c r="F96" s="528"/>
      <c r="G96" s="528"/>
      <c r="H96" s="528"/>
      <c r="I96" s="531"/>
      <c r="J96" s="528"/>
      <c r="K96" s="528"/>
      <c r="L96" s="528"/>
      <c r="M96" s="528"/>
      <c r="N96" s="528"/>
      <c r="O96" s="528"/>
      <c r="P96" s="528"/>
      <c r="Q96" s="528"/>
      <c r="R96" s="528"/>
    </row>
    <row r="97" spans="2:18" x14ac:dyDescent="0.25">
      <c r="B97" s="528"/>
      <c r="C97" s="528"/>
      <c r="D97" s="528"/>
      <c r="E97" s="528"/>
      <c r="F97" s="528"/>
      <c r="G97" s="528"/>
      <c r="H97" s="528"/>
      <c r="I97" s="531"/>
      <c r="J97" s="528"/>
      <c r="K97" s="528"/>
      <c r="L97" s="528"/>
      <c r="M97" s="528"/>
      <c r="N97" s="528"/>
      <c r="O97" s="528"/>
      <c r="P97" s="528"/>
      <c r="Q97" s="528"/>
      <c r="R97" s="528"/>
    </row>
    <row r="98" spans="2:18" x14ac:dyDescent="0.25">
      <c r="B98" s="528"/>
      <c r="C98" s="528"/>
      <c r="D98" s="528"/>
      <c r="E98" s="528"/>
      <c r="F98" s="528"/>
      <c r="G98" s="528"/>
      <c r="H98" s="528"/>
      <c r="I98" s="531"/>
      <c r="J98" s="528"/>
      <c r="K98" s="528"/>
      <c r="L98" s="528"/>
      <c r="M98" s="528"/>
      <c r="N98" s="528"/>
      <c r="O98" s="528"/>
      <c r="P98" s="528"/>
      <c r="Q98" s="528"/>
      <c r="R98" s="528"/>
    </row>
    <row r="99" spans="2:18" x14ac:dyDescent="0.25">
      <c r="B99" s="528"/>
      <c r="C99" s="528"/>
      <c r="D99" s="528"/>
      <c r="E99" s="528"/>
      <c r="F99" s="528"/>
      <c r="G99" s="528"/>
      <c r="H99" s="528"/>
      <c r="I99" s="531"/>
      <c r="J99" s="528"/>
      <c r="K99" s="528"/>
      <c r="L99" s="528"/>
      <c r="M99" s="528"/>
      <c r="N99" s="528"/>
      <c r="O99" s="528"/>
      <c r="P99" s="528"/>
      <c r="Q99" s="528"/>
      <c r="R99" s="528"/>
    </row>
    <row r="100" spans="2:18" x14ac:dyDescent="0.25">
      <c r="B100" s="528"/>
      <c r="C100" s="528"/>
      <c r="D100" s="528"/>
      <c r="E100" s="528"/>
      <c r="F100" s="528"/>
      <c r="G100" s="528"/>
      <c r="H100" s="528"/>
      <c r="I100" s="531"/>
      <c r="J100" s="528"/>
      <c r="K100" s="528"/>
      <c r="L100" s="528"/>
      <c r="M100" s="528"/>
      <c r="N100" s="528"/>
      <c r="O100" s="528"/>
      <c r="P100" s="528"/>
      <c r="Q100" s="528"/>
      <c r="R100" s="528"/>
    </row>
    <row r="101" spans="2:18" x14ac:dyDescent="0.25">
      <c r="B101" s="528"/>
      <c r="C101" s="528"/>
      <c r="D101" s="528"/>
      <c r="E101" s="528"/>
      <c r="F101" s="528"/>
      <c r="G101" s="528"/>
      <c r="H101" s="528"/>
      <c r="I101" s="531"/>
      <c r="J101" s="528"/>
      <c r="K101" s="528"/>
      <c r="L101" s="528"/>
      <c r="M101" s="528"/>
      <c r="N101" s="528"/>
      <c r="O101" s="528"/>
      <c r="P101" s="528"/>
      <c r="Q101" s="528"/>
      <c r="R101" s="528"/>
    </row>
    <row r="102" spans="2:18" x14ac:dyDescent="0.25">
      <c r="B102" s="528"/>
      <c r="C102" s="528"/>
      <c r="D102" s="528"/>
      <c r="E102" s="528"/>
      <c r="F102" s="528"/>
      <c r="G102" s="528"/>
      <c r="H102" s="528"/>
      <c r="I102" s="531"/>
      <c r="J102" s="528"/>
      <c r="K102" s="528"/>
      <c r="L102" s="528"/>
      <c r="M102" s="528"/>
      <c r="N102" s="528"/>
      <c r="O102" s="528"/>
      <c r="P102" s="528"/>
      <c r="Q102" s="528"/>
      <c r="R102" s="528"/>
    </row>
    <row r="103" spans="2:18" x14ac:dyDescent="0.25">
      <c r="B103" s="528"/>
      <c r="C103" s="528"/>
      <c r="D103" s="528"/>
      <c r="E103" s="528"/>
      <c r="F103" s="528"/>
      <c r="G103" s="528"/>
      <c r="H103" s="528"/>
      <c r="I103" s="531"/>
      <c r="J103" s="528"/>
      <c r="K103" s="528"/>
      <c r="L103" s="528"/>
      <c r="M103" s="528"/>
      <c r="N103" s="528"/>
      <c r="O103" s="528"/>
      <c r="P103" s="528"/>
      <c r="Q103" s="528"/>
      <c r="R103" s="528"/>
    </row>
    <row r="104" spans="2:18" x14ac:dyDescent="0.25">
      <c r="B104" s="528"/>
      <c r="C104" s="528"/>
      <c r="D104" s="528"/>
      <c r="E104" s="528"/>
      <c r="F104" s="528"/>
      <c r="G104" s="528"/>
      <c r="H104" s="528"/>
      <c r="I104" s="531"/>
      <c r="J104" s="528"/>
      <c r="K104" s="528"/>
      <c r="L104" s="528"/>
      <c r="M104" s="528"/>
      <c r="N104" s="528"/>
      <c r="O104" s="528"/>
      <c r="P104" s="528"/>
      <c r="Q104" s="528"/>
      <c r="R104" s="528"/>
    </row>
    <row r="105" spans="2:18" x14ac:dyDescent="0.25">
      <c r="B105" s="528"/>
      <c r="C105" s="528"/>
      <c r="D105" s="528"/>
      <c r="E105" s="528"/>
      <c r="F105" s="528"/>
      <c r="G105" s="528"/>
      <c r="H105" s="528"/>
      <c r="I105" s="531"/>
      <c r="J105" s="528"/>
      <c r="K105" s="528"/>
      <c r="L105" s="528"/>
      <c r="M105" s="528"/>
      <c r="N105" s="528"/>
      <c r="O105" s="528"/>
      <c r="P105" s="528"/>
      <c r="Q105" s="528"/>
      <c r="R105" s="528"/>
    </row>
    <row r="106" spans="2:18" x14ac:dyDescent="0.25">
      <c r="B106" s="528"/>
      <c r="C106" s="528"/>
      <c r="D106" s="528"/>
      <c r="E106" s="528"/>
      <c r="F106" s="528"/>
      <c r="G106" s="528"/>
      <c r="H106" s="528"/>
      <c r="I106" s="531"/>
      <c r="J106" s="528"/>
      <c r="K106" s="528"/>
      <c r="L106" s="528"/>
      <c r="M106" s="528"/>
      <c r="N106" s="528"/>
      <c r="O106" s="528"/>
      <c r="P106" s="528"/>
      <c r="Q106" s="528"/>
      <c r="R106" s="528"/>
    </row>
    <row r="107" spans="2:18" x14ac:dyDescent="0.25">
      <c r="B107" s="528"/>
      <c r="C107" s="528"/>
      <c r="D107" s="528"/>
      <c r="E107" s="528"/>
      <c r="F107" s="528"/>
      <c r="G107" s="528"/>
      <c r="H107" s="528"/>
      <c r="I107" s="531"/>
      <c r="J107" s="528"/>
      <c r="K107" s="528"/>
      <c r="L107" s="528"/>
      <c r="M107" s="528"/>
      <c r="N107" s="528"/>
      <c r="O107" s="528"/>
      <c r="P107" s="528"/>
      <c r="Q107" s="528"/>
      <c r="R107" s="528"/>
    </row>
    <row r="108" spans="2:18" x14ac:dyDescent="0.25">
      <c r="B108" s="528"/>
      <c r="C108" s="528"/>
      <c r="D108" s="528"/>
      <c r="E108" s="528"/>
      <c r="F108" s="528"/>
      <c r="G108" s="528"/>
      <c r="H108" s="528"/>
      <c r="I108" s="531"/>
      <c r="J108" s="528"/>
      <c r="K108" s="528"/>
      <c r="L108" s="528"/>
      <c r="M108" s="528"/>
      <c r="N108" s="528"/>
      <c r="O108" s="528"/>
      <c r="P108" s="528"/>
      <c r="Q108" s="528"/>
      <c r="R108" s="528"/>
    </row>
    <row r="109" spans="2:18" x14ac:dyDescent="0.25">
      <c r="B109" s="528"/>
      <c r="C109" s="528"/>
      <c r="D109" s="528"/>
      <c r="E109" s="528"/>
      <c r="F109" s="528"/>
      <c r="G109" s="528"/>
      <c r="H109" s="528"/>
      <c r="I109" s="531"/>
      <c r="J109" s="528"/>
      <c r="K109" s="528"/>
      <c r="L109" s="528"/>
      <c r="M109" s="528"/>
      <c r="N109" s="528"/>
      <c r="O109" s="528"/>
      <c r="P109" s="528"/>
      <c r="Q109" s="528"/>
      <c r="R109" s="528"/>
    </row>
    <row r="110" spans="2:18" x14ac:dyDescent="0.25">
      <c r="B110" s="528"/>
      <c r="C110" s="528"/>
      <c r="D110" s="528"/>
      <c r="E110" s="528"/>
      <c r="F110" s="528"/>
      <c r="G110" s="528"/>
      <c r="H110" s="528"/>
      <c r="I110" s="531"/>
      <c r="J110" s="528"/>
      <c r="K110" s="528"/>
      <c r="L110" s="528"/>
      <c r="M110" s="528"/>
      <c r="N110" s="528"/>
      <c r="O110" s="528"/>
      <c r="P110" s="528"/>
      <c r="Q110" s="528"/>
      <c r="R110" s="528"/>
    </row>
    <row r="111" spans="2:18" x14ac:dyDescent="0.25">
      <c r="B111" s="528"/>
      <c r="C111" s="528"/>
      <c r="D111" s="528"/>
      <c r="E111" s="528"/>
      <c r="F111" s="528"/>
      <c r="G111" s="528"/>
      <c r="H111" s="528"/>
      <c r="I111" s="531"/>
      <c r="J111" s="528"/>
      <c r="K111" s="528"/>
      <c r="L111" s="528"/>
      <c r="M111" s="528"/>
      <c r="N111" s="528"/>
      <c r="O111" s="528"/>
      <c r="P111" s="528"/>
      <c r="Q111" s="528"/>
      <c r="R111" s="528"/>
    </row>
    <row r="112" spans="2:18" x14ac:dyDescent="0.25">
      <c r="B112" s="528"/>
      <c r="C112" s="528"/>
      <c r="D112" s="528"/>
      <c r="E112" s="528"/>
      <c r="F112" s="528"/>
      <c r="G112" s="528"/>
      <c r="H112" s="528"/>
      <c r="I112" s="531"/>
      <c r="J112" s="528"/>
      <c r="K112" s="528"/>
      <c r="L112" s="528"/>
      <c r="M112" s="528"/>
      <c r="N112" s="528"/>
      <c r="O112" s="528"/>
      <c r="P112" s="528"/>
      <c r="Q112" s="528"/>
      <c r="R112" s="528"/>
    </row>
    <row r="113" spans="2:18" x14ac:dyDescent="0.25">
      <c r="B113" s="528"/>
      <c r="C113" s="528"/>
      <c r="D113" s="528"/>
      <c r="E113" s="528"/>
      <c r="F113" s="528"/>
      <c r="G113" s="528"/>
      <c r="H113" s="528"/>
      <c r="I113" s="531"/>
      <c r="J113" s="528"/>
      <c r="K113" s="528"/>
      <c r="L113" s="528"/>
      <c r="M113" s="528"/>
      <c r="N113" s="528"/>
      <c r="O113" s="528"/>
      <c r="P113" s="528"/>
      <c r="Q113" s="528"/>
      <c r="R113" s="528"/>
    </row>
    <row r="114" spans="2:18" x14ac:dyDescent="0.25">
      <c r="B114" s="528"/>
      <c r="C114" s="528"/>
      <c r="D114" s="528"/>
      <c r="E114" s="528"/>
      <c r="F114" s="528"/>
      <c r="G114" s="528"/>
      <c r="H114" s="528"/>
      <c r="I114" s="531"/>
      <c r="J114" s="528"/>
      <c r="K114" s="528"/>
      <c r="L114" s="528"/>
      <c r="M114" s="528"/>
      <c r="N114" s="528"/>
      <c r="O114" s="528"/>
      <c r="P114" s="528"/>
      <c r="Q114" s="528"/>
      <c r="R114" s="528"/>
    </row>
    <row r="115" spans="2:18" x14ac:dyDescent="0.25">
      <c r="B115" s="528"/>
      <c r="C115" s="528"/>
      <c r="D115" s="528"/>
      <c r="E115" s="528"/>
      <c r="F115" s="528"/>
      <c r="G115" s="528"/>
      <c r="H115" s="528"/>
      <c r="I115" s="531"/>
      <c r="J115" s="528"/>
      <c r="K115" s="528"/>
      <c r="L115" s="528"/>
      <c r="M115" s="528"/>
      <c r="N115" s="528"/>
      <c r="O115" s="528"/>
      <c r="P115" s="528"/>
      <c r="Q115" s="528"/>
      <c r="R115" s="528"/>
    </row>
    <row r="116" spans="2:18" x14ac:dyDescent="0.25">
      <c r="B116" s="528"/>
      <c r="C116" s="528"/>
      <c r="D116" s="528"/>
      <c r="E116" s="528"/>
      <c r="F116" s="528"/>
      <c r="G116" s="528"/>
      <c r="H116" s="528"/>
      <c r="I116" s="531"/>
      <c r="J116" s="528"/>
      <c r="K116" s="528"/>
      <c r="L116" s="528"/>
      <c r="M116" s="528"/>
      <c r="N116" s="528"/>
      <c r="O116" s="528"/>
      <c r="P116" s="528"/>
      <c r="Q116" s="528"/>
      <c r="R116" s="528"/>
    </row>
    <row r="117" spans="2:18" x14ac:dyDescent="0.25">
      <c r="B117" s="528"/>
      <c r="C117" s="528"/>
      <c r="D117" s="528"/>
      <c r="E117" s="528"/>
      <c r="F117" s="528"/>
      <c r="G117" s="528"/>
      <c r="H117" s="528"/>
      <c r="I117" s="531"/>
      <c r="J117" s="528"/>
      <c r="K117" s="528"/>
      <c r="L117" s="528"/>
      <c r="M117" s="528"/>
      <c r="N117" s="528"/>
      <c r="O117" s="528"/>
      <c r="P117" s="528"/>
      <c r="Q117" s="528"/>
      <c r="R117" s="528"/>
    </row>
    <row r="118" spans="2:18" x14ac:dyDescent="0.25">
      <c r="B118" s="528"/>
      <c r="C118" s="528"/>
      <c r="D118" s="528"/>
      <c r="E118" s="528"/>
      <c r="F118" s="528"/>
      <c r="G118" s="528"/>
      <c r="H118" s="528"/>
      <c r="I118" s="531"/>
      <c r="J118" s="528"/>
      <c r="K118" s="528"/>
      <c r="L118" s="528"/>
      <c r="M118" s="528"/>
      <c r="N118" s="528"/>
      <c r="O118" s="528"/>
      <c r="P118" s="528"/>
      <c r="Q118" s="528"/>
      <c r="R118" s="528"/>
    </row>
    <row r="119" spans="2:18" x14ac:dyDescent="0.25">
      <c r="B119" s="528"/>
      <c r="C119" s="528"/>
      <c r="D119" s="528"/>
      <c r="E119" s="528"/>
      <c r="F119" s="528"/>
      <c r="G119" s="528"/>
      <c r="H119" s="528"/>
      <c r="I119" s="531"/>
      <c r="J119" s="528"/>
      <c r="K119" s="528"/>
      <c r="L119" s="528"/>
      <c r="M119" s="528"/>
      <c r="N119" s="528"/>
      <c r="O119" s="528"/>
      <c r="P119" s="528"/>
      <c r="Q119" s="528"/>
      <c r="R119" s="528"/>
    </row>
    <row r="120" spans="2:18" x14ac:dyDescent="0.25">
      <c r="B120" s="528"/>
      <c r="C120" s="528"/>
      <c r="D120" s="528"/>
      <c r="E120" s="528"/>
      <c r="F120" s="528"/>
      <c r="G120" s="528"/>
      <c r="H120" s="528"/>
      <c r="I120" s="531"/>
      <c r="J120" s="528"/>
      <c r="K120" s="528"/>
      <c r="L120" s="528"/>
      <c r="M120" s="528"/>
      <c r="N120" s="528"/>
      <c r="O120" s="528"/>
      <c r="P120" s="528"/>
      <c r="Q120" s="528"/>
      <c r="R120" s="528"/>
    </row>
    <row r="121" spans="2:18" x14ac:dyDescent="0.25">
      <c r="B121" s="528"/>
      <c r="C121" s="528"/>
      <c r="D121" s="528"/>
      <c r="E121" s="528"/>
      <c r="F121" s="528"/>
      <c r="G121" s="528"/>
      <c r="H121" s="528"/>
      <c r="I121" s="531"/>
      <c r="J121" s="528"/>
      <c r="K121" s="528"/>
      <c r="L121" s="528"/>
      <c r="M121" s="528"/>
      <c r="N121" s="528"/>
      <c r="O121" s="528"/>
      <c r="P121" s="528"/>
      <c r="Q121" s="528"/>
      <c r="R121" s="528"/>
    </row>
    <row r="122" spans="2:18" x14ac:dyDescent="0.25">
      <c r="B122" s="528"/>
      <c r="C122" s="528"/>
      <c r="D122" s="528"/>
      <c r="E122" s="528"/>
      <c r="F122" s="528"/>
      <c r="G122" s="528"/>
      <c r="H122" s="528"/>
      <c r="I122" s="531"/>
      <c r="J122" s="528"/>
      <c r="K122" s="528"/>
      <c r="L122" s="528"/>
      <c r="M122" s="528"/>
      <c r="N122" s="528"/>
      <c r="O122" s="528"/>
      <c r="P122" s="528"/>
      <c r="Q122" s="528"/>
      <c r="R122" s="528"/>
    </row>
    <row r="123" spans="2:18" x14ac:dyDescent="0.25">
      <c r="B123" s="528"/>
      <c r="C123" s="528"/>
      <c r="D123" s="528"/>
      <c r="E123" s="528"/>
      <c r="F123" s="528"/>
      <c r="G123" s="528"/>
      <c r="H123" s="528"/>
      <c r="I123" s="531"/>
      <c r="J123" s="528"/>
      <c r="K123" s="528"/>
      <c r="L123" s="528"/>
      <c r="M123" s="528"/>
      <c r="N123" s="528"/>
      <c r="O123" s="528"/>
      <c r="P123" s="528"/>
      <c r="Q123" s="528"/>
      <c r="R123" s="528"/>
    </row>
    <row r="124" spans="2:18" x14ac:dyDescent="0.25">
      <c r="B124" s="528"/>
      <c r="C124" s="528"/>
      <c r="D124" s="528"/>
      <c r="E124" s="528"/>
      <c r="F124" s="528"/>
      <c r="G124" s="528"/>
      <c r="H124" s="528"/>
      <c r="I124" s="531"/>
      <c r="J124" s="528"/>
      <c r="K124" s="528"/>
      <c r="L124" s="528"/>
      <c r="M124" s="528"/>
      <c r="N124" s="528"/>
      <c r="O124" s="528"/>
      <c r="P124" s="528"/>
      <c r="Q124" s="528"/>
      <c r="R124" s="528"/>
    </row>
    <row r="125" spans="2:18" x14ac:dyDescent="0.25">
      <c r="B125" s="528"/>
      <c r="C125" s="528"/>
      <c r="D125" s="528"/>
      <c r="E125" s="528"/>
      <c r="F125" s="528"/>
      <c r="G125" s="528"/>
      <c r="H125" s="528"/>
      <c r="I125" s="531"/>
      <c r="J125" s="528"/>
      <c r="K125" s="528"/>
      <c r="L125" s="528"/>
      <c r="M125" s="528"/>
      <c r="N125" s="528"/>
      <c r="O125" s="528"/>
      <c r="P125" s="528"/>
      <c r="Q125" s="528"/>
      <c r="R125" s="528"/>
    </row>
    <row r="126" spans="2:18" x14ac:dyDescent="0.25">
      <c r="B126" s="528"/>
      <c r="C126" s="528"/>
      <c r="D126" s="528"/>
      <c r="E126" s="528"/>
      <c r="F126" s="528"/>
      <c r="G126" s="528"/>
      <c r="H126" s="528"/>
      <c r="I126" s="531"/>
      <c r="J126" s="528"/>
      <c r="K126" s="528"/>
      <c r="L126" s="528"/>
      <c r="M126" s="528"/>
      <c r="N126" s="528"/>
      <c r="O126" s="528"/>
      <c r="P126" s="528"/>
      <c r="Q126" s="528"/>
      <c r="R126" s="528"/>
    </row>
    <row r="127" spans="2:18" x14ac:dyDescent="0.25">
      <c r="B127" s="528"/>
      <c r="C127" s="528"/>
      <c r="D127" s="528"/>
      <c r="E127" s="528"/>
      <c r="F127" s="528"/>
      <c r="G127" s="528"/>
      <c r="H127" s="528"/>
      <c r="I127" s="531"/>
      <c r="J127" s="528"/>
      <c r="K127" s="528"/>
      <c r="L127" s="528"/>
      <c r="M127" s="528"/>
      <c r="N127" s="528"/>
      <c r="O127" s="528"/>
      <c r="P127" s="528"/>
      <c r="Q127" s="528"/>
      <c r="R127" s="528"/>
    </row>
  </sheetData>
  <conditionalFormatting sqref="D46:O46">
    <cfRule type="expression" dxfId="69" priority="2">
      <formula>D$67=1</formula>
    </cfRule>
  </conditionalFormatting>
  <conditionalFormatting sqref="D47:O50">
    <cfRule type="expression" dxfId="68" priority="1">
      <formula>D$67=1</formula>
    </cfRule>
  </conditionalFormatting>
  <printOptions horizontalCentered="1"/>
  <pageMargins left="0.7" right="0.7" top="0.75" bottom="0.75" header="0.3" footer="0.3"/>
  <pageSetup scale="51" orientation="landscape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>
    <tabColor theme="9" tint="-0.249977111117893"/>
    <pageSetUpPr fitToPage="1"/>
  </sheetPr>
  <dimension ref="A1:T48"/>
  <sheetViews>
    <sheetView showGridLines="0" view="pageBreakPreview" zoomScale="60" zoomScaleNormal="100" workbookViewId="0"/>
  </sheetViews>
  <sheetFormatPr defaultColWidth="9.42578125" defaultRowHeight="15" x14ac:dyDescent="0.25"/>
  <cols>
    <col min="1" max="1" width="2.42578125" style="1" customWidth="1"/>
    <col min="2" max="2" width="1.5703125" style="1" customWidth="1"/>
    <col min="3" max="3" width="3.5703125" style="1" customWidth="1"/>
    <col min="4" max="6" width="14.42578125" style="1" customWidth="1"/>
    <col min="7" max="7" width="9.42578125" style="1"/>
    <col min="8" max="8" width="1.5703125" style="1" customWidth="1"/>
    <col min="9" max="9" width="3.5703125" style="1" customWidth="1"/>
    <col min="10" max="11" width="14.42578125" style="1" customWidth="1"/>
    <col min="12" max="12" width="9.42578125" style="1"/>
    <col min="13" max="13" width="1.5703125" style="1" customWidth="1"/>
    <col min="14" max="14" width="3.5703125" style="1" customWidth="1"/>
    <col min="15" max="16" width="14.42578125" style="1" customWidth="1"/>
    <col min="17" max="17" width="9.42578125" style="1"/>
    <col min="18" max="20" width="0" style="1" hidden="1" customWidth="1"/>
    <col min="21" max="16384" width="9.42578125" style="1"/>
  </cols>
  <sheetData>
    <row r="1" spans="1:20" ht="5.85" customHeight="1" thickBot="1" x14ac:dyDescent="0.3">
      <c r="B1" s="85"/>
      <c r="C1" s="85"/>
      <c r="D1" s="86"/>
      <c r="E1" s="85"/>
      <c r="F1" s="85"/>
      <c r="G1" s="85"/>
      <c r="H1" s="383"/>
      <c r="I1" s="85"/>
      <c r="J1" s="85"/>
      <c r="K1" s="85"/>
      <c r="L1" s="85"/>
      <c r="M1" s="85"/>
      <c r="N1" s="85"/>
      <c r="O1" s="85"/>
      <c r="P1" s="85"/>
    </row>
    <row r="2" spans="1:20" ht="16.5" thickTop="1" x14ac:dyDescent="0.25">
      <c r="B2" s="110" t="str">
        <f>MainOutline!B2</f>
        <v>WB Santa Cruz</v>
      </c>
      <c r="C2" s="110"/>
      <c r="D2" s="111"/>
      <c r="E2" s="111"/>
      <c r="F2" s="111"/>
      <c r="G2" s="508" t="str">
        <f>'A1'!$C$90</f>
        <v>Acquisition of an existing facility</v>
      </c>
      <c r="H2" s="385"/>
      <c r="I2" s="111"/>
      <c r="J2" s="111"/>
      <c r="K2" s="111"/>
      <c r="L2" s="111"/>
      <c r="M2" s="111"/>
      <c r="N2" s="111"/>
      <c r="O2" s="111"/>
      <c r="P2" s="1409">
        <f>$A3</f>
        <v>41</v>
      </c>
    </row>
    <row r="3" spans="1:20" ht="15.75" x14ac:dyDescent="0.25">
      <c r="A3" s="123">
        <f>MainOutline!B56</f>
        <v>41</v>
      </c>
      <c r="B3" s="102" t="str">
        <f>MainOutline!C56</f>
        <v>Appendix C11</v>
      </c>
      <c r="C3" s="102"/>
      <c r="D3" s="89"/>
      <c r="E3" s="89"/>
      <c r="F3" s="89"/>
      <c r="G3" s="89"/>
      <c r="H3" s="386"/>
      <c r="I3" s="89"/>
      <c r="J3" s="89"/>
      <c r="K3" s="89"/>
      <c r="L3" s="89"/>
      <c r="M3" s="89"/>
      <c r="N3" s="89"/>
      <c r="O3" s="89"/>
      <c r="P3" s="89"/>
    </row>
    <row r="4" spans="1:20" ht="16.5" thickBot="1" x14ac:dyDescent="0.3">
      <c r="B4" s="104" t="s">
        <v>571</v>
      </c>
      <c r="C4" s="104"/>
      <c r="D4" s="97"/>
      <c r="E4" s="97"/>
      <c r="F4" s="97"/>
      <c r="G4" s="97"/>
      <c r="H4" s="387"/>
      <c r="I4" s="97"/>
      <c r="J4" s="97"/>
      <c r="K4" s="97"/>
      <c r="L4" s="97"/>
      <c r="M4" s="97"/>
      <c r="N4" s="97"/>
      <c r="O4" s="97"/>
      <c r="P4" s="138" t="s">
        <v>19</v>
      </c>
    </row>
    <row r="5" spans="1:20" ht="15.75" thickTop="1" x14ac:dyDescent="0.25"/>
    <row r="6" spans="1:20" x14ac:dyDescent="0.25">
      <c r="C6" s="80" t="str">
        <f>'A1'!M37 &amp; " Months"</f>
        <v>Prebuild Duration (Mo.) Months</v>
      </c>
      <c r="F6" s="173">
        <f>'A1'!Q37</f>
        <v>1</v>
      </c>
      <c r="I6" s="83" t="str">
        <f>'C8'!E62 &amp; " ($/Mo.)"</f>
        <v>Clinical Manager ($/Mo.)</v>
      </c>
      <c r="L6" s="371">
        <f>'C8'!I62</f>
        <v>16.611121929309181</v>
      </c>
    </row>
    <row r="7" spans="1:20" x14ac:dyDescent="0.25">
      <c r="C7" s="80" t="str">
        <f>'A1'!M38 &amp; " Months"</f>
        <v>Licensing Duration (Mo.) Months</v>
      </c>
      <c r="F7" s="173">
        <f>'A1'!Q38</f>
        <v>0</v>
      </c>
      <c r="I7" s="1" t="s">
        <v>323</v>
      </c>
      <c r="L7" s="173">
        <f>'A1'!Q39</f>
        <v>0</v>
      </c>
    </row>
    <row r="9" spans="1:20" s="106" customFormat="1" ht="16.5" x14ac:dyDescent="0.35">
      <c r="B9" s="340" t="s">
        <v>316</v>
      </c>
      <c r="C9" s="340"/>
      <c r="D9" s="340"/>
      <c r="E9" s="340"/>
      <c r="F9" s="340"/>
      <c r="H9" s="340" t="s">
        <v>317</v>
      </c>
      <c r="I9" s="340"/>
      <c r="J9" s="340"/>
      <c r="K9" s="340"/>
      <c r="M9" s="340" t="s">
        <v>318</v>
      </c>
      <c r="N9" s="340"/>
      <c r="O9" s="340"/>
      <c r="P9" s="340"/>
      <c r="R9" s="340"/>
      <c r="T9" s="340"/>
    </row>
    <row r="10" spans="1:20" s="101" customFormat="1" ht="34.5" x14ac:dyDescent="0.4">
      <c r="D10" s="101" t="s">
        <v>319</v>
      </c>
      <c r="E10" s="101" t="s">
        <v>320</v>
      </c>
      <c r="F10" s="101" t="s">
        <v>322</v>
      </c>
      <c r="J10" s="101" t="str">
        <f>D10</f>
        <v>Mo. In Phase</v>
      </c>
      <c r="K10" s="101" t="str">
        <f>F10</f>
        <v>Months CM Paid</v>
      </c>
      <c r="O10" s="101" t="str">
        <f>E10</f>
        <v>Mo. bef. Opening</v>
      </c>
      <c r="P10" s="101" t="str">
        <f>K10</f>
        <v>Months CM Paid</v>
      </c>
      <c r="R10" s="101" t="s">
        <v>321</v>
      </c>
    </row>
    <row r="11" spans="1:20" x14ac:dyDescent="0.25">
      <c r="B11" s="827">
        <f>IF(D11&gt;0,1,0)</f>
        <v>1</v>
      </c>
      <c r="C11" s="1">
        <v>1</v>
      </c>
      <c r="D11" s="828">
        <f>F6</f>
        <v>1</v>
      </c>
      <c r="E11" s="828">
        <f>D11+J11</f>
        <v>1</v>
      </c>
      <c r="F11" s="829">
        <f t="shared" ref="F11:F22" si="0">LOOKUP(MATCH(E11,$O$11:$O$46,0),$S$11:$S$46,$P$11:$P$46)</f>
        <v>0</v>
      </c>
      <c r="H11" s="827">
        <f>IF(J11&gt;0,1,0)</f>
        <v>0</v>
      </c>
      <c r="I11" s="1">
        <v>1</v>
      </c>
      <c r="J11" s="828">
        <f>F7</f>
        <v>0</v>
      </c>
      <c r="K11" s="829">
        <f t="shared" ref="K11:K34" si="1">LOOKUP(MATCH(J11,$O$11:$O$46,0),$S$11:$S$46,$P$11:$P$46)</f>
        <v>0</v>
      </c>
      <c r="M11" s="827">
        <f t="shared" ref="M11:M46" si="2">IF(O11&gt;0,1,0)</f>
        <v>1</v>
      </c>
      <c r="N11" s="1">
        <v>1</v>
      </c>
      <c r="O11" s="828">
        <f>E11</f>
        <v>1</v>
      </c>
      <c r="P11" s="829">
        <f t="shared" ref="P11:P46" si="3">R11*$L$6</f>
        <v>0</v>
      </c>
      <c r="Q11" s="371"/>
      <c r="R11" s="13">
        <f t="shared" ref="R11:R46" si="4">IF(O11&gt;$L$7,0,1)*M11</f>
        <v>0</v>
      </c>
      <c r="S11" s="1">
        <v>1</v>
      </c>
      <c r="T11" s="81">
        <f t="shared" ref="T11:T46" si="5">O11</f>
        <v>1</v>
      </c>
    </row>
    <row r="12" spans="1:20" x14ac:dyDescent="0.25">
      <c r="B12" s="827">
        <f t="shared" ref="B12:B22" si="6">IF(D12&gt;0,1,0)</f>
        <v>0</v>
      </c>
      <c r="C12" s="1">
        <f t="shared" ref="C12:C22" si="7">C11+1</f>
        <v>2</v>
      </c>
      <c r="D12" s="828">
        <f>D11-1</f>
        <v>0</v>
      </c>
      <c r="E12" s="828">
        <f>E11-1</f>
        <v>0</v>
      </c>
      <c r="F12" s="829">
        <f t="shared" si="0"/>
        <v>0</v>
      </c>
      <c r="H12" s="827">
        <f t="shared" ref="H12:H34" si="8">IF(J12&gt;0,1,0)</f>
        <v>0</v>
      </c>
      <c r="I12" s="1">
        <f t="shared" ref="I12:I34" si="9">I11+1</f>
        <v>2</v>
      </c>
      <c r="J12" s="828">
        <f t="shared" ref="J12:J34" si="10">J11-1</f>
        <v>-1</v>
      </c>
      <c r="K12" s="829">
        <f t="shared" si="1"/>
        <v>0</v>
      </c>
      <c r="M12" s="827">
        <f t="shared" si="2"/>
        <v>0</v>
      </c>
      <c r="N12" s="1">
        <f>N11+1</f>
        <v>2</v>
      </c>
      <c r="O12" s="828">
        <f>O11-1</f>
        <v>0</v>
      </c>
      <c r="P12" s="829">
        <f t="shared" si="3"/>
        <v>0</v>
      </c>
      <c r="Q12" s="371"/>
      <c r="R12" s="13">
        <f t="shared" si="4"/>
        <v>0</v>
      </c>
      <c r="S12" s="1">
        <f>S11+1</f>
        <v>2</v>
      </c>
      <c r="T12" s="81">
        <f t="shared" si="5"/>
        <v>0</v>
      </c>
    </row>
    <row r="13" spans="1:20" x14ac:dyDescent="0.25">
      <c r="B13" s="827">
        <f t="shared" si="6"/>
        <v>0</v>
      </c>
      <c r="C13" s="1">
        <f t="shared" si="7"/>
        <v>3</v>
      </c>
      <c r="D13" s="828">
        <f t="shared" ref="D13:D22" si="11">D12-1</f>
        <v>-1</v>
      </c>
      <c r="E13" s="828">
        <f t="shared" ref="E13:E22" si="12">E12-1</f>
        <v>-1</v>
      </c>
      <c r="F13" s="829">
        <f t="shared" si="0"/>
        <v>0</v>
      </c>
      <c r="H13" s="827">
        <f t="shared" si="8"/>
        <v>0</v>
      </c>
      <c r="I13" s="1">
        <f t="shared" si="9"/>
        <v>3</v>
      </c>
      <c r="J13" s="828">
        <f t="shared" si="10"/>
        <v>-2</v>
      </c>
      <c r="K13" s="829">
        <f t="shared" si="1"/>
        <v>0</v>
      </c>
      <c r="M13" s="827">
        <f t="shared" si="2"/>
        <v>0</v>
      </c>
      <c r="N13" s="1">
        <f t="shared" ref="N13:N46" si="13">N12+1</f>
        <v>3</v>
      </c>
      <c r="O13" s="828">
        <f t="shared" ref="O13:O46" si="14">O12-1</f>
        <v>-1</v>
      </c>
      <c r="P13" s="829">
        <f t="shared" si="3"/>
        <v>0</v>
      </c>
      <c r="Q13" s="371"/>
      <c r="R13" s="13">
        <f t="shared" si="4"/>
        <v>0</v>
      </c>
      <c r="S13" s="1">
        <f t="shared" ref="S13:S46" si="15">S12+1</f>
        <v>3</v>
      </c>
      <c r="T13" s="81">
        <f t="shared" si="5"/>
        <v>-1</v>
      </c>
    </row>
    <row r="14" spans="1:20" x14ac:dyDescent="0.25">
      <c r="B14" s="827">
        <f t="shared" si="6"/>
        <v>0</v>
      </c>
      <c r="C14" s="1">
        <f t="shared" si="7"/>
        <v>4</v>
      </c>
      <c r="D14" s="828">
        <f t="shared" si="11"/>
        <v>-2</v>
      </c>
      <c r="E14" s="828">
        <f t="shared" si="12"/>
        <v>-2</v>
      </c>
      <c r="F14" s="829">
        <f t="shared" si="0"/>
        <v>0</v>
      </c>
      <c r="H14" s="827">
        <f t="shared" si="8"/>
        <v>0</v>
      </c>
      <c r="I14" s="1">
        <f t="shared" si="9"/>
        <v>4</v>
      </c>
      <c r="J14" s="828">
        <f t="shared" si="10"/>
        <v>-3</v>
      </c>
      <c r="K14" s="829">
        <f t="shared" si="1"/>
        <v>0</v>
      </c>
      <c r="M14" s="827">
        <f t="shared" si="2"/>
        <v>0</v>
      </c>
      <c r="N14" s="1">
        <f t="shared" si="13"/>
        <v>4</v>
      </c>
      <c r="O14" s="828">
        <f t="shared" si="14"/>
        <v>-2</v>
      </c>
      <c r="P14" s="829">
        <f t="shared" si="3"/>
        <v>0</v>
      </c>
      <c r="Q14" s="371"/>
      <c r="R14" s="13">
        <f t="shared" si="4"/>
        <v>0</v>
      </c>
      <c r="S14" s="1">
        <f t="shared" si="15"/>
        <v>4</v>
      </c>
      <c r="T14" s="81">
        <f t="shared" si="5"/>
        <v>-2</v>
      </c>
    </row>
    <row r="15" spans="1:20" x14ac:dyDescent="0.25">
      <c r="B15" s="827">
        <f t="shared" si="6"/>
        <v>0</v>
      </c>
      <c r="C15" s="1">
        <f t="shared" si="7"/>
        <v>5</v>
      </c>
      <c r="D15" s="828">
        <f t="shared" si="11"/>
        <v>-3</v>
      </c>
      <c r="E15" s="828">
        <f t="shared" si="12"/>
        <v>-3</v>
      </c>
      <c r="F15" s="829">
        <f t="shared" si="0"/>
        <v>0</v>
      </c>
      <c r="H15" s="827">
        <f t="shared" si="8"/>
        <v>0</v>
      </c>
      <c r="I15" s="1">
        <f t="shared" si="9"/>
        <v>5</v>
      </c>
      <c r="J15" s="828">
        <f t="shared" si="10"/>
        <v>-4</v>
      </c>
      <c r="K15" s="829">
        <f t="shared" si="1"/>
        <v>0</v>
      </c>
      <c r="M15" s="827">
        <f t="shared" si="2"/>
        <v>0</v>
      </c>
      <c r="N15" s="1">
        <f t="shared" si="13"/>
        <v>5</v>
      </c>
      <c r="O15" s="828">
        <f t="shared" si="14"/>
        <v>-3</v>
      </c>
      <c r="P15" s="829">
        <f t="shared" si="3"/>
        <v>0</v>
      </c>
      <c r="Q15" s="371"/>
      <c r="R15" s="13">
        <f t="shared" si="4"/>
        <v>0</v>
      </c>
      <c r="S15" s="1">
        <f t="shared" si="15"/>
        <v>5</v>
      </c>
      <c r="T15" s="81">
        <f t="shared" si="5"/>
        <v>-3</v>
      </c>
    </row>
    <row r="16" spans="1:20" x14ac:dyDescent="0.25">
      <c r="B16" s="827">
        <f t="shared" si="6"/>
        <v>0</v>
      </c>
      <c r="C16" s="1">
        <f t="shared" si="7"/>
        <v>6</v>
      </c>
      <c r="D16" s="828">
        <f t="shared" si="11"/>
        <v>-4</v>
      </c>
      <c r="E16" s="828">
        <f t="shared" si="12"/>
        <v>-4</v>
      </c>
      <c r="F16" s="829">
        <f t="shared" si="0"/>
        <v>0</v>
      </c>
      <c r="H16" s="827">
        <f t="shared" si="8"/>
        <v>0</v>
      </c>
      <c r="I16" s="1">
        <f t="shared" si="9"/>
        <v>6</v>
      </c>
      <c r="J16" s="828">
        <f t="shared" si="10"/>
        <v>-5</v>
      </c>
      <c r="K16" s="829">
        <f t="shared" si="1"/>
        <v>0</v>
      </c>
      <c r="M16" s="827">
        <f t="shared" si="2"/>
        <v>0</v>
      </c>
      <c r="N16" s="1">
        <f t="shared" si="13"/>
        <v>6</v>
      </c>
      <c r="O16" s="828">
        <f t="shared" si="14"/>
        <v>-4</v>
      </c>
      <c r="P16" s="829">
        <f t="shared" si="3"/>
        <v>0</v>
      </c>
      <c r="Q16" s="371"/>
      <c r="R16" s="13">
        <f t="shared" si="4"/>
        <v>0</v>
      </c>
      <c r="S16" s="1">
        <f t="shared" si="15"/>
        <v>6</v>
      </c>
      <c r="T16" s="81">
        <f t="shared" si="5"/>
        <v>-4</v>
      </c>
    </row>
    <row r="17" spans="2:20" x14ac:dyDescent="0.25">
      <c r="B17" s="827">
        <f t="shared" si="6"/>
        <v>0</v>
      </c>
      <c r="C17" s="1">
        <f t="shared" si="7"/>
        <v>7</v>
      </c>
      <c r="D17" s="828">
        <f t="shared" si="11"/>
        <v>-5</v>
      </c>
      <c r="E17" s="828">
        <f t="shared" si="12"/>
        <v>-5</v>
      </c>
      <c r="F17" s="829">
        <f t="shared" si="0"/>
        <v>0</v>
      </c>
      <c r="H17" s="827">
        <f t="shared" si="8"/>
        <v>0</v>
      </c>
      <c r="I17" s="1">
        <f t="shared" si="9"/>
        <v>7</v>
      </c>
      <c r="J17" s="828">
        <f t="shared" si="10"/>
        <v>-6</v>
      </c>
      <c r="K17" s="829">
        <f t="shared" si="1"/>
        <v>0</v>
      </c>
      <c r="M17" s="827">
        <f t="shared" si="2"/>
        <v>0</v>
      </c>
      <c r="N17" s="1">
        <f t="shared" si="13"/>
        <v>7</v>
      </c>
      <c r="O17" s="828">
        <f t="shared" si="14"/>
        <v>-5</v>
      </c>
      <c r="P17" s="829">
        <f t="shared" si="3"/>
        <v>0</v>
      </c>
      <c r="Q17" s="371"/>
      <c r="R17" s="13">
        <f t="shared" si="4"/>
        <v>0</v>
      </c>
      <c r="S17" s="1">
        <f t="shared" si="15"/>
        <v>7</v>
      </c>
      <c r="T17" s="81">
        <f t="shared" si="5"/>
        <v>-5</v>
      </c>
    </row>
    <row r="18" spans="2:20" x14ac:dyDescent="0.25">
      <c r="B18" s="827">
        <f t="shared" si="6"/>
        <v>0</v>
      </c>
      <c r="C18" s="1">
        <f t="shared" si="7"/>
        <v>8</v>
      </c>
      <c r="D18" s="828">
        <f t="shared" si="11"/>
        <v>-6</v>
      </c>
      <c r="E18" s="828">
        <f t="shared" si="12"/>
        <v>-6</v>
      </c>
      <c r="F18" s="829">
        <f t="shared" si="0"/>
        <v>0</v>
      </c>
      <c r="H18" s="827">
        <f t="shared" si="8"/>
        <v>0</v>
      </c>
      <c r="I18" s="1">
        <f t="shared" si="9"/>
        <v>8</v>
      </c>
      <c r="J18" s="828">
        <f t="shared" si="10"/>
        <v>-7</v>
      </c>
      <c r="K18" s="829">
        <f t="shared" si="1"/>
        <v>0</v>
      </c>
      <c r="M18" s="827">
        <f t="shared" si="2"/>
        <v>0</v>
      </c>
      <c r="N18" s="1">
        <f t="shared" si="13"/>
        <v>8</v>
      </c>
      <c r="O18" s="828">
        <f t="shared" si="14"/>
        <v>-6</v>
      </c>
      <c r="P18" s="829">
        <f t="shared" si="3"/>
        <v>0</v>
      </c>
      <c r="Q18" s="371"/>
      <c r="R18" s="13">
        <f t="shared" si="4"/>
        <v>0</v>
      </c>
      <c r="S18" s="1">
        <f t="shared" si="15"/>
        <v>8</v>
      </c>
      <c r="T18" s="81">
        <f t="shared" si="5"/>
        <v>-6</v>
      </c>
    </row>
    <row r="19" spans="2:20" x14ac:dyDescent="0.25">
      <c r="B19" s="827">
        <f t="shared" si="6"/>
        <v>0</v>
      </c>
      <c r="C19" s="1">
        <f t="shared" si="7"/>
        <v>9</v>
      </c>
      <c r="D19" s="828">
        <f t="shared" si="11"/>
        <v>-7</v>
      </c>
      <c r="E19" s="828">
        <f t="shared" si="12"/>
        <v>-7</v>
      </c>
      <c r="F19" s="829">
        <f t="shared" si="0"/>
        <v>0</v>
      </c>
      <c r="H19" s="827">
        <f t="shared" si="8"/>
        <v>0</v>
      </c>
      <c r="I19" s="1">
        <f t="shared" si="9"/>
        <v>9</v>
      </c>
      <c r="J19" s="828">
        <f t="shared" si="10"/>
        <v>-8</v>
      </c>
      <c r="K19" s="829">
        <f t="shared" si="1"/>
        <v>0</v>
      </c>
      <c r="M19" s="827">
        <f t="shared" si="2"/>
        <v>0</v>
      </c>
      <c r="N19" s="1">
        <f t="shared" si="13"/>
        <v>9</v>
      </c>
      <c r="O19" s="828">
        <f t="shared" si="14"/>
        <v>-7</v>
      </c>
      <c r="P19" s="829">
        <f t="shared" si="3"/>
        <v>0</v>
      </c>
      <c r="Q19" s="371"/>
      <c r="R19" s="13">
        <f t="shared" si="4"/>
        <v>0</v>
      </c>
      <c r="S19" s="1">
        <f t="shared" si="15"/>
        <v>9</v>
      </c>
      <c r="T19" s="81">
        <f t="shared" si="5"/>
        <v>-7</v>
      </c>
    </row>
    <row r="20" spans="2:20" x14ac:dyDescent="0.25">
      <c r="B20" s="827">
        <f t="shared" si="6"/>
        <v>0</v>
      </c>
      <c r="C20" s="1">
        <f t="shared" si="7"/>
        <v>10</v>
      </c>
      <c r="D20" s="828">
        <f t="shared" si="11"/>
        <v>-8</v>
      </c>
      <c r="E20" s="828">
        <f t="shared" si="12"/>
        <v>-8</v>
      </c>
      <c r="F20" s="829">
        <f t="shared" si="0"/>
        <v>0</v>
      </c>
      <c r="H20" s="827">
        <f t="shared" si="8"/>
        <v>0</v>
      </c>
      <c r="I20" s="1">
        <f t="shared" si="9"/>
        <v>10</v>
      </c>
      <c r="J20" s="828">
        <f t="shared" si="10"/>
        <v>-9</v>
      </c>
      <c r="K20" s="829">
        <f t="shared" si="1"/>
        <v>0</v>
      </c>
      <c r="M20" s="827">
        <f t="shared" si="2"/>
        <v>0</v>
      </c>
      <c r="N20" s="1">
        <f t="shared" si="13"/>
        <v>10</v>
      </c>
      <c r="O20" s="828">
        <f t="shared" si="14"/>
        <v>-8</v>
      </c>
      <c r="P20" s="829">
        <f t="shared" si="3"/>
        <v>0</v>
      </c>
      <c r="Q20" s="371"/>
      <c r="R20" s="13">
        <f t="shared" si="4"/>
        <v>0</v>
      </c>
      <c r="S20" s="1">
        <f t="shared" si="15"/>
        <v>10</v>
      </c>
      <c r="T20" s="81">
        <f t="shared" si="5"/>
        <v>-8</v>
      </c>
    </row>
    <row r="21" spans="2:20" x14ac:dyDescent="0.25">
      <c r="B21" s="827">
        <f t="shared" si="6"/>
        <v>0</v>
      </c>
      <c r="C21" s="1">
        <f t="shared" si="7"/>
        <v>11</v>
      </c>
      <c r="D21" s="828">
        <f t="shared" si="11"/>
        <v>-9</v>
      </c>
      <c r="E21" s="828">
        <f t="shared" si="12"/>
        <v>-9</v>
      </c>
      <c r="F21" s="829">
        <f t="shared" si="0"/>
        <v>0</v>
      </c>
      <c r="H21" s="827">
        <f t="shared" si="8"/>
        <v>0</v>
      </c>
      <c r="I21" s="1">
        <f t="shared" si="9"/>
        <v>11</v>
      </c>
      <c r="J21" s="828">
        <f t="shared" si="10"/>
        <v>-10</v>
      </c>
      <c r="K21" s="829">
        <f t="shared" si="1"/>
        <v>0</v>
      </c>
      <c r="M21" s="827">
        <f t="shared" si="2"/>
        <v>0</v>
      </c>
      <c r="N21" s="1">
        <f t="shared" si="13"/>
        <v>11</v>
      </c>
      <c r="O21" s="828">
        <f t="shared" si="14"/>
        <v>-9</v>
      </c>
      <c r="P21" s="829">
        <f t="shared" si="3"/>
        <v>0</v>
      </c>
      <c r="Q21" s="371"/>
      <c r="R21" s="13">
        <f t="shared" si="4"/>
        <v>0</v>
      </c>
      <c r="S21" s="1">
        <f t="shared" si="15"/>
        <v>11</v>
      </c>
      <c r="T21" s="81">
        <f t="shared" si="5"/>
        <v>-9</v>
      </c>
    </row>
    <row r="22" spans="2:20" x14ac:dyDescent="0.25">
      <c r="B22" s="827">
        <f t="shared" si="6"/>
        <v>0</v>
      </c>
      <c r="C22" s="1">
        <f t="shared" si="7"/>
        <v>12</v>
      </c>
      <c r="D22" s="828">
        <f t="shared" si="11"/>
        <v>-10</v>
      </c>
      <c r="E22" s="828">
        <f t="shared" si="12"/>
        <v>-10</v>
      </c>
      <c r="F22" s="829">
        <f t="shared" si="0"/>
        <v>0</v>
      </c>
      <c r="H22" s="827">
        <f t="shared" si="8"/>
        <v>0</v>
      </c>
      <c r="I22" s="1">
        <f t="shared" si="9"/>
        <v>12</v>
      </c>
      <c r="J22" s="828">
        <f t="shared" si="10"/>
        <v>-11</v>
      </c>
      <c r="K22" s="829">
        <f t="shared" si="1"/>
        <v>0</v>
      </c>
      <c r="M22" s="827">
        <f t="shared" si="2"/>
        <v>0</v>
      </c>
      <c r="N22" s="1">
        <f t="shared" si="13"/>
        <v>12</v>
      </c>
      <c r="O22" s="828">
        <f t="shared" si="14"/>
        <v>-10</v>
      </c>
      <c r="P22" s="829">
        <f t="shared" si="3"/>
        <v>0</v>
      </c>
      <c r="Q22" s="371"/>
      <c r="R22" s="13">
        <f t="shared" si="4"/>
        <v>0</v>
      </c>
      <c r="S22" s="1">
        <f t="shared" si="15"/>
        <v>12</v>
      </c>
      <c r="T22" s="81">
        <f t="shared" si="5"/>
        <v>-10</v>
      </c>
    </row>
    <row r="23" spans="2:20" x14ac:dyDescent="0.25">
      <c r="B23" s="13"/>
      <c r="H23" s="827">
        <f t="shared" si="8"/>
        <v>0</v>
      </c>
      <c r="I23" s="1">
        <f t="shared" si="9"/>
        <v>13</v>
      </c>
      <c r="J23" s="828">
        <f t="shared" si="10"/>
        <v>-12</v>
      </c>
      <c r="K23" s="829">
        <f t="shared" si="1"/>
        <v>0</v>
      </c>
      <c r="M23" s="827">
        <f t="shared" si="2"/>
        <v>0</v>
      </c>
      <c r="N23" s="1">
        <f t="shared" si="13"/>
        <v>13</v>
      </c>
      <c r="O23" s="828">
        <f t="shared" si="14"/>
        <v>-11</v>
      </c>
      <c r="P23" s="829">
        <f t="shared" si="3"/>
        <v>0</v>
      </c>
      <c r="Q23" s="371"/>
      <c r="R23" s="13">
        <f t="shared" si="4"/>
        <v>0</v>
      </c>
      <c r="S23" s="1">
        <f t="shared" si="15"/>
        <v>13</v>
      </c>
      <c r="T23" s="81">
        <f t="shared" si="5"/>
        <v>-11</v>
      </c>
    </row>
    <row r="24" spans="2:20" x14ac:dyDescent="0.25">
      <c r="B24" s="13"/>
      <c r="H24" s="827">
        <f t="shared" si="8"/>
        <v>0</v>
      </c>
      <c r="I24" s="1">
        <f t="shared" si="9"/>
        <v>14</v>
      </c>
      <c r="J24" s="828">
        <f t="shared" si="10"/>
        <v>-13</v>
      </c>
      <c r="K24" s="829">
        <f t="shared" si="1"/>
        <v>0</v>
      </c>
      <c r="M24" s="827">
        <f t="shared" si="2"/>
        <v>0</v>
      </c>
      <c r="N24" s="1">
        <f t="shared" si="13"/>
        <v>14</v>
      </c>
      <c r="O24" s="828">
        <f t="shared" si="14"/>
        <v>-12</v>
      </c>
      <c r="P24" s="829">
        <f t="shared" si="3"/>
        <v>0</v>
      </c>
      <c r="Q24" s="371"/>
      <c r="R24" s="13">
        <f t="shared" si="4"/>
        <v>0</v>
      </c>
      <c r="S24" s="1">
        <f t="shared" si="15"/>
        <v>14</v>
      </c>
      <c r="T24" s="81">
        <f t="shared" si="5"/>
        <v>-12</v>
      </c>
    </row>
    <row r="25" spans="2:20" x14ac:dyDescent="0.25">
      <c r="B25" s="13"/>
      <c r="H25" s="827">
        <f t="shared" si="8"/>
        <v>0</v>
      </c>
      <c r="I25" s="1">
        <f t="shared" si="9"/>
        <v>15</v>
      </c>
      <c r="J25" s="828">
        <f t="shared" si="10"/>
        <v>-14</v>
      </c>
      <c r="K25" s="829">
        <f t="shared" si="1"/>
        <v>0</v>
      </c>
      <c r="M25" s="827">
        <f t="shared" si="2"/>
        <v>0</v>
      </c>
      <c r="N25" s="1">
        <f t="shared" si="13"/>
        <v>15</v>
      </c>
      <c r="O25" s="828">
        <f t="shared" si="14"/>
        <v>-13</v>
      </c>
      <c r="P25" s="829">
        <f t="shared" si="3"/>
        <v>0</v>
      </c>
      <c r="Q25" s="371"/>
      <c r="R25" s="13">
        <f t="shared" si="4"/>
        <v>0</v>
      </c>
      <c r="S25" s="1">
        <f t="shared" si="15"/>
        <v>15</v>
      </c>
      <c r="T25" s="81">
        <f t="shared" si="5"/>
        <v>-13</v>
      </c>
    </row>
    <row r="26" spans="2:20" x14ac:dyDescent="0.25">
      <c r="B26" s="13"/>
      <c r="H26" s="827">
        <f t="shared" si="8"/>
        <v>0</v>
      </c>
      <c r="I26" s="1">
        <f t="shared" si="9"/>
        <v>16</v>
      </c>
      <c r="J26" s="828">
        <f t="shared" si="10"/>
        <v>-15</v>
      </c>
      <c r="K26" s="829">
        <f t="shared" si="1"/>
        <v>0</v>
      </c>
      <c r="M26" s="827">
        <f t="shared" si="2"/>
        <v>0</v>
      </c>
      <c r="N26" s="1">
        <f t="shared" si="13"/>
        <v>16</v>
      </c>
      <c r="O26" s="828">
        <f t="shared" si="14"/>
        <v>-14</v>
      </c>
      <c r="P26" s="829">
        <f t="shared" si="3"/>
        <v>0</v>
      </c>
      <c r="Q26" s="371"/>
      <c r="R26" s="13">
        <f t="shared" si="4"/>
        <v>0</v>
      </c>
      <c r="S26" s="1">
        <f t="shared" si="15"/>
        <v>16</v>
      </c>
      <c r="T26" s="81">
        <f t="shared" si="5"/>
        <v>-14</v>
      </c>
    </row>
    <row r="27" spans="2:20" x14ac:dyDescent="0.25">
      <c r="B27" s="13"/>
      <c r="H27" s="827">
        <f t="shared" si="8"/>
        <v>0</v>
      </c>
      <c r="I27" s="1">
        <f t="shared" si="9"/>
        <v>17</v>
      </c>
      <c r="J27" s="828">
        <f t="shared" si="10"/>
        <v>-16</v>
      </c>
      <c r="K27" s="829">
        <f t="shared" si="1"/>
        <v>0</v>
      </c>
      <c r="M27" s="827">
        <f t="shared" si="2"/>
        <v>0</v>
      </c>
      <c r="N27" s="1">
        <f t="shared" si="13"/>
        <v>17</v>
      </c>
      <c r="O27" s="828">
        <f t="shared" si="14"/>
        <v>-15</v>
      </c>
      <c r="P27" s="829">
        <f t="shared" si="3"/>
        <v>0</v>
      </c>
      <c r="Q27" s="371"/>
      <c r="R27" s="13">
        <f t="shared" si="4"/>
        <v>0</v>
      </c>
      <c r="S27" s="1">
        <f t="shared" si="15"/>
        <v>17</v>
      </c>
      <c r="T27" s="81">
        <f t="shared" si="5"/>
        <v>-15</v>
      </c>
    </row>
    <row r="28" spans="2:20" x14ac:dyDescent="0.25">
      <c r="B28" s="13"/>
      <c r="H28" s="827">
        <f t="shared" si="8"/>
        <v>0</v>
      </c>
      <c r="I28" s="1">
        <f t="shared" si="9"/>
        <v>18</v>
      </c>
      <c r="J28" s="828">
        <f t="shared" si="10"/>
        <v>-17</v>
      </c>
      <c r="K28" s="829">
        <f t="shared" si="1"/>
        <v>0</v>
      </c>
      <c r="M28" s="827">
        <f t="shared" si="2"/>
        <v>0</v>
      </c>
      <c r="N28" s="1">
        <f t="shared" si="13"/>
        <v>18</v>
      </c>
      <c r="O28" s="828">
        <f t="shared" si="14"/>
        <v>-16</v>
      </c>
      <c r="P28" s="829">
        <f t="shared" si="3"/>
        <v>0</v>
      </c>
      <c r="Q28" s="371"/>
      <c r="R28" s="13">
        <f t="shared" si="4"/>
        <v>0</v>
      </c>
      <c r="S28" s="1">
        <f t="shared" si="15"/>
        <v>18</v>
      </c>
      <c r="T28" s="81">
        <f t="shared" si="5"/>
        <v>-16</v>
      </c>
    </row>
    <row r="29" spans="2:20" x14ac:dyDescent="0.25">
      <c r="B29" s="13"/>
      <c r="H29" s="827">
        <f t="shared" si="8"/>
        <v>0</v>
      </c>
      <c r="I29" s="1">
        <f t="shared" si="9"/>
        <v>19</v>
      </c>
      <c r="J29" s="828">
        <f t="shared" si="10"/>
        <v>-18</v>
      </c>
      <c r="K29" s="829">
        <f t="shared" si="1"/>
        <v>0</v>
      </c>
      <c r="M29" s="827">
        <f t="shared" si="2"/>
        <v>0</v>
      </c>
      <c r="N29" s="1">
        <f t="shared" si="13"/>
        <v>19</v>
      </c>
      <c r="O29" s="828">
        <f t="shared" si="14"/>
        <v>-17</v>
      </c>
      <c r="P29" s="829">
        <f t="shared" si="3"/>
        <v>0</v>
      </c>
      <c r="Q29" s="371"/>
      <c r="R29" s="13">
        <f t="shared" si="4"/>
        <v>0</v>
      </c>
      <c r="S29" s="1">
        <f t="shared" si="15"/>
        <v>19</v>
      </c>
      <c r="T29" s="81">
        <f t="shared" si="5"/>
        <v>-17</v>
      </c>
    </row>
    <row r="30" spans="2:20" x14ac:dyDescent="0.25">
      <c r="B30" s="13"/>
      <c r="H30" s="827">
        <f t="shared" si="8"/>
        <v>0</v>
      </c>
      <c r="I30" s="1">
        <f t="shared" si="9"/>
        <v>20</v>
      </c>
      <c r="J30" s="828">
        <f t="shared" si="10"/>
        <v>-19</v>
      </c>
      <c r="K30" s="829">
        <f t="shared" si="1"/>
        <v>0</v>
      </c>
      <c r="M30" s="827">
        <f t="shared" si="2"/>
        <v>0</v>
      </c>
      <c r="N30" s="1">
        <f t="shared" si="13"/>
        <v>20</v>
      </c>
      <c r="O30" s="828">
        <f t="shared" si="14"/>
        <v>-18</v>
      </c>
      <c r="P30" s="829">
        <f t="shared" si="3"/>
        <v>0</v>
      </c>
      <c r="Q30" s="371"/>
      <c r="R30" s="13">
        <f t="shared" si="4"/>
        <v>0</v>
      </c>
      <c r="S30" s="1">
        <f t="shared" si="15"/>
        <v>20</v>
      </c>
      <c r="T30" s="81">
        <f t="shared" si="5"/>
        <v>-18</v>
      </c>
    </row>
    <row r="31" spans="2:20" x14ac:dyDescent="0.25">
      <c r="B31" s="13"/>
      <c r="H31" s="827">
        <f t="shared" si="8"/>
        <v>0</v>
      </c>
      <c r="I31" s="1">
        <f t="shared" si="9"/>
        <v>21</v>
      </c>
      <c r="J31" s="828">
        <f t="shared" si="10"/>
        <v>-20</v>
      </c>
      <c r="K31" s="829">
        <f t="shared" si="1"/>
        <v>0</v>
      </c>
      <c r="M31" s="827">
        <f t="shared" si="2"/>
        <v>0</v>
      </c>
      <c r="N31" s="1">
        <f t="shared" si="13"/>
        <v>21</v>
      </c>
      <c r="O31" s="828">
        <f t="shared" si="14"/>
        <v>-19</v>
      </c>
      <c r="P31" s="829">
        <f t="shared" si="3"/>
        <v>0</v>
      </c>
      <c r="Q31" s="371"/>
      <c r="R31" s="13">
        <f t="shared" si="4"/>
        <v>0</v>
      </c>
      <c r="S31" s="1">
        <f t="shared" si="15"/>
        <v>21</v>
      </c>
      <c r="T31" s="81">
        <f t="shared" si="5"/>
        <v>-19</v>
      </c>
    </row>
    <row r="32" spans="2:20" x14ac:dyDescent="0.25">
      <c r="B32" s="13"/>
      <c r="H32" s="827">
        <f t="shared" si="8"/>
        <v>0</v>
      </c>
      <c r="I32" s="1">
        <f t="shared" si="9"/>
        <v>22</v>
      </c>
      <c r="J32" s="828">
        <f t="shared" si="10"/>
        <v>-21</v>
      </c>
      <c r="K32" s="829">
        <f t="shared" si="1"/>
        <v>0</v>
      </c>
      <c r="M32" s="827">
        <f t="shared" si="2"/>
        <v>0</v>
      </c>
      <c r="N32" s="1">
        <f t="shared" si="13"/>
        <v>22</v>
      </c>
      <c r="O32" s="828">
        <f t="shared" si="14"/>
        <v>-20</v>
      </c>
      <c r="P32" s="829">
        <f t="shared" si="3"/>
        <v>0</v>
      </c>
      <c r="Q32" s="371"/>
      <c r="R32" s="13">
        <f t="shared" si="4"/>
        <v>0</v>
      </c>
      <c r="S32" s="1">
        <f t="shared" si="15"/>
        <v>22</v>
      </c>
      <c r="T32" s="81">
        <f t="shared" si="5"/>
        <v>-20</v>
      </c>
    </row>
    <row r="33" spans="2:20" x14ac:dyDescent="0.25">
      <c r="B33" s="13"/>
      <c r="H33" s="827">
        <f t="shared" si="8"/>
        <v>0</v>
      </c>
      <c r="I33" s="1">
        <f t="shared" si="9"/>
        <v>23</v>
      </c>
      <c r="J33" s="828">
        <f t="shared" si="10"/>
        <v>-22</v>
      </c>
      <c r="K33" s="829">
        <f t="shared" si="1"/>
        <v>0</v>
      </c>
      <c r="M33" s="827">
        <f t="shared" si="2"/>
        <v>0</v>
      </c>
      <c r="N33" s="1">
        <f t="shared" si="13"/>
        <v>23</v>
      </c>
      <c r="O33" s="828">
        <f t="shared" si="14"/>
        <v>-21</v>
      </c>
      <c r="P33" s="829">
        <f t="shared" si="3"/>
        <v>0</v>
      </c>
      <c r="Q33" s="371"/>
      <c r="R33" s="13">
        <f t="shared" si="4"/>
        <v>0</v>
      </c>
      <c r="S33" s="1">
        <f t="shared" si="15"/>
        <v>23</v>
      </c>
      <c r="T33" s="81">
        <f t="shared" si="5"/>
        <v>-21</v>
      </c>
    </row>
    <row r="34" spans="2:20" x14ac:dyDescent="0.25">
      <c r="B34" s="13"/>
      <c r="H34" s="827">
        <f t="shared" si="8"/>
        <v>0</v>
      </c>
      <c r="I34" s="1">
        <f t="shared" si="9"/>
        <v>24</v>
      </c>
      <c r="J34" s="828">
        <f t="shared" si="10"/>
        <v>-23</v>
      </c>
      <c r="K34" s="829">
        <f t="shared" si="1"/>
        <v>0</v>
      </c>
      <c r="M34" s="827">
        <f t="shared" si="2"/>
        <v>0</v>
      </c>
      <c r="N34" s="1">
        <f t="shared" si="13"/>
        <v>24</v>
      </c>
      <c r="O34" s="828">
        <f t="shared" si="14"/>
        <v>-22</v>
      </c>
      <c r="P34" s="829">
        <f t="shared" si="3"/>
        <v>0</v>
      </c>
      <c r="Q34" s="371"/>
      <c r="R34" s="13">
        <f t="shared" si="4"/>
        <v>0</v>
      </c>
      <c r="S34" s="1">
        <f t="shared" si="15"/>
        <v>24</v>
      </c>
      <c r="T34" s="81">
        <f t="shared" si="5"/>
        <v>-22</v>
      </c>
    </row>
    <row r="35" spans="2:20" x14ac:dyDescent="0.25">
      <c r="M35" s="827">
        <f t="shared" si="2"/>
        <v>0</v>
      </c>
      <c r="N35" s="1">
        <f t="shared" si="13"/>
        <v>25</v>
      </c>
      <c r="O35" s="828">
        <f t="shared" si="14"/>
        <v>-23</v>
      </c>
      <c r="P35" s="829">
        <f t="shared" si="3"/>
        <v>0</v>
      </c>
      <c r="Q35" s="371"/>
      <c r="R35" s="13">
        <f t="shared" si="4"/>
        <v>0</v>
      </c>
      <c r="S35" s="1">
        <f t="shared" si="15"/>
        <v>25</v>
      </c>
      <c r="T35" s="81">
        <f t="shared" si="5"/>
        <v>-23</v>
      </c>
    </row>
    <row r="36" spans="2:20" x14ac:dyDescent="0.25">
      <c r="M36" s="827">
        <f t="shared" si="2"/>
        <v>0</v>
      </c>
      <c r="N36" s="1">
        <f t="shared" si="13"/>
        <v>26</v>
      </c>
      <c r="O36" s="828">
        <f t="shared" si="14"/>
        <v>-24</v>
      </c>
      <c r="P36" s="829">
        <f t="shared" si="3"/>
        <v>0</v>
      </c>
      <c r="Q36" s="371"/>
      <c r="R36" s="13">
        <f t="shared" si="4"/>
        <v>0</v>
      </c>
      <c r="S36" s="1">
        <f t="shared" si="15"/>
        <v>26</v>
      </c>
      <c r="T36" s="81">
        <f t="shared" si="5"/>
        <v>-24</v>
      </c>
    </row>
    <row r="37" spans="2:20" x14ac:dyDescent="0.25">
      <c r="M37" s="827">
        <f t="shared" si="2"/>
        <v>0</v>
      </c>
      <c r="N37" s="1">
        <f t="shared" si="13"/>
        <v>27</v>
      </c>
      <c r="O37" s="828">
        <f t="shared" si="14"/>
        <v>-25</v>
      </c>
      <c r="P37" s="829">
        <f t="shared" si="3"/>
        <v>0</v>
      </c>
      <c r="Q37" s="371"/>
      <c r="R37" s="13">
        <f t="shared" si="4"/>
        <v>0</v>
      </c>
      <c r="S37" s="1">
        <f t="shared" si="15"/>
        <v>27</v>
      </c>
      <c r="T37" s="81">
        <f t="shared" si="5"/>
        <v>-25</v>
      </c>
    </row>
    <row r="38" spans="2:20" x14ac:dyDescent="0.25">
      <c r="M38" s="827">
        <f t="shared" si="2"/>
        <v>0</v>
      </c>
      <c r="N38" s="1">
        <f t="shared" si="13"/>
        <v>28</v>
      </c>
      <c r="O38" s="828">
        <f t="shared" si="14"/>
        <v>-26</v>
      </c>
      <c r="P38" s="829">
        <f t="shared" si="3"/>
        <v>0</v>
      </c>
      <c r="Q38" s="371"/>
      <c r="R38" s="13">
        <f t="shared" si="4"/>
        <v>0</v>
      </c>
      <c r="S38" s="1">
        <f t="shared" si="15"/>
        <v>28</v>
      </c>
      <c r="T38" s="81">
        <f t="shared" si="5"/>
        <v>-26</v>
      </c>
    </row>
    <row r="39" spans="2:20" x14ac:dyDescent="0.25">
      <c r="M39" s="827">
        <f t="shared" si="2"/>
        <v>0</v>
      </c>
      <c r="N39" s="1">
        <f t="shared" si="13"/>
        <v>29</v>
      </c>
      <c r="O39" s="828">
        <f t="shared" si="14"/>
        <v>-27</v>
      </c>
      <c r="P39" s="829">
        <f t="shared" si="3"/>
        <v>0</v>
      </c>
      <c r="Q39" s="371"/>
      <c r="R39" s="13">
        <f t="shared" si="4"/>
        <v>0</v>
      </c>
      <c r="S39" s="1">
        <f t="shared" si="15"/>
        <v>29</v>
      </c>
      <c r="T39" s="81">
        <f t="shared" si="5"/>
        <v>-27</v>
      </c>
    </row>
    <row r="40" spans="2:20" x14ac:dyDescent="0.25">
      <c r="M40" s="827">
        <f t="shared" si="2"/>
        <v>0</v>
      </c>
      <c r="N40" s="1">
        <f t="shared" si="13"/>
        <v>30</v>
      </c>
      <c r="O40" s="828">
        <f t="shared" si="14"/>
        <v>-28</v>
      </c>
      <c r="P40" s="829">
        <f t="shared" si="3"/>
        <v>0</v>
      </c>
      <c r="Q40" s="371"/>
      <c r="R40" s="13">
        <f t="shared" si="4"/>
        <v>0</v>
      </c>
      <c r="S40" s="1">
        <f t="shared" si="15"/>
        <v>30</v>
      </c>
      <c r="T40" s="81">
        <f t="shared" si="5"/>
        <v>-28</v>
      </c>
    </row>
    <row r="41" spans="2:20" x14ac:dyDescent="0.25">
      <c r="M41" s="827">
        <f t="shared" si="2"/>
        <v>0</v>
      </c>
      <c r="N41" s="1">
        <f t="shared" si="13"/>
        <v>31</v>
      </c>
      <c r="O41" s="828">
        <f t="shared" si="14"/>
        <v>-29</v>
      </c>
      <c r="P41" s="829">
        <f t="shared" si="3"/>
        <v>0</v>
      </c>
      <c r="Q41" s="371"/>
      <c r="R41" s="13">
        <f t="shared" si="4"/>
        <v>0</v>
      </c>
      <c r="S41" s="1">
        <f t="shared" si="15"/>
        <v>31</v>
      </c>
      <c r="T41" s="81">
        <f t="shared" si="5"/>
        <v>-29</v>
      </c>
    </row>
    <row r="42" spans="2:20" x14ac:dyDescent="0.25">
      <c r="M42" s="827">
        <f t="shared" si="2"/>
        <v>0</v>
      </c>
      <c r="N42" s="1">
        <f t="shared" si="13"/>
        <v>32</v>
      </c>
      <c r="O42" s="828">
        <f t="shared" si="14"/>
        <v>-30</v>
      </c>
      <c r="P42" s="829">
        <f t="shared" si="3"/>
        <v>0</v>
      </c>
      <c r="Q42" s="371"/>
      <c r="R42" s="13">
        <f t="shared" si="4"/>
        <v>0</v>
      </c>
      <c r="S42" s="1">
        <f t="shared" si="15"/>
        <v>32</v>
      </c>
      <c r="T42" s="81">
        <f t="shared" si="5"/>
        <v>-30</v>
      </c>
    </row>
    <row r="43" spans="2:20" x14ac:dyDescent="0.25">
      <c r="M43" s="827">
        <f t="shared" si="2"/>
        <v>0</v>
      </c>
      <c r="N43" s="1">
        <f t="shared" si="13"/>
        <v>33</v>
      </c>
      <c r="O43" s="828">
        <f t="shared" si="14"/>
        <v>-31</v>
      </c>
      <c r="P43" s="829">
        <f t="shared" si="3"/>
        <v>0</v>
      </c>
      <c r="Q43" s="371"/>
      <c r="R43" s="13">
        <f t="shared" si="4"/>
        <v>0</v>
      </c>
      <c r="S43" s="1">
        <f t="shared" si="15"/>
        <v>33</v>
      </c>
      <c r="T43" s="81">
        <f t="shared" si="5"/>
        <v>-31</v>
      </c>
    </row>
    <row r="44" spans="2:20" x14ac:dyDescent="0.25">
      <c r="M44" s="827">
        <f t="shared" si="2"/>
        <v>0</v>
      </c>
      <c r="N44" s="1">
        <f t="shared" si="13"/>
        <v>34</v>
      </c>
      <c r="O44" s="828">
        <f t="shared" si="14"/>
        <v>-32</v>
      </c>
      <c r="P44" s="829">
        <f t="shared" si="3"/>
        <v>0</v>
      </c>
      <c r="Q44" s="371"/>
      <c r="R44" s="13">
        <f t="shared" si="4"/>
        <v>0</v>
      </c>
      <c r="S44" s="1">
        <f t="shared" si="15"/>
        <v>34</v>
      </c>
      <c r="T44" s="81">
        <f t="shared" si="5"/>
        <v>-32</v>
      </c>
    </row>
    <row r="45" spans="2:20" x14ac:dyDescent="0.25">
      <c r="M45" s="827">
        <f t="shared" si="2"/>
        <v>0</v>
      </c>
      <c r="N45" s="1">
        <f>N44+1</f>
        <v>35</v>
      </c>
      <c r="O45" s="828">
        <f t="shared" si="14"/>
        <v>-33</v>
      </c>
      <c r="P45" s="829">
        <f t="shared" si="3"/>
        <v>0</v>
      </c>
      <c r="Q45" s="371"/>
      <c r="R45" s="13">
        <f t="shared" si="4"/>
        <v>0</v>
      </c>
      <c r="S45" s="1">
        <f t="shared" si="15"/>
        <v>35</v>
      </c>
      <c r="T45" s="81">
        <f t="shared" si="5"/>
        <v>-33</v>
      </c>
    </row>
    <row r="46" spans="2:20" x14ac:dyDescent="0.25">
      <c r="M46" s="827">
        <f t="shared" si="2"/>
        <v>0</v>
      </c>
      <c r="N46" s="1">
        <f t="shared" si="13"/>
        <v>36</v>
      </c>
      <c r="O46" s="828">
        <f t="shared" si="14"/>
        <v>-34</v>
      </c>
      <c r="P46" s="829">
        <f t="shared" si="3"/>
        <v>0</v>
      </c>
      <c r="Q46" s="371"/>
      <c r="R46" s="13">
        <f t="shared" si="4"/>
        <v>0</v>
      </c>
      <c r="S46" s="1">
        <f t="shared" si="15"/>
        <v>36</v>
      </c>
      <c r="T46" s="81">
        <f t="shared" si="5"/>
        <v>-34</v>
      </c>
    </row>
    <row r="47" spans="2:20" x14ac:dyDescent="0.25">
      <c r="O47" s="173"/>
    </row>
    <row r="48" spans="2:20" x14ac:dyDescent="0.25">
      <c r="O48" s="173"/>
    </row>
  </sheetData>
  <conditionalFormatting sqref="D11:D22">
    <cfRule type="expression" dxfId="67" priority="10">
      <formula>$B11=0</formula>
    </cfRule>
  </conditionalFormatting>
  <conditionalFormatting sqref="J11:J34">
    <cfRule type="expression" dxfId="66" priority="9">
      <formula>$H11=0</formula>
    </cfRule>
  </conditionalFormatting>
  <conditionalFormatting sqref="E11:E22">
    <cfRule type="expression" dxfId="65" priority="8">
      <formula>$B11=0</formula>
    </cfRule>
  </conditionalFormatting>
  <conditionalFormatting sqref="O11:O46">
    <cfRule type="expression" dxfId="64" priority="6">
      <formula>$M11=0</formula>
    </cfRule>
  </conditionalFormatting>
  <conditionalFormatting sqref="P11:Q46">
    <cfRule type="expression" dxfId="63" priority="5">
      <formula>$M11=0</formula>
    </cfRule>
  </conditionalFormatting>
  <conditionalFormatting sqref="K11:K34">
    <cfRule type="expression" dxfId="62" priority="2">
      <formula>$H11=0</formula>
    </cfRule>
  </conditionalFormatting>
  <conditionalFormatting sqref="F11:F22">
    <cfRule type="expression" dxfId="61" priority="1">
      <formula>$B11=0</formula>
    </cfRule>
  </conditionalFormatting>
  <printOptions horizontalCentered="1"/>
  <pageMargins left="0.7" right="0.7" top="0.75" bottom="0.75" header="0.3" footer="0.3"/>
  <pageSetup scale="76" orientation="landscape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>
    <tabColor theme="9" tint="-0.249977111117893"/>
    <pageSetUpPr fitToPage="1"/>
  </sheetPr>
  <dimension ref="A1:Q81"/>
  <sheetViews>
    <sheetView showGridLines="0" view="pageBreakPreview" zoomScaleNormal="110" zoomScaleSheetLayoutView="100" workbookViewId="0"/>
  </sheetViews>
  <sheetFormatPr defaultColWidth="8.5703125" defaultRowHeight="15" x14ac:dyDescent="0.25"/>
  <cols>
    <col min="1" max="1" width="2.42578125" style="1" customWidth="1"/>
    <col min="2" max="2" width="3" style="1" customWidth="1"/>
    <col min="3" max="3" width="19.5703125" style="1" customWidth="1"/>
    <col min="4" max="4" width="6.5703125" style="1" customWidth="1"/>
    <col min="5" max="8" width="12.42578125" style="1" customWidth="1"/>
    <col min="9" max="9" width="12.42578125" style="83" customWidth="1"/>
    <col min="10" max="12" width="12.42578125" style="1" customWidth="1"/>
    <col min="13" max="15" width="8.42578125" style="1" customWidth="1"/>
    <col min="16" max="16384" width="8.5703125" style="1"/>
  </cols>
  <sheetData>
    <row r="1" spans="1:15" ht="6" customHeight="1" thickBot="1" x14ac:dyDescent="0.3">
      <c r="B1" s="85"/>
      <c r="C1" s="86"/>
      <c r="D1" s="85"/>
      <c r="E1" s="85"/>
      <c r="F1" s="85"/>
      <c r="G1" s="85"/>
      <c r="H1" s="85"/>
      <c r="I1" s="383"/>
      <c r="J1" s="85"/>
      <c r="K1" s="85"/>
      <c r="L1" s="85"/>
      <c r="M1" s="528"/>
      <c r="N1" s="528"/>
    </row>
    <row r="2" spans="1:15" ht="16.5" thickTop="1" x14ac:dyDescent="0.25">
      <c r="B2" s="110" t="str">
        <f>MainOutline!B2</f>
        <v>WB Santa Cruz</v>
      </c>
      <c r="C2" s="111"/>
      <c r="D2" s="111"/>
      <c r="E2" s="111"/>
      <c r="F2" s="111"/>
      <c r="G2" s="111"/>
      <c r="H2" s="111"/>
      <c r="I2" s="385"/>
      <c r="J2" s="111"/>
      <c r="K2" s="111"/>
      <c r="L2" s="1409">
        <f>$A3</f>
        <v>42</v>
      </c>
      <c r="M2" s="528"/>
      <c r="N2" s="528"/>
    </row>
    <row r="3" spans="1:15" ht="15.75" x14ac:dyDescent="0.25">
      <c r="A3" s="123">
        <f>MainOutline!B57</f>
        <v>42</v>
      </c>
      <c r="B3" s="102" t="str">
        <f>MainOutline!C57</f>
        <v>Appendix C12</v>
      </c>
      <c r="C3" s="89"/>
      <c r="D3" s="89"/>
      <c r="E3" s="89"/>
      <c r="F3" s="89"/>
      <c r="G3" s="89"/>
      <c r="H3" s="89"/>
      <c r="I3" s="386"/>
      <c r="J3" s="89"/>
      <c r="K3" s="89"/>
      <c r="L3" s="89"/>
      <c r="M3" s="528"/>
      <c r="N3" s="528"/>
    </row>
    <row r="4" spans="1:15" ht="16.5" thickBot="1" x14ac:dyDescent="0.3">
      <c r="B4" s="104" t="s">
        <v>420</v>
      </c>
      <c r="C4" s="97"/>
      <c r="D4" s="97"/>
      <c r="E4" s="97"/>
      <c r="F4" s="97"/>
      <c r="G4" s="97"/>
      <c r="H4" s="97"/>
      <c r="I4" s="387"/>
      <c r="J4" s="97"/>
      <c r="K4" s="97"/>
      <c r="L4" s="388"/>
      <c r="M4" s="528"/>
      <c r="N4" s="528"/>
    </row>
    <row r="5" spans="1:15" ht="15.75" thickTop="1" x14ac:dyDescent="0.25">
      <c r="M5" s="528"/>
      <c r="N5" s="528"/>
    </row>
    <row r="6" spans="1:15" x14ac:dyDescent="0.25">
      <c r="E6" s="511"/>
      <c r="M6" s="528"/>
      <c r="N6" s="528"/>
    </row>
    <row r="7" spans="1:15" ht="17.25" x14ac:dyDescent="0.4">
      <c r="A7" s="173"/>
      <c r="B7" s="830"/>
      <c r="C7" s="292"/>
      <c r="D7" s="830"/>
      <c r="E7" s="830" t="s">
        <v>421</v>
      </c>
      <c r="F7" s="292"/>
      <c r="G7" s="292"/>
      <c r="J7" s="830" t="s">
        <v>425</v>
      </c>
      <c r="K7" s="292"/>
      <c r="L7" s="292"/>
    </row>
    <row r="8" spans="1:15" x14ac:dyDescent="0.25">
      <c r="A8" s="511"/>
      <c r="E8" s="83" t="s">
        <v>460</v>
      </c>
      <c r="G8" s="511">
        <v>3</v>
      </c>
      <c r="J8" s="83" t="s">
        <v>460</v>
      </c>
      <c r="L8" s="511">
        <v>1</v>
      </c>
      <c r="M8" s="528"/>
      <c r="N8" s="528"/>
    </row>
    <row r="9" spans="1:15" x14ac:dyDescent="0.25">
      <c r="A9" s="511"/>
      <c r="B9" s="511"/>
      <c r="D9" s="244"/>
      <c r="E9" s="83" t="s">
        <v>461</v>
      </c>
      <c r="G9" s="511">
        <v>2</v>
      </c>
      <c r="J9" s="83" t="s">
        <v>461</v>
      </c>
      <c r="L9" s="511">
        <v>2</v>
      </c>
      <c r="M9" s="528"/>
      <c r="N9" s="528"/>
    </row>
    <row r="10" spans="1:15" x14ac:dyDescent="0.25">
      <c r="A10" s="511"/>
      <c r="B10" s="511"/>
      <c r="D10" s="244"/>
      <c r="E10" s="831" t="s">
        <v>455</v>
      </c>
      <c r="G10" s="832">
        <f>G8*G9</f>
        <v>6</v>
      </c>
      <c r="J10" s="831" t="s">
        <v>455</v>
      </c>
      <c r="L10" s="832">
        <f>L8*L9</f>
        <v>2</v>
      </c>
      <c r="M10" s="528"/>
      <c r="N10" s="528"/>
    </row>
    <row r="11" spans="1:15" x14ac:dyDescent="0.25">
      <c r="A11" s="511"/>
      <c r="B11" s="511"/>
      <c r="D11" s="173"/>
      <c r="E11" s="511"/>
      <c r="F11" s="831"/>
      <c r="H11" s="832"/>
      <c r="J11" s="831"/>
      <c r="L11" s="832"/>
      <c r="M11" s="528"/>
      <c r="N11" s="528"/>
    </row>
    <row r="12" spans="1:15" x14ac:dyDescent="0.25">
      <c r="A12" s="511"/>
      <c r="B12" s="511"/>
      <c r="C12" s="833"/>
      <c r="D12" s="511"/>
      <c r="E12" s="511"/>
      <c r="I12" s="1"/>
      <c r="M12" s="528"/>
      <c r="N12" s="528"/>
    </row>
    <row r="13" spans="1:15" s="291" customFormat="1" ht="17.25" x14ac:dyDescent="0.4">
      <c r="A13" s="511"/>
      <c r="B13" s="511"/>
      <c r="C13" s="752"/>
      <c r="D13" s="511"/>
      <c r="E13" s="511"/>
      <c r="G13" s="1"/>
      <c r="H13" s="291" t="s">
        <v>116</v>
      </c>
      <c r="I13" s="291" t="s">
        <v>90</v>
      </c>
      <c r="J13" s="291" t="s">
        <v>91</v>
      </c>
      <c r="K13" s="291" t="s">
        <v>92</v>
      </c>
      <c r="L13" s="291" t="s">
        <v>93</v>
      </c>
      <c r="M13" s="528"/>
      <c r="N13" s="528"/>
    </row>
    <row r="14" spans="1:15" s="173" customFormat="1" x14ac:dyDescent="0.25">
      <c r="C14" s="83"/>
      <c r="M14" s="1"/>
      <c r="N14" s="1"/>
      <c r="O14" s="834"/>
    </row>
    <row r="15" spans="1:15" s="173" customFormat="1" x14ac:dyDescent="0.25">
      <c r="B15" s="1" t="s">
        <v>453</v>
      </c>
      <c r="C15" s="83"/>
      <c r="M15" s="1"/>
      <c r="N15" s="1"/>
      <c r="O15" s="834"/>
    </row>
    <row r="16" spans="1:15" s="173" customFormat="1" x14ac:dyDescent="0.25">
      <c r="B16" s="1"/>
      <c r="C16" s="83"/>
      <c r="M16" s="1"/>
      <c r="N16" s="1"/>
      <c r="O16" s="834"/>
    </row>
    <row r="17" spans="2:17" x14ac:dyDescent="0.25">
      <c r="C17" s="83" t="s">
        <v>456</v>
      </c>
      <c r="D17" s="832">
        <f>'A1'!$Q$13</f>
        <v>0</v>
      </c>
      <c r="E17" s="1" t="s">
        <v>230</v>
      </c>
      <c r="F17" s="78">
        <f>'C1'!G10</f>
        <v>0</v>
      </c>
      <c r="H17" s="835">
        <f>$G10*D$17*$F17</f>
        <v>0</v>
      </c>
      <c r="I17" s="835">
        <f>H17</f>
        <v>0</v>
      </c>
      <c r="J17" s="835">
        <f>I17</f>
        <v>0</v>
      </c>
      <c r="K17" s="835">
        <f>J17</f>
        <v>0</v>
      </c>
      <c r="L17" s="835">
        <f>K17</f>
        <v>0</v>
      </c>
    </row>
    <row r="18" spans="2:17" x14ac:dyDescent="0.25">
      <c r="C18" s="83" t="s">
        <v>457</v>
      </c>
      <c r="D18" s="832"/>
      <c r="F18" s="82">
        <f>F17</f>
        <v>0</v>
      </c>
      <c r="H18" s="836">
        <f>$F18*'C1'!AA10</f>
        <v>0</v>
      </c>
      <c r="I18" s="836">
        <f>$F18*'C1'!AB10</f>
        <v>0</v>
      </c>
      <c r="J18" s="836">
        <f>$F18*'C1'!AC10</f>
        <v>0</v>
      </c>
      <c r="K18" s="836">
        <f>$F18*'C1'!AD10</f>
        <v>0</v>
      </c>
      <c r="L18" s="836">
        <f>$F18*'C1'!AE10</f>
        <v>0</v>
      </c>
    </row>
    <row r="19" spans="2:17" x14ac:dyDescent="0.25">
      <c r="C19" s="837" t="s">
        <v>426</v>
      </c>
      <c r="D19" s="838"/>
      <c r="E19" s="839"/>
      <c r="F19" s="840"/>
      <c r="G19" s="840"/>
      <c r="H19" s="841">
        <f>H17-H18</f>
        <v>0</v>
      </c>
      <c r="I19" s="841">
        <f>I17-I18</f>
        <v>0</v>
      </c>
      <c r="J19" s="841">
        <f>J17-J18</f>
        <v>0</v>
      </c>
      <c r="K19" s="841">
        <f>K17-K18</f>
        <v>0</v>
      </c>
      <c r="L19" s="841">
        <f>L17-L18</f>
        <v>0</v>
      </c>
    </row>
    <row r="20" spans="2:17" x14ac:dyDescent="0.25">
      <c r="B20" s="81"/>
      <c r="C20" s="81"/>
      <c r="D20" s="652"/>
      <c r="E20" s="652"/>
      <c r="F20" s="652"/>
      <c r="G20" s="81"/>
      <c r="H20" s="81"/>
      <c r="I20" s="175"/>
      <c r="J20" s="81"/>
      <c r="K20" s="81"/>
      <c r="L20" s="81"/>
    </row>
    <row r="21" spans="2:17" x14ac:dyDescent="0.25">
      <c r="B21" s="81"/>
      <c r="C21" s="81"/>
      <c r="D21" s="652"/>
      <c r="E21" s="652"/>
      <c r="F21" s="652"/>
      <c r="G21" s="81"/>
      <c r="H21" s="81"/>
      <c r="I21" s="175"/>
      <c r="J21" s="81"/>
      <c r="K21" s="81"/>
      <c r="L21" s="81"/>
    </row>
    <row r="22" spans="2:17" x14ac:dyDescent="0.25">
      <c r="B22" s="1" t="s">
        <v>454</v>
      </c>
      <c r="C22" s="83"/>
      <c r="D22" s="173"/>
      <c r="E22" s="173"/>
      <c r="F22" s="173"/>
      <c r="G22" s="173"/>
      <c r="H22" s="173"/>
      <c r="I22" s="173"/>
      <c r="J22" s="173"/>
      <c r="K22" s="173"/>
      <c r="L22" s="173"/>
    </row>
    <row r="23" spans="2:17" x14ac:dyDescent="0.25">
      <c r="C23" s="83"/>
      <c r="D23" s="173"/>
      <c r="E23" s="173"/>
      <c r="F23" s="173"/>
      <c r="G23" s="173"/>
      <c r="H23" s="173"/>
      <c r="I23" s="173"/>
      <c r="J23" s="173"/>
      <c r="K23" s="173"/>
      <c r="L23" s="173"/>
    </row>
    <row r="24" spans="2:17" x14ac:dyDescent="0.25">
      <c r="C24" s="83" t="str">
        <f>C17</f>
        <v>Patient Limit for</v>
      </c>
      <c r="D24" s="832">
        <f>'A1'!$Q$13</f>
        <v>0</v>
      </c>
      <c r="E24" s="1" t="s">
        <v>230</v>
      </c>
      <c r="F24" s="78">
        <f>'C1'!G11</f>
        <v>0</v>
      </c>
      <c r="H24" s="835">
        <f>$L10*D$24*$F24</f>
        <v>0</v>
      </c>
      <c r="I24" s="835">
        <f>H24</f>
        <v>0</v>
      </c>
      <c r="J24" s="835">
        <f>I24</f>
        <v>0</v>
      </c>
      <c r="K24" s="835">
        <f>J24</f>
        <v>0</v>
      </c>
      <c r="L24" s="835">
        <f>K24</f>
        <v>0</v>
      </c>
    </row>
    <row r="25" spans="2:17" ht="17.25" x14ac:dyDescent="0.4">
      <c r="C25" s="83" t="s">
        <v>458</v>
      </c>
      <c r="D25" s="832"/>
      <c r="F25" s="78">
        <f>F24</f>
        <v>0</v>
      </c>
      <c r="H25" s="842">
        <f>$F25*'C1'!AA11</f>
        <v>0</v>
      </c>
      <c r="I25" s="842">
        <f>$F25*'C1'!AB11</f>
        <v>0</v>
      </c>
      <c r="J25" s="842">
        <f>$F25*'C1'!AC11</f>
        <v>0</v>
      </c>
      <c r="K25" s="842">
        <f>$F25*'C1'!AD11</f>
        <v>0</v>
      </c>
      <c r="L25" s="842">
        <f>$F25*'C1'!AE11</f>
        <v>0</v>
      </c>
    </row>
    <row r="26" spans="2:17" x14ac:dyDescent="0.25">
      <c r="C26" s="837" t="s">
        <v>426</v>
      </c>
      <c r="D26" s="843"/>
      <c r="E26" s="843"/>
      <c r="F26" s="843"/>
      <c r="G26" s="843"/>
      <c r="H26" s="841">
        <f>H24-H25</f>
        <v>0</v>
      </c>
      <c r="I26" s="841">
        <f>I24-I25</f>
        <v>0</v>
      </c>
      <c r="J26" s="841">
        <f>J24-J25</f>
        <v>0</v>
      </c>
      <c r="K26" s="841">
        <f>K24-K25</f>
        <v>0</v>
      </c>
      <c r="L26" s="841">
        <f>L24-L25</f>
        <v>0</v>
      </c>
    </row>
    <row r="29" spans="2:17" x14ac:dyDescent="0.25">
      <c r="I29" s="1"/>
    </row>
    <row r="32" spans="2:17" x14ac:dyDescent="0.25">
      <c r="B32" s="528"/>
      <c r="C32" s="528"/>
      <c r="D32" s="528"/>
      <c r="E32" s="528"/>
      <c r="F32" s="528"/>
      <c r="G32" s="528"/>
      <c r="H32" s="528"/>
      <c r="I32" s="531"/>
      <c r="J32" s="528"/>
      <c r="K32" s="528"/>
      <c r="L32" s="528"/>
      <c r="M32" s="528"/>
      <c r="N32" s="528"/>
      <c r="O32" s="528"/>
      <c r="P32" s="528"/>
      <c r="Q32" s="528"/>
    </row>
    <row r="33" spans="2:17" x14ac:dyDescent="0.25">
      <c r="B33" s="528"/>
      <c r="C33" s="528"/>
      <c r="D33" s="528"/>
      <c r="E33" s="528"/>
      <c r="F33" s="528"/>
      <c r="G33" s="528"/>
      <c r="H33" s="528"/>
      <c r="I33" s="531"/>
      <c r="J33" s="528"/>
      <c r="K33" s="528"/>
      <c r="L33" s="528"/>
      <c r="M33" s="528"/>
      <c r="N33" s="528"/>
      <c r="O33" s="528"/>
      <c r="P33" s="528"/>
      <c r="Q33" s="528"/>
    </row>
    <row r="34" spans="2:17" x14ac:dyDescent="0.25">
      <c r="B34" s="528"/>
      <c r="C34" s="528"/>
      <c r="D34" s="528"/>
      <c r="E34" s="528"/>
      <c r="F34" s="528"/>
      <c r="G34" s="528"/>
      <c r="H34" s="528"/>
      <c r="I34" s="531"/>
      <c r="J34" s="528"/>
      <c r="K34" s="528"/>
      <c r="L34" s="528"/>
      <c r="M34" s="528"/>
      <c r="N34" s="528"/>
      <c r="O34" s="528"/>
      <c r="P34" s="528"/>
      <c r="Q34" s="528"/>
    </row>
    <row r="35" spans="2:17" x14ac:dyDescent="0.25">
      <c r="B35" s="528"/>
      <c r="C35" s="528"/>
      <c r="D35" s="528"/>
      <c r="E35" s="528"/>
      <c r="F35" s="528"/>
      <c r="G35" s="528"/>
      <c r="H35" s="528"/>
      <c r="I35" s="531"/>
      <c r="J35" s="528"/>
      <c r="K35" s="528"/>
      <c r="L35" s="528"/>
      <c r="M35" s="528"/>
      <c r="N35" s="528"/>
      <c r="O35" s="528"/>
      <c r="P35" s="528"/>
      <c r="Q35" s="528"/>
    </row>
    <row r="36" spans="2:17" x14ac:dyDescent="0.25">
      <c r="B36" s="528"/>
      <c r="C36" s="528"/>
      <c r="D36" s="528"/>
      <c r="E36" s="528"/>
      <c r="F36" s="528"/>
      <c r="G36" s="528"/>
      <c r="H36" s="528"/>
      <c r="I36" s="531"/>
      <c r="J36" s="528"/>
      <c r="K36" s="528"/>
      <c r="L36" s="528"/>
      <c r="M36" s="528"/>
      <c r="N36" s="528"/>
      <c r="O36" s="528"/>
      <c r="P36" s="528"/>
      <c r="Q36" s="528"/>
    </row>
    <row r="37" spans="2:17" x14ac:dyDescent="0.25">
      <c r="B37" s="528"/>
      <c r="C37" s="528"/>
      <c r="D37" s="528"/>
      <c r="E37" s="528"/>
      <c r="F37" s="528"/>
      <c r="G37" s="528"/>
      <c r="H37" s="528"/>
      <c r="I37" s="531"/>
      <c r="J37" s="528"/>
      <c r="K37" s="528"/>
      <c r="L37" s="528"/>
      <c r="M37" s="528"/>
      <c r="N37" s="528"/>
      <c r="O37" s="528"/>
      <c r="P37" s="528"/>
      <c r="Q37" s="528"/>
    </row>
    <row r="38" spans="2:17" x14ac:dyDescent="0.25">
      <c r="B38" s="528"/>
      <c r="C38" s="528"/>
      <c r="D38" s="528"/>
      <c r="E38" s="528"/>
      <c r="F38" s="528"/>
      <c r="G38" s="528"/>
      <c r="H38" s="528"/>
      <c r="I38" s="531"/>
      <c r="J38" s="528"/>
      <c r="K38" s="528"/>
      <c r="L38" s="528"/>
      <c r="M38" s="528"/>
      <c r="N38" s="528"/>
      <c r="O38" s="528"/>
      <c r="P38" s="528"/>
      <c r="Q38" s="528"/>
    </row>
    <row r="39" spans="2:17" x14ac:dyDescent="0.25">
      <c r="B39" s="528"/>
      <c r="C39" s="528"/>
      <c r="D39" s="528"/>
      <c r="E39" s="528"/>
      <c r="F39" s="528"/>
      <c r="G39" s="528"/>
      <c r="H39" s="528"/>
      <c r="I39" s="531"/>
      <c r="J39" s="528"/>
      <c r="K39" s="528"/>
      <c r="L39" s="528"/>
      <c r="M39" s="528"/>
      <c r="N39" s="528"/>
      <c r="O39" s="528"/>
      <c r="P39" s="528"/>
      <c r="Q39" s="528"/>
    </row>
    <row r="40" spans="2:17" x14ac:dyDescent="0.25">
      <c r="B40" s="528"/>
      <c r="C40" s="528"/>
      <c r="D40" s="528"/>
      <c r="E40" s="528"/>
      <c r="F40" s="528"/>
      <c r="G40" s="528"/>
      <c r="H40" s="528"/>
      <c r="I40" s="531"/>
      <c r="J40" s="528"/>
      <c r="K40" s="528"/>
      <c r="L40" s="528"/>
      <c r="M40" s="528"/>
      <c r="N40" s="528"/>
      <c r="O40" s="528"/>
      <c r="P40" s="528"/>
      <c r="Q40" s="528"/>
    </row>
    <row r="41" spans="2:17" x14ac:dyDescent="0.25">
      <c r="B41" s="528"/>
      <c r="C41" s="528"/>
      <c r="D41" s="528"/>
      <c r="E41" s="528"/>
      <c r="F41" s="528"/>
      <c r="G41" s="528"/>
      <c r="H41" s="528"/>
      <c r="I41" s="531"/>
      <c r="J41" s="528"/>
      <c r="K41" s="528"/>
      <c r="L41" s="528"/>
      <c r="M41" s="528"/>
      <c r="N41" s="528"/>
      <c r="O41" s="528"/>
      <c r="P41" s="528"/>
      <c r="Q41" s="528"/>
    </row>
    <row r="42" spans="2:17" x14ac:dyDescent="0.25">
      <c r="B42" s="528"/>
      <c r="C42" s="528"/>
      <c r="D42" s="528"/>
      <c r="E42" s="528"/>
      <c r="F42" s="528"/>
      <c r="G42" s="528"/>
      <c r="H42" s="528"/>
      <c r="I42" s="531"/>
      <c r="J42" s="528"/>
      <c r="K42" s="528"/>
      <c r="L42" s="528"/>
      <c r="M42" s="528"/>
      <c r="N42" s="528"/>
      <c r="O42" s="528"/>
      <c r="P42" s="528"/>
      <c r="Q42" s="528"/>
    </row>
    <row r="43" spans="2:17" x14ac:dyDescent="0.25">
      <c r="B43" s="528"/>
      <c r="C43" s="528"/>
      <c r="D43" s="528"/>
      <c r="E43" s="528"/>
      <c r="F43" s="528"/>
      <c r="G43" s="528"/>
      <c r="H43" s="528"/>
      <c r="I43" s="531"/>
      <c r="J43" s="528"/>
      <c r="K43" s="528"/>
      <c r="L43" s="528"/>
      <c r="M43" s="528"/>
      <c r="N43" s="528"/>
      <c r="O43" s="528"/>
      <c r="P43" s="528"/>
      <c r="Q43" s="528"/>
    </row>
    <row r="44" spans="2:17" x14ac:dyDescent="0.25">
      <c r="B44" s="528"/>
      <c r="C44" s="528"/>
      <c r="D44" s="528"/>
      <c r="E44" s="528"/>
      <c r="F44" s="528"/>
      <c r="G44" s="528"/>
      <c r="H44" s="528"/>
      <c r="I44" s="531"/>
      <c r="J44" s="528"/>
      <c r="K44" s="528"/>
      <c r="L44" s="528"/>
      <c r="M44" s="528"/>
      <c r="N44" s="528"/>
      <c r="O44" s="528"/>
      <c r="P44" s="528"/>
      <c r="Q44" s="528"/>
    </row>
    <row r="45" spans="2:17" x14ac:dyDescent="0.25">
      <c r="B45" s="528"/>
      <c r="C45" s="528"/>
      <c r="D45" s="528"/>
      <c r="E45" s="528"/>
      <c r="F45" s="528"/>
      <c r="G45" s="528"/>
      <c r="H45" s="528"/>
      <c r="I45" s="531"/>
      <c r="J45" s="528"/>
      <c r="K45" s="528"/>
      <c r="L45" s="528"/>
      <c r="M45" s="528"/>
      <c r="N45" s="528"/>
      <c r="O45" s="528"/>
      <c r="P45" s="528"/>
      <c r="Q45" s="528"/>
    </row>
    <row r="46" spans="2:17" x14ac:dyDescent="0.25">
      <c r="B46" s="528"/>
      <c r="C46" s="528"/>
      <c r="D46" s="528"/>
      <c r="E46" s="528"/>
      <c r="F46" s="528"/>
      <c r="G46" s="528"/>
      <c r="H46" s="528"/>
      <c r="I46" s="531"/>
      <c r="J46" s="528"/>
      <c r="K46" s="528"/>
      <c r="L46" s="528"/>
      <c r="M46" s="528"/>
      <c r="N46" s="528"/>
      <c r="O46" s="528"/>
      <c r="P46" s="528"/>
      <c r="Q46" s="528"/>
    </row>
    <row r="47" spans="2:17" x14ac:dyDescent="0.25">
      <c r="B47" s="528"/>
      <c r="C47" s="528"/>
      <c r="D47" s="528"/>
      <c r="E47" s="528"/>
      <c r="F47" s="528"/>
      <c r="G47" s="528"/>
      <c r="H47" s="528"/>
      <c r="I47" s="531"/>
      <c r="J47" s="528"/>
      <c r="K47" s="528"/>
      <c r="L47" s="528"/>
      <c r="M47" s="528"/>
      <c r="N47" s="528"/>
      <c r="O47" s="528"/>
      <c r="P47" s="528"/>
      <c r="Q47" s="528"/>
    </row>
    <row r="48" spans="2:17" x14ac:dyDescent="0.25">
      <c r="B48" s="528"/>
      <c r="C48" s="528"/>
      <c r="D48" s="528"/>
      <c r="E48" s="528"/>
      <c r="F48" s="528"/>
      <c r="G48" s="528"/>
      <c r="H48" s="528"/>
      <c r="I48" s="531"/>
      <c r="J48" s="528"/>
      <c r="K48" s="528"/>
      <c r="L48" s="528"/>
      <c r="M48" s="528"/>
      <c r="N48" s="528"/>
      <c r="O48" s="528"/>
      <c r="P48" s="528"/>
      <c r="Q48" s="528"/>
    </row>
    <row r="49" spans="2:17" x14ac:dyDescent="0.25">
      <c r="B49" s="528"/>
      <c r="C49" s="528"/>
      <c r="D49" s="528"/>
      <c r="E49" s="528"/>
      <c r="F49" s="528"/>
      <c r="G49" s="528"/>
      <c r="H49" s="528"/>
      <c r="I49" s="531"/>
      <c r="J49" s="528"/>
      <c r="K49" s="528"/>
      <c r="L49" s="528"/>
      <c r="M49" s="528"/>
      <c r="N49" s="528"/>
      <c r="O49" s="528"/>
      <c r="P49" s="528"/>
      <c r="Q49" s="528"/>
    </row>
    <row r="50" spans="2:17" x14ac:dyDescent="0.25">
      <c r="B50" s="528"/>
      <c r="C50" s="528"/>
      <c r="D50" s="528"/>
      <c r="E50" s="528"/>
      <c r="F50" s="528"/>
      <c r="G50" s="528"/>
      <c r="H50" s="528"/>
      <c r="I50" s="531"/>
      <c r="J50" s="528"/>
      <c r="K50" s="528"/>
      <c r="L50" s="528"/>
      <c r="M50" s="528"/>
      <c r="N50" s="528"/>
      <c r="O50" s="528"/>
      <c r="P50" s="528"/>
      <c r="Q50" s="528"/>
    </row>
    <row r="51" spans="2:17" x14ac:dyDescent="0.25">
      <c r="B51" s="528"/>
      <c r="C51" s="528"/>
      <c r="D51" s="528"/>
      <c r="E51" s="528"/>
      <c r="F51" s="528"/>
      <c r="G51" s="528"/>
      <c r="H51" s="528"/>
      <c r="I51" s="531"/>
      <c r="J51" s="528"/>
      <c r="K51" s="528"/>
      <c r="L51" s="528"/>
      <c r="M51" s="528"/>
      <c r="N51" s="528"/>
      <c r="O51" s="528"/>
      <c r="P51" s="528"/>
      <c r="Q51" s="528"/>
    </row>
    <row r="52" spans="2:17" x14ac:dyDescent="0.25">
      <c r="B52" s="528"/>
      <c r="C52" s="528"/>
      <c r="D52" s="528"/>
      <c r="E52" s="528"/>
      <c r="F52" s="528"/>
      <c r="G52" s="528"/>
      <c r="H52" s="528"/>
      <c r="I52" s="531"/>
      <c r="J52" s="528"/>
      <c r="K52" s="528"/>
      <c r="L52" s="528"/>
      <c r="M52" s="528"/>
      <c r="N52" s="528"/>
      <c r="O52" s="528"/>
      <c r="P52" s="528"/>
      <c r="Q52" s="528"/>
    </row>
    <row r="53" spans="2:17" x14ac:dyDescent="0.25">
      <c r="B53" s="528"/>
      <c r="C53" s="528"/>
      <c r="D53" s="528"/>
      <c r="E53" s="528"/>
      <c r="F53" s="528"/>
      <c r="G53" s="528"/>
      <c r="H53" s="528"/>
      <c r="I53" s="531"/>
      <c r="J53" s="528"/>
      <c r="K53" s="528"/>
      <c r="L53" s="528"/>
      <c r="M53" s="528"/>
      <c r="N53" s="528"/>
      <c r="O53" s="528"/>
      <c r="P53" s="528"/>
      <c r="Q53" s="528"/>
    </row>
    <row r="54" spans="2:17" x14ac:dyDescent="0.25">
      <c r="B54" s="528"/>
      <c r="C54" s="528"/>
      <c r="D54" s="528"/>
      <c r="E54" s="528"/>
      <c r="F54" s="528"/>
      <c r="G54" s="528"/>
      <c r="H54" s="528"/>
      <c r="I54" s="531"/>
      <c r="J54" s="528"/>
      <c r="K54" s="528"/>
      <c r="L54" s="528"/>
      <c r="M54" s="528"/>
      <c r="N54" s="528"/>
      <c r="O54" s="528"/>
      <c r="P54" s="528"/>
      <c r="Q54" s="528"/>
    </row>
    <row r="55" spans="2:17" x14ac:dyDescent="0.25">
      <c r="B55" s="528"/>
      <c r="C55" s="528"/>
      <c r="D55" s="528"/>
      <c r="E55" s="528"/>
      <c r="F55" s="528"/>
      <c r="G55" s="528"/>
      <c r="H55" s="528"/>
      <c r="I55" s="531"/>
      <c r="J55" s="528"/>
      <c r="K55" s="528"/>
      <c r="L55" s="528"/>
      <c r="M55" s="528"/>
      <c r="N55" s="528"/>
      <c r="O55" s="528"/>
      <c r="P55" s="528"/>
      <c r="Q55" s="528"/>
    </row>
    <row r="56" spans="2:17" x14ac:dyDescent="0.25">
      <c r="B56" s="528"/>
      <c r="C56" s="528"/>
      <c r="D56" s="528"/>
      <c r="E56" s="528"/>
      <c r="F56" s="528"/>
      <c r="G56" s="528"/>
      <c r="H56" s="528"/>
      <c r="I56" s="531"/>
      <c r="J56" s="528"/>
      <c r="K56" s="528"/>
      <c r="L56" s="528"/>
      <c r="M56" s="528"/>
      <c r="N56" s="528"/>
      <c r="O56" s="528"/>
      <c r="P56" s="528"/>
      <c r="Q56" s="528"/>
    </row>
    <row r="57" spans="2:17" x14ac:dyDescent="0.25">
      <c r="B57" s="528"/>
      <c r="C57" s="528"/>
      <c r="D57" s="528"/>
      <c r="E57" s="528"/>
      <c r="F57" s="528"/>
      <c r="G57" s="528"/>
      <c r="H57" s="528"/>
      <c r="I57" s="531"/>
      <c r="J57" s="528"/>
      <c r="K57" s="528"/>
      <c r="L57" s="528"/>
      <c r="M57" s="528"/>
      <c r="N57" s="528"/>
      <c r="O57" s="528"/>
      <c r="P57" s="528"/>
      <c r="Q57" s="528"/>
    </row>
    <row r="58" spans="2:17" x14ac:dyDescent="0.25">
      <c r="B58" s="528"/>
      <c r="C58" s="528"/>
      <c r="D58" s="528"/>
      <c r="E58" s="528"/>
      <c r="F58" s="528"/>
      <c r="G58" s="528"/>
      <c r="H58" s="528"/>
      <c r="I58" s="531"/>
      <c r="J58" s="528"/>
      <c r="K58" s="528"/>
      <c r="L58" s="528"/>
      <c r="M58" s="528"/>
      <c r="N58" s="528"/>
      <c r="O58" s="528"/>
      <c r="P58" s="528"/>
      <c r="Q58" s="528"/>
    </row>
    <row r="59" spans="2:17" x14ac:dyDescent="0.25">
      <c r="B59" s="528"/>
      <c r="C59" s="528"/>
      <c r="D59" s="528"/>
      <c r="E59" s="528"/>
      <c r="F59" s="528"/>
      <c r="G59" s="528"/>
      <c r="H59" s="528"/>
      <c r="I59" s="531"/>
      <c r="J59" s="528"/>
      <c r="K59" s="528"/>
      <c r="L59" s="528"/>
      <c r="M59" s="528"/>
      <c r="N59" s="528"/>
      <c r="O59" s="528"/>
      <c r="P59" s="528"/>
      <c r="Q59" s="528"/>
    </row>
    <row r="60" spans="2:17" x14ac:dyDescent="0.25">
      <c r="B60" s="528"/>
      <c r="C60" s="528"/>
      <c r="D60" s="528"/>
      <c r="E60" s="528"/>
      <c r="F60" s="528"/>
      <c r="G60" s="528"/>
      <c r="H60" s="528"/>
      <c r="I60" s="531"/>
      <c r="J60" s="528"/>
      <c r="K60" s="528"/>
      <c r="L60" s="528"/>
      <c r="M60" s="528"/>
      <c r="N60" s="528"/>
      <c r="O60" s="528"/>
      <c r="P60" s="528"/>
      <c r="Q60" s="528"/>
    </row>
    <row r="61" spans="2:17" x14ac:dyDescent="0.25">
      <c r="B61" s="528"/>
      <c r="C61" s="528"/>
      <c r="D61" s="528"/>
      <c r="E61" s="528"/>
      <c r="F61" s="528"/>
      <c r="G61" s="528"/>
      <c r="H61" s="528"/>
      <c r="I61" s="531"/>
      <c r="J61" s="528"/>
      <c r="K61" s="528"/>
      <c r="L61" s="528"/>
      <c r="M61" s="528"/>
      <c r="N61" s="528"/>
      <c r="O61" s="528"/>
      <c r="P61" s="528"/>
      <c r="Q61" s="528"/>
    </row>
    <row r="62" spans="2:17" x14ac:dyDescent="0.25">
      <c r="B62" s="528"/>
      <c r="C62" s="528"/>
      <c r="D62" s="528"/>
      <c r="E62" s="528"/>
      <c r="F62" s="528"/>
      <c r="G62" s="528"/>
      <c r="H62" s="528"/>
      <c r="I62" s="531"/>
      <c r="J62" s="528"/>
      <c r="K62" s="528"/>
      <c r="L62" s="528"/>
      <c r="M62" s="528"/>
      <c r="N62" s="528"/>
      <c r="O62" s="528"/>
      <c r="P62" s="528"/>
      <c r="Q62" s="528"/>
    </row>
    <row r="63" spans="2:17" x14ac:dyDescent="0.25">
      <c r="B63" s="528"/>
      <c r="C63" s="528"/>
      <c r="D63" s="528"/>
      <c r="E63" s="528"/>
      <c r="F63" s="528"/>
      <c r="G63" s="528"/>
      <c r="H63" s="528"/>
      <c r="I63" s="531"/>
      <c r="J63" s="528"/>
      <c r="K63" s="528"/>
      <c r="L63" s="528"/>
      <c r="M63" s="528"/>
      <c r="N63" s="528"/>
      <c r="O63" s="528"/>
      <c r="P63" s="528"/>
      <c r="Q63" s="528"/>
    </row>
    <row r="64" spans="2:17" x14ac:dyDescent="0.25">
      <c r="B64" s="528"/>
      <c r="C64" s="528"/>
      <c r="D64" s="528"/>
      <c r="E64" s="528"/>
      <c r="F64" s="528"/>
      <c r="G64" s="528"/>
      <c r="H64" s="528"/>
      <c r="I64" s="531"/>
      <c r="J64" s="528"/>
      <c r="K64" s="528"/>
      <c r="L64" s="528"/>
      <c r="M64" s="528"/>
      <c r="N64" s="528"/>
      <c r="O64" s="528"/>
      <c r="P64" s="528"/>
      <c r="Q64" s="528"/>
    </row>
    <row r="65" spans="2:17" x14ac:dyDescent="0.25">
      <c r="B65" s="528"/>
      <c r="C65" s="528"/>
      <c r="D65" s="528"/>
      <c r="E65" s="528"/>
      <c r="F65" s="528"/>
      <c r="G65" s="528"/>
      <c r="H65" s="528"/>
      <c r="I65" s="531"/>
      <c r="J65" s="528"/>
      <c r="K65" s="528"/>
      <c r="L65" s="528"/>
      <c r="M65" s="528"/>
      <c r="N65" s="528"/>
      <c r="O65" s="528"/>
      <c r="P65" s="528"/>
      <c r="Q65" s="528"/>
    </row>
    <row r="66" spans="2:17" x14ac:dyDescent="0.25">
      <c r="B66" s="528"/>
      <c r="C66" s="528"/>
      <c r="D66" s="528"/>
      <c r="E66" s="528"/>
      <c r="F66" s="528"/>
      <c r="G66" s="528"/>
      <c r="H66" s="528"/>
      <c r="I66" s="531"/>
      <c r="J66" s="528"/>
      <c r="K66" s="528"/>
      <c r="L66" s="528"/>
      <c r="M66" s="528"/>
      <c r="N66" s="528"/>
      <c r="O66" s="528"/>
      <c r="P66" s="528"/>
      <c r="Q66" s="528"/>
    </row>
    <row r="67" spans="2:17" x14ac:dyDescent="0.25">
      <c r="B67" s="528"/>
      <c r="C67" s="528"/>
      <c r="D67" s="528"/>
      <c r="E67" s="528"/>
      <c r="F67" s="528"/>
      <c r="G67" s="528"/>
      <c r="H67" s="528"/>
      <c r="I67" s="531"/>
      <c r="J67" s="528"/>
      <c r="K67" s="528"/>
      <c r="L67" s="528"/>
      <c r="M67" s="528"/>
      <c r="N67" s="528"/>
      <c r="O67" s="528"/>
      <c r="P67" s="528"/>
      <c r="Q67" s="528"/>
    </row>
    <row r="68" spans="2:17" x14ac:dyDescent="0.25">
      <c r="B68" s="528"/>
      <c r="C68" s="528"/>
      <c r="D68" s="528"/>
      <c r="E68" s="528"/>
      <c r="F68" s="528"/>
      <c r="G68" s="528"/>
      <c r="H68" s="528"/>
      <c r="I68" s="531"/>
      <c r="J68" s="528"/>
      <c r="K68" s="528"/>
      <c r="L68" s="528"/>
      <c r="M68" s="528"/>
      <c r="N68" s="528"/>
      <c r="O68" s="528"/>
      <c r="P68" s="528"/>
      <c r="Q68" s="528"/>
    </row>
    <row r="69" spans="2:17" x14ac:dyDescent="0.25">
      <c r="B69" s="528"/>
      <c r="C69" s="528"/>
      <c r="D69" s="528"/>
      <c r="E69" s="528"/>
      <c r="F69" s="528"/>
      <c r="G69" s="528"/>
      <c r="H69" s="528"/>
      <c r="I69" s="531"/>
      <c r="J69" s="528"/>
      <c r="K69" s="528"/>
      <c r="L69" s="528"/>
      <c r="M69" s="528"/>
      <c r="N69" s="528"/>
      <c r="O69" s="528"/>
      <c r="P69" s="528"/>
      <c r="Q69" s="528"/>
    </row>
    <row r="70" spans="2:17" x14ac:dyDescent="0.25">
      <c r="B70" s="528"/>
      <c r="C70" s="528"/>
      <c r="D70" s="528"/>
      <c r="E70" s="528"/>
      <c r="F70" s="528"/>
      <c r="G70" s="528"/>
      <c r="H70" s="528"/>
      <c r="I70" s="531"/>
      <c r="J70" s="528"/>
      <c r="K70" s="528"/>
      <c r="L70" s="528"/>
      <c r="M70" s="528"/>
      <c r="N70" s="528"/>
      <c r="O70" s="528"/>
      <c r="P70" s="528"/>
      <c r="Q70" s="528"/>
    </row>
    <row r="71" spans="2:17" x14ac:dyDescent="0.25">
      <c r="B71" s="528"/>
      <c r="C71" s="528"/>
      <c r="D71" s="528"/>
      <c r="E71" s="528"/>
      <c r="F71" s="528"/>
      <c r="G71" s="528"/>
      <c r="H71" s="528"/>
      <c r="I71" s="531"/>
      <c r="J71" s="528"/>
      <c r="K71" s="528"/>
      <c r="L71" s="528"/>
      <c r="M71" s="528"/>
      <c r="N71" s="528"/>
      <c r="O71" s="528"/>
      <c r="P71" s="528"/>
      <c r="Q71" s="528"/>
    </row>
    <row r="72" spans="2:17" x14ac:dyDescent="0.25">
      <c r="B72" s="528"/>
      <c r="C72" s="528"/>
      <c r="D72" s="528"/>
      <c r="E72" s="528"/>
      <c r="F72" s="528"/>
      <c r="G72" s="528"/>
      <c r="H72" s="528"/>
      <c r="I72" s="531"/>
      <c r="J72" s="528"/>
      <c r="K72" s="528"/>
      <c r="L72" s="528"/>
      <c r="M72" s="528"/>
      <c r="N72" s="528"/>
      <c r="O72" s="528"/>
      <c r="P72" s="528"/>
      <c r="Q72" s="528"/>
    </row>
    <row r="73" spans="2:17" x14ac:dyDescent="0.25">
      <c r="B73" s="528"/>
      <c r="C73" s="528"/>
      <c r="D73" s="528"/>
      <c r="E73" s="528"/>
      <c r="F73" s="528"/>
      <c r="G73" s="528"/>
      <c r="H73" s="528"/>
      <c r="I73" s="531"/>
      <c r="J73" s="528"/>
      <c r="K73" s="528"/>
      <c r="L73" s="528"/>
      <c r="M73" s="528"/>
      <c r="N73" s="528"/>
      <c r="O73" s="528"/>
      <c r="P73" s="528"/>
      <c r="Q73" s="528"/>
    </row>
    <row r="74" spans="2:17" x14ac:dyDescent="0.25">
      <c r="B74" s="528"/>
      <c r="C74" s="528"/>
      <c r="D74" s="528"/>
      <c r="E74" s="528"/>
      <c r="F74" s="528"/>
      <c r="G74" s="528"/>
      <c r="H74" s="528"/>
      <c r="I74" s="531"/>
      <c r="J74" s="528"/>
      <c r="K74" s="528"/>
      <c r="L74" s="528"/>
      <c r="M74" s="528"/>
      <c r="N74" s="528"/>
      <c r="O74" s="528"/>
      <c r="P74" s="528"/>
      <c r="Q74" s="528"/>
    </row>
    <row r="75" spans="2:17" x14ac:dyDescent="0.25">
      <c r="B75" s="528"/>
      <c r="C75" s="528"/>
      <c r="D75" s="528"/>
      <c r="E75" s="528"/>
      <c r="F75" s="528"/>
      <c r="G75" s="528"/>
      <c r="H75" s="528"/>
      <c r="I75" s="531"/>
      <c r="J75" s="528"/>
      <c r="K75" s="528"/>
      <c r="L75" s="528"/>
      <c r="M75" s="528"/>
      <c r="N75" s="528"/>
      <c r="O75" s="528"/>
      <c r="P75" s="528"/>
      <c r="Q75" s="528"/>
    </row>
    <row r="76" spans="2:17" x14ac:dyDescent="0.25">
      <c r="B76" s="528"/>
      <c r="C76" s="528"/>
      <c r="D76" s="528"/>
      <c r="E76" s="528"/>
      <c r="F76" s="528"/>
      <c r="G76" s="528"/>
      <c r="H76" s="528"/>
      <c r="I76" s="531"/>
      <c r="J76" s="528"/>
      <c r="K76" s="528"/>
      <c r="L76" s="528"/>
      <c r="M76" s="528"/>
      <c r="N76" s="528"/>
      <c r="O76" s="528"/>
      <c r="P76" s="528"/>
      <c r="Q76" s="528"/>
    </row>
    <row r="77" spans="2:17" x14ac:dyDescent="0.25">
      <c r="B77" s="528"/>
      <c r="C77" s="528"/>
      <c r="D77" s="528"/>
      <c r="E77" s="528"/>
      <c r="F77" s="528"/>
      <c r="G77" s="528"/>
      <c r="H77" s="528"/>
      <c r="I77" s="531"/>
      <c r="J77" s="528"/>
      <c r="K77" s="528"/>
      <c r="L77" s="528"/>
      <c r="M77" s="528"/>
      <c r="N77" s="528"/>
      <c r="O77" s="528"/>
      <c r="P77" s="528"/>
      <c r="Q77" s="528"/>
    </row>
    <row r="78" spans="2:17" x14ac:dyDescent="0.25">
      <c r="B78" s="528"/>
      <c r="C78" s="528"/>
      <c r="D78" s="528"/>
      <c r="E78" s="528"/>
      <c r="F78" s="528"/>
      <c r="G78" s="528"/>
      <c r="H78" s="528"/>
      <c r="I78" s="531"/>
      <c r="J78" s="528"/>
      <c r="K78" s="528"/>
      <c r="L78" s="528"/>
      <c r="M78" s="528"/>
      <c r="N78" s="528"/>
      <c r="O78" s="528"/>
      <c r="P78" s="528"/>
      <c r="Q78" s="528"/>
    </row>
    <row r="79" spans="2:17" x14ac:dyDescent="0.25">
      <c r="B79" s="528"/>
      <c r="C79" s="528"/>
      <c r="D79" s="528"/>
      <c r="E79" s="528"/>
      <c r="F79" s="528"/>
      <c r="G79" s="528"/>
      <c r="H79" s="528"/>
      <c r="I79" s="531"/>
      <c r="J79" s="528"/>
      <c r="K79" s="528"/>
      <c r="L79" s="528"/>
      <c r="M79" s="528"/>
      <c r="N79" s="528"/>
      <c r="O79" s="528"/>
      <c r="P79" s="528"/>
      <c r="Q79" s="528"/>
    </row>
    <row r="80" spans="2:17" x14ac:dyDescent="0.25">
      <c r="B80" s="528"/>
      <c r="C80" s="528"/>
      <c r="D80" s="528"/>
      <c r="E80" s="528"/>
      <c r="F80" s="528"/>
      <c r="G80" s="528"/>
      <c r="H80" s="528"/>
      <c r="I80" s="531"/>
      <c r="J80" s="528"/>
      <c r="K80" s="528"/>
      <c r="L80" s="528"/>
      <c r="M80" s="528"/>
      <c r="N80" s="528"/>
      <c r="O80" s="528"/>
      <c r="P80" s="528"/>
      <c r="Q80" s="528"/>
    </row>
    <row r="81" spans="2:17" x14ac:dyDescent="0.25">
      <c r="B81" s="528"/>
      <c r="C81" s="528"/>
      <c r="D81" s="528"/>
      <c r="E81" s="528"/>
      <c r="F81" s="528"/>
      <c r="G81" s="528"/>
      <c r="H81" s="528"/>
      <c r="I81" s="531"/>
      <c r="J81" s="528"/>
      <c r="K81" s="528"/>
      <c r="L81" s="528"/>
      <c r="M81" s="528"/>
      <c r="N81" s="528"/>
      <c r="O81" s="528"/>
      <c r="P81" s="528"/>
      <c r="Q81" s="528"/>
    </row>
  </sheetData>
  <printOptions horizontalCentered="1"/>
  <pageMargins left="0.7" right="0.7" top="0.75" bottom="0.75" header="0.3" footer="0.3"/>
  <pageSetup scale="94" orientation="landscape" r:id="rId1"/>
  <ignoredErrors>
    <ignoredError sqref="A2:L26" unlockedFormula="1"/>
  </ignoredError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>
    <tabColor rgb="FFFFC000"/>
    <pageSetUpPr fitToPage="1"/>
  </sheetPr>
  <dimension ref="A1:Q48"/>
  <sheetViews>
    <sheetView showGridLines="0" view="pageBreakPreview" zoomScale="90" zoomScaleSheetLayoutView="90" workbookViewId="0"/>
  </sheetViews>
  <sheetFormatPr defaultColWidth="9.42578125" defaultRowHeight="15" x14ac:dyDescent="0.25"/>
  <cols>
    <col min="1" max="1" width="1.5703125" style="1" customWidth="1"/>
    <col min="2" max="2" width="5.42578125" style="1" customWidth="1"/>
    <col min="3" max="3" width="4.42578125" style="1" customWidth="1"/>
    <col min="4" max="4" width="8.5703125" style="1" customWidth="1"/>
    <col min="5" max="5" width="13.42578125" style="1" customWidth="1"/>
    <col min="6" max="14" width="11.42578125" style="1" customWidth="1"/>
    <col min="15" max="15" width="3.5703125" style="1" customWidth="1"/>
    <col min="16" max="16" width="13.42578125" style="1" customWidth="1"/>
    <col min="17" max="17" width="15.5703125" style="1" customWidth="1"/>
    <col min="18" max="16384" width="9.42578125" style="1"/>
  </cols>
  <sheetData>
    <row r="1" spans="1:17" ht="6" customHeight="1" thickBot="1" x14ac:dyDescent="0.3">
      <c r="C1" s="108"/>
      <c r="D1" s="108"/>
      <c r="E1" s="108"/>
      <c r="F1" s="108"/>
      <c r="G1" s="108"/>
      <c r="H1" s="108"/>
      <c r="I1" s="108"/>
      <c r="J1" s="108"/>
      <c r="K1" s="108"/>
      <c r="L1" s="108"/>
      <c r="M1" s="108"/>
      <c r="N1" s="108"/>
    </row>
    <row r="2" spans="1:17" ht="16.5" thickTop="1" x14ac:dyDescent="0.25">
      <c r="B2" s="110" t="str">
        <f>MainOutline!B2</f>
        <v>WB Santa Cruz</v>
      </c>
      <c r="C2" s="111"/>
      <c r="D2" s="111"/>
      <c r="E2" s="111"/>
      <c r="F2" s="111"/>
      <c r="G2" s="111"/>
      <c r="H2" s="111"/>
      <c r="I2" s="508" t="str">
        <f>'A1'!$C$90</f>
        <v>Acquisition of an existing facility</v>
      </c>
      <c r="J2" s="111"/>
      <c r="K2" s="111"/>
      <c r="L2" s="111"/>
      <c r="M2" s="111"/>
      <c r="N2" s="1700">
        <f>$A$3</f>
        <v>43</v>
      </c>
      <c r="O2" s="1700"/>
    </row>
    <row r="3" spans="1:17" ht="15.75" x14ac:dyDescent="0.25">
      <c r="A3" s="123">
        <f>MainOutline!B60</f>
        <v>43</v>
      </c>
      <c r="B3" s="102" t="str">
        <f>MainOutline!C60</f>
        <v>Appendix D1</v>
      </c>
      <c r="C3" s="89"/>
      <c r="D3" s="89"/>
      <c r="E3" s="89"/>
      <c r="F3" s="89"/>
      <c r="G3" s="89"/>
      <c r="H3" s="89"/>
      <c r="I3" s="89"/>
      <c r="J3" s="89"/>
      <c r="K3" s="89"/>
      <c r="L3" s="89"/>
      <c r="M3" s="89"/>
      <c r="N3" s="89"/>
      <c r="O3" s="89"/>
    </row>
    <row r="4" spans="1:17" ht="16.5" thickBot="1" x14ac:dyDescent="0.3">
      <c r="B4" s="104" t="s">
        <v>482</v>
      </c>
      <c r="C4" s="97"/>
      <c r="D4" s="97"/>
      <c r="E4" s="97"/>
      <c r="F4" s="97"/>
      <c r="G4" s="97"/>
      <c r="H4" s="97"/>
      <c r="I4" s="97"/>
      <c r="J4" s="97"/>
      <c r="K4" s="97"/>
      <c r="L4" s="97"/>
      <c r="M4" s="97"/>
      <c r="N4" s="97"/>
      <c r="O4" s="138" t="s">
        <v>19</v>
      </c>
    </row>
    <row r="5" spans="1:17" ht="15.75" thickTop="1" x14ac:dyDescent="0.25">
      <c r="A5" s="844">
        <f>IF('A1'!$B$84=1,1,0)</f>
        <v>0</v>
      </c>
      <c r="B5" s="123" t="b">
        <f>'A1'!Q2</f>
        <v>0</v>
      </c>
    </row>
    <row r="6" spans="1:17" ht="16.5" x14ac:dyDescent="0.35">
      <c r="G6" s="173" t="s">
        <v>274</v>
      </c>
      <c r="H6" s="173" t="s">
        <v>73</v>
      </c>
      <c r="I6" s="340" t="s">
        <v>342</v>
      </c>
      <c r="J6" s="341"/>
      <c r="K6" s="341"/>
      <c r="L6" s="341"/>
      <c r="M6" s="341"/>
      <c r="N6" s="341"/>
    </row>
    <row r="7" spans="1:17" ht="17.25" x14ac:dyDescent="0.4">
      <c r="B7" s="81"/>
      <c r="G7" s="642" t="s">
        <v>343</v>
      </c>
      <c r="H7" s="642" t="s">
        <v>343</v>
      </c>
      <c r="I7" s="642">
        <v>1</v>
      </c>
      <c r="J7" s="642">
        <v>2</v>
      </c>
      <c r="K7" s="642">
        <v>3</v>
      </c>
      <c r="L7" s="642">
        <v>4</v>
      </c>
      <c r="M7" s="642">
        <v>5</v>
      </c>
      <c r="N7" s="642" t="s">
        <v>13</v>
      </c>
    </row>
    <row r="8" spans="1:17" ht="15.75" x14ac:dyDescent="0.25">
      <c r="B8" s="513" t="s">
        <v>348</v>
      </c>
    </row>
    <row r="9" spans="1:17" x14ac:dyDescent="0.25">
      <c r="C9" s="175" t="s">
        <v>413</v>
      </c>
      <c r="G9" s="13">
        <f>ApndxA1!H42</f>
        <v>0</v>
      </c>
      <c r="H9" s="13">
        <f>ApndxA1!I42</f>
        <v>0</v>
      </c>
      <c r="I9" s="13">
        <f>ApndxA1!J42</f>
        <v>401.07908596624316</v>
      </c>
      <c r="J9" s="13">
        <f>ApndxA1!K42</f>
        <v>256.04838282917467</v>
      </c>
      <c r="K9" s="13">
        <f>ApndxA1!L42</f>
        <v>221.7346007775617</v>
      </c>
      <c r="L9" s="13">
        <f>ApndxA1!M42</f>
        <v>171.0320748195644</v>
      </c>
      <c r="M9" s="13">
        <f>ApndxA1!N42</f>
        <v>113.61280418072306</v>
      </c>
      <c r="N9" s="13">
        <f>SUM(G9:M9)</f>
        <v>1163.506948573267</v>
      </c>
      <c r="Q9" s="381">
        <f>SUM(I9:M9)</f>
        <v>1163.506948573267</v>
      </c>
    </row>
    <row r="10" spans="1:17" ht="17.25" x14ac:dyDescent="0.4">
      <c r="C10" s="652" t="s">
        <v>178</v>
      </c>
      <c r="D10" s="81" t="s">
        <v>163</v>
      </c>
      <c r="E10" s="81"/>
      <c r="G10" s="558">
        <v>0</v>
      </c>
      <c r="H10" s="558">
        <v>0</v>
      </c>
      <c r="I10" s="558">
        <f>ApndxA1!J35</f>
        <v>12.71645142857143</v>
      </c>
      <c r="J10" s="558">
        <f>ApndxA1!K35</f>
        <v>123.71645142857143</v>
      </c>
      <c r="K10" s="558">
        <f>ApndxA1!L35</f>
        <v>113.48829142857143</v>
      </c>
      <c r="L10" s="558">
        <f>ApndxA1!M35</f>
        <v>113.48829142857143</v>
      </c>
      <c r="M10" s="558">
        <f>ApndxA1!N35</f>
        <v>113.48829142857143</v>
      </c>
      <c r="N10" s="558">
        <f>SUM(G10:M10)</f>
        <v>476.89777714285714</v>
      </c>
      <c r="O10" s="1183"/>
      <c r="P10" s="381"/>
      <c r="Q10" s="381">
        <f>SUM(I10:M10)</f>
        <v>476.89777714285714</v>
      </c>
    </row>
    <row r="11" spans="1:17" s="528" customFormat="1" x14ac:dyDescent="0.25">
      <c r="C11" s="808" t="s">
        <v>951</v>
      </c>
      <c r="D11" s="530"/>
      <c r="E11" s="530"/>
      <c r="G11" s="519">
        <f>G9+G10</f>
        <v>0</v>
      </c>
      <c r="H11" s="519">
        <f t="shared" ref="H11:M11" si="0">H9+H10</f>
        <v>0</v>
      </c>
      <c r="I11" s="13">
        <f t="shared" si="0"/>
        <v>413.79553739481457</v>
      </c>
      <c r="J11" s="13">
        <f t="shared" si="0"/>
        <v>379.76483425774609</v>
      </c>
      <c r="K11" s="13">
        <f t="shared" si="0"/>
        <v>335.22289220613311</v>
      </c>
      <c r="L11" s="13">
        <f t="shared" si="0"/>
        <v>284.52036624813582</v>
      </c>
      <c r="M11" s="13">
        <f t="shared" si="0"/>
        <v>227.10109560929448</v>
      </c>
      <c r="N11" s="13">
        <f>SUM(G11:M11)</f>
        <v>1640.4047257161242</v>
      </c>
      <c r="O11" s="1209"/>
      <c r="Q11" s="661">
        <f>SUM(I11:M11)</f>
        <v>1640.4047257161242</v>
      </c>
    </row>
    <row r="12" spans="1:17" x14ac:dyDescent="0.25">
      <c r="D12" s="1226" t="s">
        <v>474</v>
      </c>
      <c r="E12" s="1226"/>
      <c r="F12" s="1227"/>
      <c r="G12" s="1228">
        <f>IF(G11&lt;0,G11,0)</f>
        <v>0</v>
      </c>
      <c r="H12" s="1228">
        <f t="shared" ref="H12:M12" si="1">IF(H11&lt;0,H11,0)</f>
        <v>0</v>
      </c>
      <c r="I12" s="1228">
        <f t="shared" si="1"/>
        <v>0</v>
      </c>
      <c r="J12" s="1228">
        <f t="shared" si="1"/>
        <v>0</v>
      </c>
      <c r="K12" s="1228">
        <f t="shared" si="1"/>
        <v>0</v>
      </c>
      <c r="L12" s="1228">
        <f t="shared" si="1"/>
        <v>0</v>
      </c>
      <c r="M12" s="1228">
        <f t="shared" si="1"/>
        <v>0</v>
      </c>
      <c r="N12" s="1229">
        <f>SUM(G12:M12)</f>
        <v>0</v>
      </c>
      <c r="O12" s="1185">
        <f>C29</f>
        <v>-3</v>
      </c>
    </row>
    <row r="13" spans="1:17" x14ac:dyDescent="0.25">
      <c r="C13" s="742"/>
      <c r="D13" s="742"/>
      <c r="E13" s="742"/>
      <c r="F13" s="516"/>
      <c r="G13" s="518"/>
      <c r="H13" s="518"/>
      <c r="I13" s="518"/>
      <c r="J13" s="518"/>
      <c r="K13" s="518"/>
      <c r="L13" s="518"/>
      <c r="M13" s="518"/>
      <c r="N13" s="518"/>
      <c r="O13" s="1182"/>
    </row>
    <row r="14" spans="1:17" x14ac:dyDescent="0.25">
      <c r="C14" s="81" t="s">
        <v>943</v>
      </c>
      <c r="D14" s="81"/>
      <c r="G14" s="13"/>
      <c r="H14" s="13"/>
      <c r="I14" s="13"/>
      <c r="J14" s="13"/>
      <c r="K14" s="13"/>
      <c r="L14" s="845"/>
      <c r="M14" s="13"/>
      <c r="N14" s="13"/>
      <c r="O14" s="1183"/>
    </row>
    <row r="15" spans="1:17" x14ac:dyDescent="0.25">
      <c r="C15" s="652" t="s">
        <v>179</v>
      </c>
      <c r="D15" s="81" t="str">
        <f>ApndxB4!D12</f>
        <v>Incr. in Acc. Rec.</v>
      </c>
      <c r="G15" s="13">
        <v>0</v>
      </c>
      <c r="H15" s="13">
        <v>0</v>
      </c>
      <c r="I15" s="13">
        <f>ApndxB4!AC12</f>
        <v>-580.89991337662298</v>
      </c>
      <c r="J15" s="13">
        <f>ApndxB4!AD12</f>
        <v>-13.141186432054383</v>
      </c>
      <c r="K15" s="13">
        <f>ApndxB4!AE12</f>
        <v>-25.375909499805175</v>
      </c>
      <c r="L15" s="13">
        <f>ApndxB4!AF12</f>
        <v>-24.962505475132048</v>
      </c>
      <c r="M15" s="13">
        <f>ApndxB4!AG12</f>
        <v>-25.96849444577947</v>
      </c>
      <c r="N15" s="13">
        <f>SUM(G15:M15)</f>
        <v>-670.34800922939405</v>
      </c>
      <c r="O15" s="1183"/>
    </row>
    <row r="16" spans="1:17" x14ac:dyDescent="0.25">
      <c r="C16" s="652" t="s">
        <v>179</v>
      </c>
      <c r="D16" s="81" t="str">
        <f>ApndxB4!D13</f>
        <v>Incr. in Inventories</v>
      </c>
      <c r="E16" s="81"/>
      <c r="G16" s="13">
        <v>0</v>
      </c>
      <c r="H16" s="13">
        <v>0</v>
      </c>
      <c r="I16" s="13">
        <f>ApndxB4!AC13</f>
        <v>-89.281654378588129</v>
      </c>
      <c r="J16" s="13">
        <f>ApndxB4!AD13</f>
        <v>-3.4056975726299328</v>
      </c>
      <c r="K16" s="13">
        <f>ApndxB4!AE13</f>
        <v>-6.8266101356789051</v>
      </c>
      <c r="L16" s="13">
        <f>ApndxB4!AF13</f>
        <v>-7.0853941005870809</v>
      </c>
      <c r="M16" s="13">
        <f>ApndxB4!AG13</f>
        <v>-7.5898741605489022</v>
      </c>
      <c r="N16" s="13">
        <f>SUM(G16:M16)</f>
        <v>-114.18923034803295</v>
      </c>
      <c r="O16" s="1183"/>
    </row>
    <row r="17" spans="2:17" ht="17.25" x14ac:dyDescent="0.4">
      <c r="C17" s="652" t="s">
        <v>178</v>
      </c>
      <c r="D17" s="81" t="str">
        <f>ApndxB4!D14</f>
        <v>Incr. in Acc. Payable</v>
      </c>
      <c r="E17" s="81"/>
      <c r="G17" s="558">
        <f>A5*ApndxB5!T31</f>
        <v>0</v>
      </c>
      <c r="H17" s="558">
        <f>$A$5*ApndxB6!AF31</f>
        <v>0</v>
      </c>
      <c r="I17" s="558">
        <f>ApndxB4!AC14</f>
        <v>331.32589989843905</v>
      </c>
      <c r="J17" s="558">
        <f>ApndxB4!AD14</f>
        <v>10.815014154303185</v>
      </c>
      <c r="K17" s="558">
        <f>ApndxB4!AE14</f>
        <v>21.591052914608781</v>
      </c>
      <c r="L17" s="558">
        <f>ApndxB4!AF14</f>
        <v>22.260248794775123</v>
      </c>
      <c r="M17" s="558">
        <f>ApndxB4!AG14</f>
        <v>23.724957649681414</v>
      </c>
      <c r="N17" s="558">
        <f>SUM(G17:M17)</f>
        <v>409.71717341180755</v>
      </c>
      <c r="O17" s="1183"/>
    </row>
    <row r="18" spans="2:17" x14ac:dyDescent="0.25">
      <c r="C18" s="652"/>
      <c r="D18" s="81"/>
      <c r="E18" s="81"/>
      <c r="G18" s="13">
        <f t="shared" ref="G18:N18" si="2">SUM(G15:G17)</f>
        <v>0</v>
      </c>
      <c r="H18" s="13">
        <f t="shared" si="2"/>
        <v>0</v>
      </c>
      <c r="I18" s="13">
        <f t="shared" si="2"/>
        <v>-338.85566785677202</v>
      </c>
      <c r="J18" s="13">
        <f t="shared" si="2"/>
        <v>-5.7318698503811305</v>
      </c>
      <c r="K18" s="13">
        <f t="shared" si="2"/>
        <v>-10.611466720875299</v>
      </c>
      <c r="L18" s="13">
        <f t="shared" si="2"/>
        <v>-9.7876507809440056</v>
      </c>
      <c r="M18" s="13">
        <f t="shared" si="2"/>
        <v>-9.8334109566469579</v>
      </c>
      <c r="N18" s="1186">
        <f t="shared" si="2"/>
        <v>-374.82006616561949</v>
      </c>
      <c r="O18" s="1185">
        <f>C28</f>
        <v>-2</v>
      </c>
      <c r="Q18" s="661">
        <f>SUM(I18:M18)</f>
        <v>-374.82006616561944</v>
      </c>
    </row>
    <row r="19" spans="2:17" x14ac:dyDescent="0.25">
      <c r="C19" s="175"/>
      <c r="D19" s="81"/>
      <c r="E19" s="81"/>
      <c r="G19" s="13"/>
      <c r="H19" s="13"/>
      <c r="I19" s="13"/>
      <c r="J19" s="13"/>
      <c r="K19" s="13"/>
      <c r="L19" s="13"/>
      <c r="M19" s="13"/>
      <c r="N19" s="13"/>
      <c r="O19" s="1183"/>
      <c r="Q19" s="661"/>
    </row>
    <row r="20" spans="2:17" x14ac:dyDescent="0.25">
      <c r="C20" s="81" t="s">
        <v>185</v>
      </c>
      <c r="D20" s="81"/>
      <c r="E20" s="81"/>
      <c r="G20" s="13">
        <f>$A$5*ApndxB5!T32</f>
        <v>0</v>
      </c>
      <c r="H20" s="13">
        <v>0</v>
      </c>
      <c r="I20" s="13">
        <f>ApndxB4!AC18</f>
        <v>-10</v>
      </c>
      <c r="J20" s="13">
        <f>ApndxB4!AD18</f>
        <v>-255</v>
      </c>
      <c r="K20" s="13">
        <f>ApndxB4!AE18</f>
        <v>0</v>
      </c>
      <c r="L20" s="13">
        <f>ApndxB4!AF18</f>
        <v>0</v>
      </c>
      <c r="M20" s="13">
        <f>ApndxB4!AG18</f>
        <v>0</v>
      </c>
      <c r="N20" s="1186">
        <f>SUM(G20:M20)</f>
        <v>-265</v>
      </c>
      <c r="O20" s="1187">
        <f>C27</f>
        <v>-1</v>
      </c>
      <c r="Q20" s="661">
        <f>SUM(I20:M20)</f>
        <v>-265</v>
      </c>
    </row>
    <row r="21" spans="2:17" x14ac:dyDescent="0.25">
      <c r="B21" s="81"/>
      <c r="C21" s="81"/>
      <c r="D21" s="81"/>
      <c r="E21" s="81"/>
      <c r="G21" s="13"/>
      <c r="H21" s="13"/>
      <c r="I21" s="13"/>
      <c r="J21" s="13"/>
      <c r="K21" s="13"/>
      <c r="L21" s="13"/>
      <c r="M21" s="13"/>
      <c r="N21" s="13"/>
      <c r="O21" s="1183"/>
    </row>
    <row r="22" spans="2:17" x14ac:dyDescent="0.25">
      <c r="B22" s="81"/>
      <c r="C22" s="766" t="s">
        <v>948</v>
      </c>
      <c r="D22" s="766"/>
      <c r="E22" s="34"/>
      <c r="F22" s="34"/>
      <c r="G22" s="1184">
        <f t="shared" ref="G22:N22" si="3">G11+G18+G20</f>
        <v>0</v>
      </c>
      <c r="H22" s="1184">
        <f t="shared" si="3"/>
        <v>0</v>
      </c>
      <c r="I22" s="693">
        <f t="shared" si="3"/>
        <v>64.939869538042558</v>
      </c>
      <c r="J22" s="693">
        <f t="shared" si="3"/>
        <v>119.03296440736494</v>
      </c>
      <c r="K22" s="693">
        <f t="shared" si="3"/>
        <v>324.61142548525783</v>
      </c>
      <c r="L22" s="693">
        <f t="shared" si="3"/>
        <v>274.73271546719184</v>
      </c>
      <c r="M22" s="693">
        <f t="shared" si="3"/>
        <v>217.26768465264752</v>
      </c>
      <c r="N22" s="693">
        <f t="shared" si="3"/>
        <v>1000.5846595505047</v>
      </c>
      <c r="O22" s="1183"/>
    </row>
    <row r="23" spans="2:17" x14ac:dyDescent="0.25">
      <c r="B23" s="81"/>
    </row>
    <row r="24" spans="2:17" x14ac:dyDescent="0.25">
      <c r="B24" s="81"/>
      <c r="C24" s="81"/>
      <c r="D24" s="81"/>
      <c r="E24" s="81"/>
      <c r="G24" s="13"/>
      <c r="H24" s="13"/>
      <c r="I24" s="13"/>
      <c r="J24" s="13"/>
      <c r="K24" s="13"/>
      <c r="L24" s="13"/>
      <c r="M24" s="13"/>
      <c r="N24" s="13"/>
    </row>
    <row r="25" spans="2:17" ht="15.75" x14ac:dyDescent="0.25">
      <c r="B25" s="513" t="s">
        <v>470</v>
      </c>
      <c r="D25" s="81"/>
      <c r="E25" s="81"/>
      <c r="G25" s="13"/>
      <c r="H25" s="13"/>
      <c r="I25" s="13"/>
      <c r="J25" s="13"/>
      <c r="K25" s="13"/>
      <c r="L25" s="13"/>
      <c r="M25" s="13"/>
      <c r="N25" s="13"/>
    </row>
    <row r="26" spans="2:17" s="101" customFormat="1" ht="17.25" x14ac:dyDescent="0.4">
      <c r="D26" s="340" t="s">
        <v>508</v>
      </c>
      <c r="E26" s="340"/>
      <c r="F26" s="340"/>
      <c r="G26" s="340"/>
      <c r="H26" s="340"/>
      <c r="I26" s="848"/>
      <c r="J26" s="340" t="s">
        <v>509</v>
      </c>
      <c r="K26" s="340"/>
      <c r="L26" s="340"/>
      <c r="M26" s="340"/>
      <c r="N26" s="13"/>
      <c r="O26" s="1"/>
      <c r="P26" s="1"/>
      <c r="Q26" s="1"/>
    </row>
    <row r="27" spans="2:17" x14ac:dyDescent="0.25">
      <c r="B27" s="81"/>
      <c r="C27" s="1188">
        <v>-1</v>
      </c>
      <c r="D27" s="1386" t="s">
        <v>475</v>
      </c>
      <c r="G27" s="381">
        <f>-N20</f>
        <v>265</v>
      </c>
      <c r="H27" s="634">
        <f>IF(G$30=0,0,G27/$G$30)</f>
        <v>0.41417894500889868</v>
      </c>
      <c r="J27" s="1386" t="s">
        <v>1086</v>
      </c>
      <c r="L27" s="381">
        <f>'A5'!P26</f>
        <v>0</v>
      </c>
      <c r="M27" s="634">
        <f>IF(L$31=0,0,L27/$L$31)</f>
        <v>0</v>
      </c>
      <c r="N27" s="81"/>
      <c r="O27" s="81"/>
      <c r="P27" s="13"/>
    </row>
    <row r="28" spans="2:17" x14ac:dyDescent="0.25">
      <c r="B28" s="81"/>
      <c r="C28" s="1188">
        <f>C27-1</f>
        <v>-2</v>
      </c>
      <c r="D28" s="1386" t="s">
        <v>473</v>
      </c>
      <c r="G28" s="381">
        <f>IF(N18&gt;0,0,-N18)</f>
        <v>374.82006616561949</v>
      </c>
      <c r="H28" s="634">
        <f>IF(G$30=0,0,G28/$G$30)</f>
        <v>0.58582105499110138</v>
      </c>
      <c r="J28" s="1386" t="s">
        <v>221</v>
      </c>
      <c r="L28" s="80">
        <f>'A1'!O49/1000</f>
        <v>0</v>
      </c>
      <c r="M28" s="634">
        <f>IF(L$31=0,0,L28/$L$31)</f>
        <v>0</v>
      </c>
      <c r="N28" s="13"/>
      <c r="P28" s="634">
        <f>'A1'!P63</f>
        <v>0</v>
      </c>
    </row>
    <row r="29" spans="2:17" ht="17.25" x14ac:dyDescent="0.4">
      <c r="B29" s="81"/>
      <c r="C29" s="1188">
        <f>C28-1</f>
        <v>-3</v>
      </c>
      <c r="D29" s="1386" t="s">
        <v>474</v>
      </c>
      <c r="G29" s="560">
        <f>-N12</f>
        <v>0</v>
      </c>
      <c r="H29" s="849">
        <f>IF(G$30=0,0,G29/$G$30)</f>
        <v>0</v>
      </c>
      <c r="J29" s="1386" t="s">
        <v>476</v>
      </c>
      <c r="K29" s="175"/>
      <c r="L29" s="381">
        <f>(G30-L27-L28)*P28</f>
        <v>0</v>
      </c>
      <c r="M29" s="634">
        <f>IF(L$31=0,0,L29/$L$31)</f>
        <v>0</v>
      </c>
      <c r="N29" s="81"/>
      <c r="O29" s="81"/>
      <c r="P29" s="13"/>
    </row>
    <row r="30" spans="2:17" x14ac:dyDescent="0.25">
      <c r="B30" s="81"/>
      <c r="C30" s="175"/>
      <c r="D30" s="1388" t="s">
        <v>13</v>
      </c>
      <c r="E30" s="175"/>
      <c r="G30" s="13">
        <f>SUM(G27:G29)</f>
        <v>639.82006616561944</v>
      </c>
      <c r="H30" s="634">
        <f>IF(G$30=0,0,G30/$G$30)</f>
        <v>1</v>
      </c>
      <c r="J30" s="1387" t="s">
        <v>477</v>
      </c>
      <c r="K30" s="175"/>
      <c r="L30" s="850">
        <f>G30-SUM(L27:L29)</f>
        <v>639.82006616561944</v>
      </c>
      <c r="M30" s="634">
        <f>IF(L$31=0,0,L30/$L$31)</f>
        <v>1</v>
      </c>
      <c r="N30" s="13"/>
    </row>
    <row r="31" spans="2:17" x14ac:dyDescent="0.25">
      <c r="B31" s="81"/>
      <c r="C31" s="81"/>
      <c r="D31" s="81"/>
      <c r="E31" s="81"/>
      <c r="F31" s="81"/>
      <c r="G31" s="81"/>
      <c r="H31" s="13"/>
      <c r="I31" s="13"/>
      <c r="J31" s="1388" t="s">
        <v>13</v>
      </c>
      <c r="K31" s="175"/>
      <c r="L31" s="381">
        <f>SUM(L27:L30)</f>
        <v>639.82006616561944</v>
      </c>
      <c r="M31" s="634">
        <f>IF(L$31=0,0,L31/$L$31)</f>
        <v>1</v>
      </c>
      <c r="N31" s="13"/>
    </row>
    <row r="32" spans="2:17" x14ac:dyDescent="0.25">
      <c r="B32" s="81"/>
      <c r="C32" s="81"/>
      <c r="D32" s="81"/>
      <c r="E32" s="81"/>
      <c r="F32" s="81"/>
      <c r="G32" s="81"/>
      <c r="H32" s="13"/>
      <c r="I32" s="13"/>
      <c r="J32" s="13"/>
      <c r="L32" s="851" t="s">
        <v>517</v>
      </c>
      <c r="M32" s="641">
        <f>IF(L31=0,0,L29/(L29+L30))</f>
        <v>0</v>
      </c>
      <c r="N32" s="13"/>
    </row>
    <row r="33" spans="2:17" ht="15.75" thickBot="1" x14ac:dyDescent="0.3">
      <c r="B33" s="81"/>
      <c r="C33" s="175"/>
      <c r="D33" s="175"/>
      <c r="E33" s="175"/>
      <c r="G33" s="13"/>
      <c r="H33" s="13"/>
      <c r="I33" s="13"/>
      <c r="J33" s="13"/>
      <c r="K33" s="13"/>
      <c r="L33" s="13"/>
      <c r="M33" s="13"/>
      <c r="N33" s="13"/>
      <c r="O33" s="13"/>
      <c r="P33" s="13"/>
      <c r="Q33" s="13"/>
    </row>
    <row r="34" spans="2:17" ht="17.25" x14ac:dyDescent="0.4">
      <c r="B34" s="81"/>
      <c r="C34" s="81"/>
      <c r="D34" s="1189"/>
      <c r="E34" s="165"/>
      <c r="F34" s="615" t="s">
        <v>941</v>
      </c>
      <c r="G34" s="1190"/>
      <c r="H34" s="1190"/>
      <c r="I34" s="165"/>
      <c r="J34" s="615" t="s">
        <v>1027</v>
      </c>
      <c r="K34" s="1190"/>
      <c r="L34" s="1190"/>
      <c r="M34" s="1191"/>
      <c r="N34" s="25"/>
    </row>
    <row r="35" spans="2:17" ht="34.5" x14ac:dyDescent="0.4">
      <c r="D35" s="150"/>
      <c r="F35" s="101" t="s">
        <v>11</v>
      </c>
      <c r="G35" s="101" t="s">
        <v>942</v>
      </c>
      <c r="H35" s="101" t="s">
        <v>13</v>
      </c>
      <c r="J35" s="101" t="str">
        <f>F35</f>
        <v>Satellite Healthcare</v>
      </c>
      <c r="K35" s="101" t="str">
        <f>G35</f>
        <v>Partner(s)</v>
      </c>
      <c r="L35" s="101" t="str">
        <f>H35</f>
        <v>Total</v>
      </c>
      <c r="M35" s="151"/>
    </row>
    <row r="36" spans="2:17" x14ac:dyDescent="0.25">
      <c r="D36" s="296" t="s">
        <v>42</v>
      </c>
      <c r="F36" s="643">
        <f>L30</f>
        <v>639.82006616561944</v>
      </c>
      <c r="G36" s="643">
        <f>L29</f>
        <v>0</v>
      </c>
      <c r="H36" s="643">
        <f>F36+G36</f>
        <v>639.82006616561944</v>
      </c>
      <c r="J36" s="634">
        <f t="shared" ref="J36:L38" si="4">F36/$H$38</f>
        <v>1</v>
      </c>
      <c r="K36" s="634">
        <f t="shared" si="4"/>
        <v>0</v>
      </c>
      <c r="L36" s="634">
        <f t="shared" si="4"/>
        <v>1</v>
      </c>
      <c r="M36" s="151"/>
    </row>
    <row r="37" spans="2:17" ht="17.25" x14ac:dyDescent="0.4">
      <c r="D37" s="296" t="s">
        <v>560</v>
      </c>
      <c r="F37" s="896">
        <f>L28-G37</f>
        <v>0</v>
      </c>
      <c r="G37" s="896">
        <f>L28*P28</f>
        <v>0</v>
      </c>
      <c r="H37" s="896">
        <f>F37+G37</f>
        <v>0</v>
      </c>
      <c r="J37" s="849">
        <f t="shared" si="4"/>
        <v>0</v>
      </c>
      <c r="K37" s="849">
        <f t="shared" si="4"/>
        <v>0</v>
      </c>
      <c r="L37" s="849">
        <f t="shared" si="4"/>
        <v>0</v>
      </c>
      <c r="M37" s="151"/>
    </row>
    <row r="38" spans="2:17" ht="15.75" thickBot="1" x14ac:dyDescent="0.3">
      <c r="D38" s="1192" t="s">
        <v>13</v>
      </c>
      <c r="E38" s="257"/>
      <c r="F38" s="1193">
        <f>F36+F37</f>
        <v>639.82006616561944</v>
      </c>
      <c r="G38" s="1193">
        <f>G36+G37</f>
        <v>0</v>
      </c>
      <c r="H38" s="1193">
        <f>F38+G38</f>
        <v>639.82006616561944</v>
      </c>
      <c r="I38" s="1193"/>
      <c r="J38" s="1194">
        <f t="shared" si="4"/>
        <v>1</v>
      </c>
      <c r="K38" s="1194">
        <f t="shared" si="4"/>
        <v>0</v>
      </c>
      <c r="L38" s="1194">
        <f t="shared" si="4"/>
        <v>1</v>
      </c>
      <c r="M38" s="258"/>
    </row>
    <row r="41" spans="2:17" x14ac:dyDescent="0.25">
      <c r="G41" s="381">
        <f t="shared" ref="G41:N41" si="5">SUM(G15:G17,G11)</f>
        <v>0</v>
      </c>
      <c r="H41" s="381">
        <f t="shared" si="5"/>
        <v>0</v>
      </c>
      <c r="I41" s="381">
        <f t="shared" si="5"/>
        <v>74.939869538042558</v>
      </c>
      <c r="J41" s="381">
        <f t="shared" si="5"/>
        <v>374.03296440736494</v>
      </c>
      <c r="K41" s="381">
        <f t="shared" si="5"/>
        <v>324.61142548525783</v>
      </c>
      <c r="L41" s="381">
        <f t="shared" si="5"/>
        <v>274.73271546719184</v>
      </c>
      <c r="M41" s="381">
        <f t="shared" si="5"/>
        <v>217.26768465264752</v>
      </c>
      <c r="N41" s="381">
        <f t="shared" si="5"/>
        <v>1265.5846595505047</v>
      </c>
    </row>
    <row r="42" spans="2:17" x14ac:dyDescent="0.25">
      <c r="D42" s="1" t="s">
        <v>946</v>
      </c>
    </row>
    <row r="43" spans="2:17" x14ac:dyDescent="0.25">
      <c r="E43" s="1" t="s">
        <v>944</v>
      </c>
      <c r="G43" s="13">
        <f>ApndxA3!H15</f>
        <v>0</v>
      </c>
      <c r="H43" s="13">
        <f>ApndxA3!I15</f>
        <v>0</v>
      </c>
      <c r="I43" s="13">
        <f>ApndxA3!J15</f>
        <v>74.939869538042501</v>
      </c>
      <c r="J43" s="13">
        <f>ApndxA3!K15</f>
        <v>374.03296440736494</v>
      </c>
      <c r="K43" s="13">
        <f>ApndxA3!L15</f>
        <v>324.61142548525783</v>
      </c>
      <c r="L43" s="13">
        <f>ApndxA3!M15</f>
        <v>274.73271546719184</v>
      </c>
      <c r="M43" s="13">
        <f>ApndxA3!N15</f>
        <v>217.26768465264752</v>
      </c>
      <c r="N43" s="13">
        <f>SUM(G43:M43)</f>
        <v>1265.5846595505045</v>
      </c>
    </row>
    <row r="44" spans="2:17" ht="17.25" x14ac:dyDescent="0.4">
      <c r="E44" s="1" t="s">
        <v>945</v>
      </c>
      <c r="G44" s="558">
        <f>ApndxA3!H20</f>
        <v>0</v>
      </c>
      <c r="H44" s="558">
        <f>ApndxA3!I20</f>
        <v>0</v>
      </c>
      <c r="I44" s="558">
        <f>ApndxA3!J20</f>
        <v>-10</v>
      </c>
      <c r="J44" s="558">
        <f>ApndxA3!K20</f>
        <v>-255</v>
      </c>
      <c r="K44" s="558">
        <f>ApndxA3!L20</f>
        <v>0</v>
      </c>
      <c r="L44" s="558">
        <f>ApndxA3!M20</f>
        <v>0</v>
      </c>
      <c r="M44" s="558">
        <f>ApndxA3!N20</f>
        <v>0</v>
      </c>
      <c r="N44" s="558">
        <f>SUM(G44:M44)</f>
        <v>-265</v>
      </c>
    </row>
    <row r="45" spans="2:17" x14ac:dyDescent="0.25">
      <c r="G45" s="13">
        <f>G43+G44</f>
        <v>0</v>
      </c>
      <c r="H45" s="13">
        <f t="shared" ref="H45:N45" si="6">H43+H44</f>
        <v>0</v>
      </c>
      <c r="I45" s="13">
        <f t="shared" si="6"/>
        <v>64.939869538042501</v>
      </c>
      <c r="J45" s="13">
        <f t="shared" si="6"/>
        <v>119.03296440736494</v>
      </c>
      <c r="K45" s="13">
        <f t="shared" si="6"/>
        <v>324.61142548525783</v>
      </c>
      <c r="L45" s="13">
        <f t="shared" si="6"/>
        <v>274.73271546719184</v>
      </c>
      <c r="M45" s="13">
        <f t="shared" si="6"/>
        <v>217.26768465264752</v>
      </c>
      <c r="N45" s="13">
        <f t="shared" si="6"/>
        <v>1000.5846595505045</v>
      </c>
    </row>
    <row r="46" spans="2:17" x14ac:dyDescent="0.25">
      <c r="E46" s="1" t="s">
        <v>947</v>
      </c>
      <c r="G46" s="381">
        <f>G22-G45</f>
        <v>0</v>
      </c>
      <c r="H46" s="381">
        <f t="shared" ref="H46:N46" si="7">H22-H45</f>
        <v>0</v>
      </c>
      <c r="I46" s="381">
        <f t="shared" si="7"/>
        <v>0</v>
      </c>
      <c r="J46" s="381">
        <f t="shared" si="7"/>
        <v>0</v>
      </c>
      <c r="K46" s="381">
        <f t="shared" si="7"/>
        <v>0</v>
      </c>
      <c r="L46" s="381">
        <f t="shared" si="7"/>
        <v>0</v>
      </c>
      <c r="M46" s="381">
        <f t="shared" si="7"/>
        <v>0</v>
      </c>
      <c r="N46" s="381">
        <f t="shared" si="7"/>
        <v>0</v>
      </c>
    </row>
    <row r="48" spans="2:17" x14ac:dyDescent="0.25">
      <c r="G48" s="13">
        <f>ApndxA3!H31</f>
        <v>0</v>
      </c>
      <c r="H48" s="13">
        <f>ApndxA3!I31</f>
        <v>0</v>
      </c>
      <c r="I48" s="13">
        <f>ApndxA3!J31</f>
        <v>-248.56853254316428</v>
      </c>
      <c r="J48" s="13">
        <f>ApndxA3!K31</f>
        <v>54.864392257549753</v>
      </c>
      <c r="K48" s="13">
        <f>ApndxA3!L31</f>
        <v>-7.7002825780107855</v>
      </c>
      <c r="L48" s="13">
        <f>ApndxA3!M31</f>
        <v>25.694651489308399</v>
      </c>
      <c r="M48" s="13">
        <f>ApndxA3!N31</f>
        <v>27.31432505491955</v>
      </c>
      <c r="N48" s="13"/>
      <c r="O48" s="13"/>
    </row>
  </sheetData>
  <mergeCells count="1">
    <mergeCell ref="N2:O2"/>
  </mergeCells>
  <conditionalFormatting sqref="G6:H8 P27 P29 G33:H34 G13:M13 G14:H17 G10:H12 G19:H21 H31:H32">
    <cfRule type="expression" dxfId="60" priority="6">
      <formula>$A$5=0</formula>
    </cfRule>
  </conditionalFormatting>
  <conditionalFormatting sqref="G22:H22">
    <cfRule type="expression" dxfId="59" priority="4">
      <formula>$A$5=0</formula>
    </cfRule>
  </conditionalFormatting>
  <conditionalFormatting sqref="P28">
    <cfRule type="expression" dxfId="58" priority="3">
      <formula>$B$5=FALSE</formula>
    </cfRule>
  </conditionalFormatting>
  <conditionalFormatting sqref="K34:L34">
    <cfRule type="expression" dxfId="57" priority="1">
      <formula>$A$5=0</formula>
    </cfRule>
  </conditionalFormatting>
  <printOptions horizontalCentered="1"/>
  <pageMargins left="0.7" right="0.7" top="0.5" bottom="0.5" header="0.3" footer="0.3"/>
  <pageSetup scale="89" orientation="landscape" r:id="rId1"/>
  <ignoredErrors>
    <ignoredError sqref="A2:M3 A5:N7 A4 A21:N21 A9:F9 N9 A24:N26 A33:N33 A27:B29 D29:G29 C4:M4 A31:B31 A12:B12 A14:B14 D14:N14 A19:N19 A22:B23 D22:F22 A30:C30 E30:G30 D27:F27 I27 A15:N17 A18:F18 H31:I31 D28:F28 N28 N29 N30 N27 N31 I28 I29 I30 A8 C8:N8" unlockedFormula="1"/>
  </ignoredErrors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>
    <tabColor rgb="FFFFC000"/>
    <pageSetUpPr fitToPage="1"/>
  </sheetPr>
  <dimension ref="A1:U50"/>
  <sheetViews>
    <sheetView showGridLines="0" view="pageBreakPreview" zoomScale="90" zoomScaleSheetLayoutView="90" workbookViewId="0"/>
  </sheetViews>
  <sheetFormatPr defaultColWidth="8.5703125" defaultRowHeight="15" x14ac:dyDescent="0.25"/>
  <cols>
    <col min="1" max="1" width="1.5703125" style="1" customWidth="1"/>
    <col min="2" max="3" width="3.42578125" style="1" customWidth="1"/>
    <col min="4" max="4" width="4.42578125" style="1" customWidth="1"/>
    <col min="5" max="5" width="17.42578125" style="1" customWidth="1"/>
    <col min="6" max="6" width="12.140625" style="1" customWidth="1"/>
    <col min="7" max="7" width="10.42578125" style="1" customWidth="1"/>
    <col min="8" max="13" width="11.5703125" style="1" customWidth="1"/>
    <col min="14" max="14" width="14.85546875" style="1" customWidth="1"/>
    <col min="15" max="16" width="10.140625" style="1" bestFit="1" customWidth="1"/>
    <col min="17" max="16384" width="8.5703125" style="1"/>
  </cols>
  <sheetData>
    <row r="1" spans="1:16" ht="6" customHeight="1" thickBot="1" x14ac:dyDescent="0.3">
      <c r="C1" s="108"/>
      <c r="D1" s="108"/>
      <c r="E1" s="108"/>
      <c r="F1" s="108"/>
      <c r="G1" s="108"/>
      <c r="H1" s="108"/>
      <c r="I1" s="108"/>
      <c r="J1" s="108"/>
      <c r="K1" s="108"/>
      <c r="L1" s="108"/>
      <c r="M1" s="108"/>
    </row>
    <row r="2" spans="1:16" ht="16.5" thickTop="1" x14ac:dyDescent="0.25">
      <c r="B2" s="110" t="str">
        <f>MainOutline!B2</f>
        <v>WB Santa Cruz</v>
      </c>
      <c r="C2" s="111"/>
      <c r="D2" s="111"/>
      <c r="E2" s="111"/>
      <c r="F2" s="111"/>
      <c r="G2" s="111"/>
      <c r="H2" s="508" t="str">
        <f>'A1'!$C$90</f>
        <v>Acquisition of an existing facility</v>
      </c>
      <c r="I2" s="111"/>
      <c r="J2" s="111"/>
      <c r="K2" s="111"/>
      <c r="L2" s="111"/>
      <c r="M2" s="1409">
        <f>$A$3</f>
        <v>44</v>
      </c>
      <c r="O2" s="1" t="s">
        <v>1031</v>
      </c>
    </row>
    <row r="3" spans="1:16" ht="15.75" x14ac:dyDescent="0.25">
      <c r="A3" s="123">
        <f>MainOutline!B61</f>
        <v>44</v>
      </c>
      <c r="B3" s="102" t="str">
        <f>MainOutline!C61</f>
        <v>Appendix D2</v>
      </c>
      <c r="C3" s="89"/>
      <c r="D3" s="89"/>
      <c r="E3" s="89"/>
      <c r="F3" s="89"/>
      <c r="G3" s="89"/>
      <c r="H3" s="89"/>
      <c r="I3" s="89"/>
      <c r="J3" s="89"/>
      <c r="K3" s="89"/>
      <c r="L3" s="89"/>
      <c r="M3" s="89"/>
      <c r="O3" s="1" t="s">
        <v>912</v>
      </c>
    </row>
    <row r="4" spans="1:16" ht="16.5" thickBot="1" x14ac:dyDescent="0.3">
      <c r="B4" s="104" t="str">
        <f>IF(Partnering=TRUE,O2,O3)</f>
        <v>Cash Distributions to Satellite Healthcare</v>
      </c>
      <c r="C4" s="97"/>
      <c r="D4" s="97"/>
      <c r="E4" s="97"/>
      <c r="F4" s="97"/>
      <c r="G4" s="97"/>
      <c r="H4" s="97"/>
      <c r="I4" s="97"/>
      <c r="J4" s="97"/>
      <c r="K4" s="97"/>
      <c r="L4" s="97"/>
      <c r="M4" s="138" t="s">
        <v>19</v>
      </c>
    </row>
    <row r="5" spans="1:16" ht="15.75" thickTop="1" x14ac:dyDescent="0.25">
      <c r="A5" s="844">
        <f>IF('A1'!$B$84=1,1,0)</f>
        <v>0</v>
      </c>
    </row>
    <row r="6" spans="1:16" x14ac:dyDescent="0.25">
      <c r="A6" s="123"/>
    </row>
    <row r="7" spans="1:16" ht="16.5" x14ac:dyDescent="0.35">
      <c r="H7" s="340" t="s">
        <v>342</v>
      </c>
      <c r="I7" s="341"/>
      <c r="J7" s="341"/>
      <c r="K7" s="341"/>
      <c r="L7" s="341"/>
      <c r="M7" s="173" t="s">
        <v>389</v>
      </c>
    </row>
    <row r="8" spans="1:16" ht="17.25" x14ac:dyDescent="0.4">
      <c r="B8" s="81"/>
      <c r="H8" s="642">
        <v>1</v>
      </c>
      <c r="I8" s="642">
        <v>2</v>
      </c>
      <c r="J8" s="642">
        <v>3</v>
      </c>
      <c r="K8" s="642">
        <v>4</v>
      </c>
      <c r="L8" s="642">
        <v>5</v>
      </c>
      <c r="M8" s="291" t="s">
        <v>980</v>
      </c>
    </row>
    <row r="9" spans="1:16" ht="15.75" x14ac:dyDescent="0.25">
      <c r="B9" s="513" t="s">
        <v>927</v>
      </c>
    </row>
    <row r="11" spans="1:16" x14ac:dyDescent="0.25">
      <c r="C11" s="1" t="s">
        <v>914</v>
      </c>
    </row>
    <row r="12" spans="1:16" x14ac:dyDescent="0.25">
      <c r="D12" s="82" t="str">
        <f>'D1'!C9</f>
        <v>Income bef. Partner Distributions</v>
      </c>
      <c r="H12" s="381">
        <f>'D1'!I9</f>
        <v>401.07908596624316</v>
      </c>
      <c r="I12" s="381">
        <f>'D1'!J9</f>
        <v>256.04838282917467</v>
      </c>
      <c r="J12" s="381">
        <f>'D1'!K9</f>
        <v>221.7346007775617</v>
      </c>
      <c r="K12" s="381">
        <f>'D1'!L9</f>
        <v>171.0320748195644</v>
      </c>
      <c r="L12" s="381">
        <f>'D1'!M9</f>
        <v>113.61280418072306</v>
      </c>
      <c r="M12" s="381">
        <f>L12*(1+'A1'!$O$50)</f>
        <v>117.02118830614475</v>
      </c>
      <c r="O12" s="13">
        <f>SUM(H12:L12)</f>
        <v>1163.506948573267</v>
      </c>
      <c r="P12" s="13">
        <f>'D1'!Q9</f>
        <v>1163.506948573267</v>
      </c>
    </row>
    <row r="13" spans="1:16" x14ac:dyDescent="0.25">
      <c r="D13" s="4" t="s">
        <v>178</v>
      </c>
      <c r="E13" s="1" t="str">
        <f>'D1'!D10</f>
        <v>Depreciation</v>
      </c>
      <c r="H13" s="381">
        <f>'D1'!I10</f>
        <v>12.71645142857143</v>
      </c>
      <c r="I13" s="381">
        <f>'D1'!J10</f>
        <v>123.71645142857143</v>
      </c>
      <c r="J13" s="381">
        <f>'D1'!K10</f>
        <v>113.48829142857143</v>
      </c>
      <c r="K13" s="381">
        <f>'D1'!L10</f>
        <v>113.48829142857143</v>
      </c>
      <c r="L13" s="381">
        <f>'D1'!M10</f>
        <v>113.48829142857143</v>
      </c>
      <c r="M13" s="381">
        <v>0</v>
      </c>
      <c r="O13" s="13">
        <f>SUM(H13:L13)</f>
        <v>476.89777714285714</v>
      </c>
      <c r="P13" s="13">
        <f>'D1'!Q10</f>
        <v>476.89777714285714</v>
      </c>
    </row>
    <row r="14" spans="1:16" x14ac:dyDescent="0.25">
      <c r="D14" s="1230" t="s">
        <v>956</v>
      </c>
      <c r="E14" s="1" t="s">
        <v>473</v>
      </c>
      <c r="H14" s="381">
        <f>SUM('D1'!I15:I17)</f>
        <v>-338.85566785677202</v>
      </c>
      <c r="I14" s="381">
        <f>SUM('D1'!J15:J17)</f>
        <v>-5.7318698503811305</v>
      </c>
      <c r="J14" s="381">
        <f>SUM('D1'!K15:K17)</f>
        <v>-10.611466720875299</v>
      </c>
      <c r="K14" s="381">
        <f>SUM('D1'!L15:L17)</f>
        <v>-9.7876507809440056</v>
      </c>
      <c r="L14" s="381">
        <f>SUM('D1'!M15:M17)</f>
        <v>-9.8334109566469579</v>
      </c>
      <c r="M14" s="381">
        <f>L14</f>
        <v>-9.8334109566469579</v>
      </c>
      <c r="N14" s="1" t="s">
        <v>1055</v>
      </c>
      <c r="O14" s="13">
        <f>SUM(H14:L14)</f>
        <v>-374.82006616561944</v>
      </c>
      <c r="P14" s="13">
        <f>'D1'!Q18</f>
        <v>-374.82006616561944</v>
      </c>
    </row>
    <row r="15" spans="1:16" x14ac:dyDescent="0.25">
      <c r="D15" s="4" t="s">
        <v>179</v>
      </c>
      <c r="E15" s="1" t="s">
        <v>906</v>
      </c>
      <c r="H15" s="381">
        <f>ApndxA3!J20</f>
        <v>-10</v>
      </c>
      <c r="I15" s="381">
        <f>ApndxA3!K20</f>
        <v>-255</v>
      </c>
      <c r="J15" s="381">
        <f>ApndxA3!L20</f>
        <v>0</v>
      </c>
      <c r="K15" s="381">
        <f>ApndxA3!M20</f>
        <v>0</v>
      </c>
      <c r="L15" s="381">
        <f>ApndxA3!N20</f>
        <v>0</v>
      </c>
      <c r="M15" s="381">
        <v>0</v>
      </c>
      <c r="O15" s="13">
        <f>SUM(H15:L15)</f>
        <v>-265</v>
      </c>
      <c r="P15" s="13">
        <f>'D1'!Q20</f>
        <v>-265</v>
      </c>
    </row>
    <row r="16" spans="1:16" ht="17.25" x14ac:dyDescent="0.4">
      <c r="D16" s="4" t="s">
        <v>179</v>
      </c>
      <c r="E16" s="1" t="s">
        <v>907</v>
      </c>
      <c r="H16" s="560">
        <f>ApndxA3!J23</f>
        <v>0</v>
      </c>
      <c r="I16" s="560">
        <f>ApndxA3!K23</f>
        <v>0</v>
      </c>
      <c r="J16" s="560">
        <f>ApndxA3!L23</f>
        <v>0</v>
      </c>
      <c r="K16" s="560">
        <f>ApndxA3!M23</f>
        <v>0</v>
      </c>
      <c r="L16" s="560">
        <f>ApndxA3!N23</f>
        <v>0</v>
      </c>
      <c r="M16" s="560">
        <v>0</v>
      </c>
    </row>
    <row r="17" spans="2:21" x14ac:dyDescent="0.25">
      <c r="C17" s="1" t="s">
        <v>913</v>
      </c>
      <c r="H17" s="381">
        <f t="shared" ref="H17:M17" si="0">SUM(H12:H16)</f>
        <v>64.939869538042558</v>
      </c>
      <c r="I17" s="381">
        <f t="shared" si="0"/>
        <v>119.03296440736494</v>
      </c>
      <c r="J17" s="381">
        <f t="shared" si="0"/>
        <v>324.61142548525783</v>
      </c>
      <c r="K17" s="381">
        <f t="shared" si="0"/>
        <v>274.73271546719184</v>
      </c>
      <c r="L17" s="381">
        <f t="shared" si="0"/>
        <v>217.26768465264752</v>
      </c>
      <c r="M17" s="381">
        <f t="shared" si="0"/>
        <v>107.18777734949779</v>
      </c>
      <c r="Q17" s="1309">
        <f>'D1'!I22</f>
        <v>64.939869538042558</v>
      </c>
      <c r="R17" s="1309">
        <f>'D1'!J22</f>
        <v>119.03296440736494</v>
      </c>
      <c r="S17" s="1309">
        <f>'D1'!K22</f>
        <v>324.61142548525783</v>
      </c>
      <c r="T17" s="1309">
        <f>'D1'!L22</f>
        <v>274.73271546719184</v>
      </c>
      <c r="U17" s="1309">
        <f>'D1'!M22</f>
        <v>217.26768465264752</v>
      </c>
    </row>
    <row r="18" spans="2:21" x14ac:dyDescent="0.25">
      <c r="Q18" s="1309">
        <f>Q17-H17</f>
        <v>0</v>
      </c>
      <c r="R18" s="1309">
        <f>R17-I17</f>
        <v>0</v>
      </c>
      <c r="S18" s="1309">
        <f>S17-J17</f>
        <v>0</v>
      </c>
      <c r="T18" s="1309">
        <f>T17-K17</f>
        <v>0</v>
      </c>
      <c r="U18" s="1309">
        <f>U17-L17</f>
        <v>0</v>
      </c>
    </row>
    <row r="19" spans="2:21" ht="15.75" x14ac:dyDescent="0.25">
      <c r="B19" s="513" t="s">
        <v>928</v>
      </c>
      <c r="H19" s="381"/>
      <c r="I19" s="381"/>
      <c r="J19" s="381"/>
      <c r="K19" s="381"/>
      <c r="L19" s="381"/>
      <c r="M19" s="381"/>
    </row>
    <row r="20" spans="2:21" ht="8.4499999999999993" customHeight="1" x14ac:dyDescent="0.25"/>
    <row r="21" spans="2:21" x14ac:dyDescent="0.25">
      <c r="C21" s="1" t="s">
        <v>952</v>
      </c>
      <c r="H21" s="381">
        <f>ApndxA1!J48</f>
        <v>3132.7287204082131</v>
      </c>
      <c r="I21" s="381">
        <f>ApndxA1!K48</f>
        <v>3437.6438584686111</v>
      </c>
      <c r="J21" s="381">
        <f>ApndxA1!L48</f>
        <v>3620.8134378445247</v>
      </c>
      <c r="K21" s="381">
        <f>ApndxA1!M48</f>
        <v>3826.3706497589924</v>
      </c>
      <c r="L21" s="381">
        <f>ApndxA1!N48</f>
        <v>4044.8852501983483</v>
      </c>
      <c r="M21" s="381">
        <f>L21*(1+'A1'!$O$50)</f>
        <v>4166.2318077042992</v>
      </c>
      <c r="N21" s="1" t="s">
        <v>982</v>
      </c>
    </row>
    <row r="22" spans="2:21" x14ac:dyDescent="0.25">
      <c r="C22" s="1" t="s">
        <v>163</v>
      </c>
      <c r="H22" s="381">
        <f>-ApndxA1!J35</f>
        <v>-12.71645142857143</v>
      </c>
      <c r="I22" s="381">
        <f>-ApndxA1!K35</f>
        <v>-123.71645142857143</v>
      </c>
      <c r="J22" s="381">
        <f>-ApndxA1!L35</f>
        <v>-113.48829142857143</v>
      </c>
      <c r="K22" s="381">
        <f>-ApndxA1!M35</f>
        <v>-113.48829142857143</v>
      </c>
      <c r="L22" s="381">
        <f>-ApndxA1!N35</f>
        <v>-113.48829142857143</v>
      </c>
      <c r="M22" s="381">
        <v>0</v>
      </c>
    </row>
    <row r="23" spans="2:21" x14ac:dyDescent="0.25">
      <c r="C23" s="1" t="s">
        <v>185</v>
      </c>
      <c r="H23" s="381">
        <f>-ApndxA3!J18</f>
        <v>10</v>
      </c>
      <c r="I23" s="381">
        <f>-ApndxA3!K18</f>
        <v>255</v>
      </c>
      <c r="J23" s="381">
        <f>-ApndxA3!L18</f>
        <v>0</v>
      </c>
      <c r="K23" s="381">
        <f>-ApndxA3!M18</f>
        <v>0</v>
      </c>
      <c r="L23" s="381">
        <f>-ApndxA3!N18</f>
        <v>0</v>
      </c>
      <c r="M23" s="381">
        <v>0</v>
      </c>
    </row>
    <row r="24" spans="2:21" ht="17.25" x14ac:dyDescent="0.4">
      <c r="C24" s="1" t="s">
        <v>930</v>
      </c>
      <c r="H24" s="560">
        <f>-ApndxA3!J23</f>
        <v>0</v>
      </c>
      <c r="I24" s="560">
        <f>-ApndxA3!K23</f>
        <v>0</v>
      </c>
      <c r="J24" s="560">
        <f>-ApndxA3!L23</f>
        <v>0</v>
      </c>
      <c r="K24" s="560">
        <f>-ApndxA3!M23</f>
        <v>0</v>
      </c>
      <c r="L24" s="560">
        <f>-ApndxA3!N23</f>
        <v>0</v>
      </c>
      <c r="M24" s="560">
        <v>0</v>
      </c>
    </row>
    <row r="25" spans="2:21" x14ac:dyDescent="0.25">
      <c r="H25" s="381">
        <f t="shared" ref="H25:M25" si="1">SUM(H21:H24)</f>
        <v>3130.0122689796417</v>
      </c>
      <c r="I25" s="381">
        <f t="shared" si="1"/>
        <v>3568.9274070400397</v>
      </c>
      <c r="J25" s="381">
        <f t="shared" si="1"/>
        <v>3507.3251464159534</v>
      </c>
      <c r="K25" s="381">
        <f t="shared" si="1"/>
        <v>3712.8823583304211</v>
      </c>
      <c r="L25" s="381">
        <f t="shared" si="1"/>
        <v>3931.396958769777</v>
      </c>
      <c r="M25" s="381">
        <f t="shared" si="1"/>
        <v>4166.2318077042992</v>
      </c>
    </row>
    <row r="26" spans="2:21" x14ac:dyDescent="0.25">
      <c r="H26" s="381"/>
      <c r="I26" s="381"/>
      <c r="J26" s="381"/>
      <c r="K26" s="381"/>
      <c r="L26" s="381"/>
      <c r="M26" s="381"/>
    </row>
    <row r="27" spans="2:21" x14ac:dyDescent="0.25">
      <c r="C27" s="390" t="s">
        <v>931</v>
      </c>
      <c r="D27" s="390"/>
      <c r="E27" s="390"/>
      <c r="F27" s="1167">
        <f>'A1'!O51</f>
        <v>1.5</v>
      </c>
      <c r="G27" s="686"/>
      <c r="H27" s="686">
        <f t="shared" ref="H27:M27" si="2">H25/12*$F$27</f>
        <v>391.25153362245521</v>
      </c>
      <c r="I27" s="686">
        <f t="shared" si="2"/>
        <v>446.11592588000497</v>
      </c>
      <c r="J27" s="686">
        <f t="shared" si="2"/>
        <v>438.41564330199424</v>
      </c>
      <c r="K27" s="686">
        <f t="shared" si="2"/>
        <v>464.11029479130264</v>
      </c>
      <c r="L27" s="686">
        <f t="shared" si="2"/>
        <v>491.42461984622219</v>
      </c>
      <c r="M27" s="686">
        <f t="shared" si="2"/>
        <v>520.7789759630374</v>
      </c>
    </row>
    <row r="28" spans="2:21" x14ac:dyDescent="0.25">
      <c r="F28" s="173"/>
      <c r="H28" s="381"/>
      <c r="I28" s="381"/>
      <c r="J28" s="381"/>
      <c r="K28" s="381"/>
      <c r="L28" s="381"/>
      <c r="M28" s="381"/>
    </row>
    <row r="29" spans="2:21" ht="15.75" x14ac:dyDescent="0.25">
      <c r="B29" s="513" t="s">
        <v>934</v>
      </c>
      <c r="F29" s="173"/>
      <c r="H29" s="381"/>
      <c r="I29" s="381"/>
      <c r="J29" s="381"/>
      <c r="K29" s="381"/>
      <c r="L29" s="381"/>
      <c r="M29" s="381"/>
    </row>
    <row r="30" spans="2:21" x14ac:dyDescent="0.25">
      <c r="C30" s="1" t="s">
        <v>574</v>
      </c>
      <c r="F30" s="173"/>
      <c r="H30" s="381">
        <f>ApndxA3!J28</f>
        <v>639.82006616561944</v>
      </c>
      <c r="I30" s="381">
        <f>H34</f>
        <v>391.25153362245521</v>
      </c>
      <c r="J30" s="381">
        <f>I34</f>
        <v>446.11592588000497</v>
      </c>
      <c r="K30" s="381">
        <f>J34</f>
        <v>438.41564330199424</v>
      </c>
      <c r="L30" s="381">
        <f>K34</f>
        <v>464.11029479130264</v>
      </c>
      <c r="M30" s="381">
        <f>L34</f>
        <v>491.42461984622219</v>
      </c>
      <c r="O30" s="381"/>
    </row>
    <row r="31" spans="2:21" ht="17.25" x14ac:dyDescent="0.4">
      <c r="D31" s="1" t="s">
        <v>935</v>
      </c>
      <c r="F31" s="173"/>
      <c r="H31" s="560">
        <f t="shared" ref="H31:M31" si="3">H17</f>
        <v>64.939869538042558</v>
      </c>
      <c r="I31" s="560">
        <f t="shared" si="3"/>
        <v>119.03296440736494</v>
      </c>
      <c r="J31" s="560">
        <f t="shared" si="3"/>
        <v>324.61142548525783</v>
      </c>
      <c r="K31" s="560">
        <f t="shared" si="3"/>
        <v>274.73271546719184</v>
      </c>
      <c r="L31" s="560">
        <f t="shared" si="3"/>
        <v>217.26768465264752</v>
      </c>
      <c r="M31" s="560">
        <f t="shared" si="3"/>
        <v>107.18777734949779</v>
      </c>
    </row>
    <row r="32" spans="2:21" x14ac:dyDescent="0.25">
      <c r="C32" s="1" t="s">
        <v>936</v>
      </c>
      <c r="F32" s="173"/>
      <c r="H32" s="381">
        <f>H30+H31</f>
        <v>704.75993570366199</v>
      </c>
      <c r="I32" s="381">
        <f>I30+I17</f>
        <v>510.28449802982016</v>
      </c>
      <c r="J32" s="381">
        <f>J30+J17</f>
        <v>770.72735136526285</v>
      </c>
      <c r="K32" s="381">
        <f>K30+K17</f>
        <v>713.14835876918607</v>
      </c>
      <c r="L32" s="381">
        <f>L30+L17</f>
        <v>681.37797944395015</v>
      </c>
      <c r="M32" s="381">
        <f>M30+M17</f>
        <v>598.61239719571995</v>
      </c>
    </row>
    <row r="33" spans="3:14" ht="17.25" x14ac:dyDescent="0.4">
      <c r="D33" s="1" t="s">
        <v>937</v>
      </c>
      <c r="F33" s="173"/>
      <c r="H33" s="560">
        <f t="shared" ref="H33:M33" si="4">IF(H17&lt;=0,0,IF(H32&gt;H27,H27-H32,0))</f>
        <v>-313.50840208120678</v>
      </c>
      <c r="I33" s="560">
        <f t="shared" si="4"/>
        <v>-64.168572149815191</v>
      </c>
      <c r="J33" s="560">
        <f t="shared" si="4"/>
        <v>-332.31170806326861</v>
      </c>
      <c r="K33" s="560">
        <f t="shared" si="4"/>
        <v>-249.03806397788344</v>
      </c>
      <c r="L33" s="560">
        <f t="shared" si="4"/>
        <v>-189.95335959772797</v>
      </c>
      <c r="M33" s="560">
        <f t="shared" si="4"/>
        <v>-77.833421232682554</v>
      </c>
      <c r="N33" s="363" t="s">
        <v>983</v>
      </c>
    </row>
    <row r="34" spans="3:14" x14ac:dyDescent="0.25">
      <c r="C34" s="1" t="s">
        <v>187</v>
      </c>
      <c r="F34" s="173"/>
      <c r="H34" s="381">
        <f t="shared" ref="H34:M34" si="5">H32+H33</f>
        <v>391.25153362245521</v>
      </c>
      <c r="I34" s="381">
        <f t="shared" si="5"/>
        <v>446.11592588000497</v>
      </c>
      <c r="J34" s="381">
        <f t="shared" si="5"/>
        <v>438.41564330199424</v>
      </c>
      <c r="K34" s="381">
        <f t="shared" si="5"/>
        <v>464.11029479130264</v>
      </c>
      <c r="L34" s="381">
        <f t="shared" si="5"/>
        <v>491.42461984622219</v>
      </c>
      <c r="M34" s="381">
        <f t="shared" si="5"/>
        <v>520.7789759630374</v>
      </c>
      <c r="N34" s="1" t="s">
        <v>985</v>
      </c>
    </row>
    <row r="35" spans="3:14" x14ac:dyDescent="0.25">
      <c r="F35" s="173"/>
      <c r="H35" s="381"/>
      <c r="I35" s="381"/>
      <c r="J35" s="381"/>
      <c r="K35" s="381"/>
      <c r="L35" s="381"/>
      <c r="N35" s="1" t="s">
        <v>984</v>
      </c>
    </row>
    <row r="36" spans="3:14" x14ac:dyDescent="0.25">
      <c r="C36" s="1178" t="s">
        <v>938</v>
      </c>
      <c r="D36" s="1179"/>
      <c r="E36" s="1130"/>
      <c r="F36" s="1263"/>
      <c r="G36" s="1130"/>
      <c r="H36" s="1168"/>
      <c r="I36" s="1168"/>
      <c r="J36" s="1168"/>
      <c r="K36" s="1168"/>
      <c r="L36" s="1169"/>
      <c r="M36" s="1169"/>
    </row>
    <row r="37" spans="3:14" x14ac:dyDescent="0.25">
      <c r="C37" s="1180"/>
      <c r="D37" s="1181" t="s">
        <v>939</v>
      </c>
      <c r="E37" s="935"/>
      <c r="F37" s="1264">
        <f>1-F38</f>
        <v>1</v>
      </c>
      <c r="G37" s="935"/>
      <c r="H37" s="1170">
        <f t="shared" ref="H37:M38" si="6">-H$33*$F37</f>
        <v>313.50840208120678</v>
      </c>
      <c r="I37" s="1170">
        <f t="shared" si="6"/>
        <v>64.168572149815191</v>
      </c>
      <c r="J37" s="1170">
        <f t="shared" si="6"/>
        <v>332.31170806326861</v>
      </c>
      <c r="K37" s="1170">
        <f t="shared" si="6"/>
        <v>249.03806397788344</v>
      </c>
      <c r="L37" s="1171">
        <f t="shared" si="6"/>
        <v>189.95335959772797</v>
      </c>
      <c r="M37" s="1171">
        <f t="shared" si="6"/>
        <v>77.833421232682554</v>
      </c>
    </row>
    <row r="38" spans="3:14" ht="17.25" x14ac:dyDescent="0.4">
      <c r="C38" s="1180"/>
      <c r="D38" s="1181" t="s">
        <v>940</v>
      </c>
      <c r="E38" s="935"/>
      <c r="F38" s="1264">
        <f>'A1'!P63</f>
        <v>0</v>
      </c>
      <c r="G38" s="935"/>
      <c r="H38" s="1172">
        <f t="shared" si="6"/>
        <v>0</v>
      </c>
      <c r="I38" s="1172">
        <f t="shared" si="6"/>
        <v>0</v>
      </c>
      <c r="J38" s="1172">
        <f t="shared" si="6"/>
        <v>0</v>
      </c>
      <c r="K38" s="1172">
        <f t="shared" si="6"/>
        <v>0</v>
      </c>
      <c r="L38" s="1173">
        <f t="shared" si="6"/>
        <v>0</v>
      </c>
      <c r="M38" s="1173">
        <f t="shared" si="6"/>
        <v>0</v>
      </c>
    </row>
    <row r="39" spans="3:14" x14ac:dyDescent="0.25">
      <c r="C39" s="1174"/>
      <c r="D39" s="1175"/>
      <c r="E39" s="1175"/>
      <c r="F39" s="1265"/>
      <c r="G39" s="1175"/>
      <c r="H39" s="1176">
        <f t="shared" ref="H39:M39" si="7">H37+H38</f>
        <v>313.50840208120678</v>
      </c>
      <c r="I39" s="1176">
        <f t="shared" si="7"/>
        <v>64.168572149815191</v>
      </c>
      <c r="J39" s="1176">
        <f t="shared" si="7"/>
        <v>332.31170806326861</v>
      </c>
      <c r="K39" s="1176">
        <f t="shared" si="7"/>
        <v>249.03806397788344</v>
      </c>
      <c r="L39" s="1177">
        <f t="shared" si="7"/>
        <v>189.95335959772797</v>
      </c>
      <c r="M39" s="1177">
        <f t="shared" si="7"/>
        <v>77.833421232682554</v>
      </c>
    </row>
    <row r="40" spans="3:14" x14ac:dyDescent="0.25">
      <c r="H40" s="381"/>
      <c r="I40" s="381"/>
      <c r="J40" s="381"/>
      <c r="K40" s="381"/>
      <c r="L40" s="381"/>
    </row>
    <row r="42" spans="3:14" x14ac:dyDescent="0.25">
      <c r="E42" s="1" t="s">
        <v>58</v>
      </c>
      <c r="H42" s="381">
        <f>ApndxA2!J9</f>
        <v>391.25153362245516</v>
      </c>
      <c r="I42" s="381">
        <f>ApndxA2!K9</f>
        <v>446.11592588000491</v>
      </c>
      <c r="J42" s="381">
        <f>ApndxA2!L9</f>
        <v>438.41564330199412</v>
      </c>
      <c r="K42" s="381">
        <f>ApndxA2!M9</f>
        <v>464.11029479130252</v>
      </c>
      <c r="L42" s="381">
        <f>ApndxA2!N9</f>
        <v>491.42461984622207</v>
      </c>
    </row>
    <row r="43" spans="3:14" x14ac:dyDescent="0.25">
      <c r="H43" s="381">
        <f>ApndxB3!AC9</f>
        <v>391.25153362245516</v>
      </c>
      <c r="I43" s="381">
        <f>ApndxB3!AD9</f>
        <v>446.11592588000491</v>
      </c>
      <c r="J43" s="381">
        <f>ApndxB3!AE9</f>
        <v>438.41564330199412</v>
      </c>
      <c r="K43" s="381">
        <f>ApndxB3!AF9</f>
        <v>464.11029479130252</v>
      </c>
      <c r="L43" s="381">
        <f>ApndxB3!AG9</f>
        <v>491.42461984622207</v>
      </c>
    </row>
    <row r="45" spans="3:14" x14ac:dyDescent="0.25">
      <c r="D45" s="1" t="s">
        <v>933</v>
      </c>
      <c r="H45" s="381">
        <f>ApndxA3!J35</f>
        <v>64.939869538042501</v>
      </c>
      <c r="I45" s="381">
        <f>ApndxA3!K35</f>
        <v>119.03296440736494</v>
      </c>
      <c r="J45" s="381">
        <f>ApndxA3!L35</f>
        <v>324.61142548525783</v>
      </c>
      <c r="K45" s="381">
        <f>ApndxA3!M35</f>
        <v>274.73271546719184</v>
      </c>
      <c r="L45" s="381">
        <f>ApndxA3!N35</f>
        <v>217.26768465264752</v>
      </c>
    </row>
    <row r="46" spans="3:14" x14ac:dyDescent="0.25">
      <c r="H46" s="381">
        <f>H45-H17</f>
        <v>0</v>
      </c>
      <c r="I46" s="381">
        <f>I45-I17</f>
        <v>0</v>
      </c>
      <c r="J46" s="381">
        <f>J45-J17</f>
        <v>0</v>
      </c>
      <c r="K46" s="381">
        <f>K45-K17</f>
        <v>0</v>
      </c>
      <c r="L46" s="381">
        <f>L45-L17</f>
        <v>0</v>
      </c>
    </row>
    <row r="48" spans="3:14" x14ac:dyDescent="0.25">
      <c r="G48" s="4" t="s">
        <v>1052</v>
      </c>
      <c r="H48" s="381">
        <f>ApndxA3!J28</f>
        <v>639.82006616561944</v>
      </c>
      <c r="I48" s="381">
        <f>ApndxA3!K28</f>
        <v>391.25153362245516</v>
      </c>
      <c r="J48" s="381">
        <f>ApndxA3!L28</f>
        <v>446.11592588000491</v>
      </c>
      <c r="K48" s="381">
        <f>ApndxA3!M28</f>
        <v>438.41564330199412</v>
      </c>
      <c r="L48" s="381">
        <f>ApndxA3!N28</f>
        <v>464.11029479130252</v>
      </c>
    </row>
    <row r="49" spans="7:12" x14ac:dyDescent="0.25">
      <c r="G49" s="4" t="s">
        <v>1053</v>
      </c>
      <c r="H49" s="381">
        <f>ApndxA3!J32</f>
        <v>391.25153362245516</v>
      </c>
      <c r="I49" s="381">
        <f>ApndxA3!K32</f>
        <v>446.11592588000491</v>
      </c>
      <c r="J49" s="381">
        <f>ApndxA3!L32</f>
        <v>438.41564330199412</v>
      </c>
      <c r="K49" s="381">
        <f>ApndxA3!M32</f>
        <v>464.11029479130252</v>
      </c>
      <c r="L49" s="381">
        <f>ApndxA3!N32</f>
        <v>491.42461984622207</v>
      </c>
    </row>
    <row r="50" spans="7:12" x14ac:dyDescent="0.25">
      <c r="G50" s="4" t="s">
        <v>1054</v>
      </c>
      <c r="H50" s="381">
        <f>ApndxA3!J31</f>
        <v>-248.56853254316428</v>
      </c>
      <c r="I50" s="381">
        <f>ApndxA3!K31</f>
        <v>54.864392257549753</v>
      </c>
      <c r="J50" s="381">
        <f>ApndxA3!L31</f>
        <v>-7.7002825780107855</v>
      </c>
      <c r="K50" s="381">
        <f>ApndxA3!M31</f>
        <v>25.694651489308399</v>
      </c>
      <c r="L50" s="381">
        <f>ApndxA3!N31</f>
        <v>27.31432505491955</v>
      </c>
    </row>
  </sheetData>
  <conditionalFormatting sqref="F27">
    <cfRule type="expression" dxfId="56" priority="2">
      <formula>$B$87=2</formula>
    </cfRule>
  </conditionalFormatting>
  <pageMargins left="0.7" right="0.7" top="0.5" bottom="0.5" header="0.3" footer="0.3"/>
  <pageSetup scale="95" orientation="landscape" r:id="rId1"/>
  <ignoredErrors>
    <ignoredError sqref="A2:G2 A5:G5 A4 A43:G43 A7:F8 A6:F6 H6:M6 H7:L8 C4:G4 H2:M3 H5:M5 H4:L4 C3:G3" unlockedFormula="1"/>
    <ignoredError sqref="M4" numberStoredAsText="1" unlockedFormula="1"/>
  </ignoredErrors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>
    <tabColor rgb="FFFFC000"/>
    <pageSetUpPr fitToPage="1"/>
  </sheetPr>
  <dimension ref="A1:U66"/>
  <sheetViews>
    <sheetView showGridLines="0" workbookViewId="0"/>
  </sheetViews>
  <sheetFormatPr defaultColWidth="9.42578125" defaultRowHeight="15" x14ac:dyDescent="0.25"/>
  <cols>
    <col min="1" max="2" width="2.42578125" style="1" customWidth="1"/>
    <col min="3" max="3" width="5.42578125" style="1" customWidth="1"/>
    <col min="4" max="4" width="3.5703125" style="1" customWidth="1"/>
    <col min="5" max="5" width="18.42578125" style="1" customWidth="1"/>
    <col min="6" max="11" width="11.5703125" style="1" customWidth="1"/>
    <col min="12" max="12" width="5.42578125" style="1" customWidth="1"/>
    <col min="13" max="19" width="11.5703125" style="1" customWidth="1"/>
    <col min="20" max="20" width="8.5703125" style="1" customWidth="1"/>
    <col min="21" max="21" width="8.42578125" style="1" customWidth="1"/>
    <col min="22" max="16384" width="9.42578125" style="1"/>
  </cols>
  <sheetData>
    <row r="1" spans="1:19" ht="5.85" customHeight="1" thickBot="1" x14ac:dyDescent="0.3">
      <c r="B1" s="85"/>
      <c r="C1" s="85"/>
      <c r="D1" s="85"/>
      <c r="E1" s="86"/>
      <c r="F1" s="85"/>
      <c r="G1" s="85"/>
      <c r="H1" s="85"/>
      <c r="I1" s="383"/>
      <c r="J1" s="85"/>
      <c r="K1" s="85"/>
      <c r="L1" s="85"/>
      <c r="M1" s="85"/>
      <c r="N1" s="85"/>
      <c r="O1" s="85"/>
      <c r="P1" s="85"/>
      <c r="Q1" s="85"/>
      <c r="R1" s="85"/>
      <c r="S1" s="85"/>
    </row>
    <row r="2" spans="1:19" ht="16.5" thickTop="1" x14ac:dyDescent="0.25">
      <c r="B2" s="110" t="str">
        <f>MainOutline!B2</f>
        <v>WB Santa Cruz</v>
      </c>
      <c r="C2" s="110"/>
      <c r="D2" s="110"/>
      <c r="E2" s="111"/>
      <c r="F2" s="111"/>
      <c r="G2" s="111"/>
      <c r="H2" s="508" t="str">
        <f>'A1'!$C$90</f>
        <v>Acquisition of an existing facility</v>
      </c>
      <c r="I2" s="385"/>
      <c r="J2" s="111"/>
      <c r="K2" s="111"/>
      <c r="L2" s="111"/>
      <c r="M2" s="111"/>
      <c r="N2" s="111"/>
      <c r="O2" s="111"/>
      <c r="P2" s="111"/>
      <c r="Q2" s="111"/>
      <c r="R2" s="111"/>
      <c r="S2" s="1409">
        <f>$A3</f>
        <v>45</v>
      </c>
    </row>
    <row r="3" spans="1:19" ht="15.75" x14ac:dyDescent="0.25">
      <c r="A3" s="123">
        <f>MainOutline!B62</f>
        <v>45</v>
      </c>
      <c r="B3" s="102" t="str">
        <f>MainOutline!C62</f>
        <v>Appendix D3</v>
      </c>
      <c r="C3" s="102"/>
      <c r="D3" s="102"/>
      <c r="E3" s="89"/>
      <c r="F3" s="89"/>
      <c r="G3" s="89"/>
      <c r="H3" s="89"/>
      <c r="I3" s="386"/>
      <c r="J3" s="89"/>
      <c r="K3" s="89"/>
      <c r="L3" s="89"/>
      <c r="M3" s="89"/>
      <c r="N3" s="89"/>
      <c r="O3" s="89"/>
      <c r="P3" s="89"/>
      <c r="Q3" s="89"/>
      <c r="R3" s="89"/>
      <c r="S3" s="89"/>
    </row>
    <row r="4" spans="1:19" ht="16.5" thickBot="1" x14ac:dyDescent="0.3">
      <c r="B4" s="104" t="s">
        <v>535</v>
      </c>
      <c r="C4" s="104"/>
      <c r="D4" s="104"/>
      <c r="E4" s="97"/>
      <c r="F4" s="97"/>
      <c r="G4" s="97"/>
      <c r="H4" s="97"/>
      <c r="I4" s="387"/>
      <c r="J4" s="97"/>
      <c r="K4" s="97"/>
      <c r="L4" s="97"/>
      <c r="M4" s="97"/>
      <c r="N4" s="97"/>
      <c r="O4" s="97"/>
      <c r="P4" s="97"/>
      <c r="Q4" s="97"/>
      <c r="R4" s="97"/>
      <c r="S4" s="138" t="s">
        <v>19</v>
      </c>
    </row>
    <row r="5" spans="1:19" ht="15.75" thickTop="1" x14ac:dyDescent="0.25"/>
    <row r="6" spans="1:19" s="81" customFormat="1" ht="16.5" x14ac:dyDescent="0.35">
      <c r="B6" s="852"/>
      <c r="C6" s="853" t="s">
        <v>327</v>
      </c>
      <c r="D6" s="854"/>
      <c r="E6" s="854"/>
      <c r="F6" s="854"/>
      <c r="G6" s="854"/>
      <c r="H6" s="854"/>
      <c r="I6" s="855"/>
      <c r="J6" s="856"/>
      <c r="K6" s="78"/>
      <c r="L6" s="853" t="s">
        <v>381</v>
      </c>
      <c r="M6" s="854"/>
      <c r="N6" s="854"/>
      <c r="O6" s="854"/>
      <c r="P6" s="854"/>
      <c r="Q6" s="854"/>
      <c r="R6" s="855"/>
      <c r="S6" s="856"/>
    </row>
    <row r="7" spans="1:19" s="81" customFormat="1" ht="16.5" x14ac:dyDescent="0.35">
      <c r="B7" s="852"/>
      <c r="C7" s="857">
        <f>'A1'!L45</f>
        <v>1</v>
      </c>
      <c r="D7" s="340"/>
      <c r="F7" s="858">
        <f>'A1'!O45/1000</f>
        <v>0</v>
      </c>
      <c r="G7" s="659">
        <f>'A1'!P45</f>
        <v>1.8499999999999999E-2</v>
      </c>
      <c r="H7" s="859">
        <f>'A1'!Q45</f>
        <v>5</v>
      </c>
      <c r="I7" s="860" t="s">
        <v>338</v>
      </c>
      <c r="J7" s="861"/>
      <c r="K7" s="78"/>
      <c r="L7" s="857">
        <f>'A1'!L46</f>
        <v>1</v>
      </c>
      <c r="M7" s="340"/>
      <c r="O7" s="858">
        <f>'A1'!O46/1000</f>
        <v>0</v>
      </c>
      <c r="P7" s="659">
        <f>'A1'!P46</f>
        <v>0.02</v>
      </c>
      <c r="Q7" s="859">
        <f>'A1'!Q46</f>
        <v>5</v>
      </c>
      <c r="R7" s="860" t="s">
        <v>338</v>
      </c>
      <c r="S7" s="861"/>
    </row>
    <row r="8" spans="1:19" s="81" customFormat="1" x14ac:dyDescent="0.25">
      <c r="B8" s="852"/>
      <c r="C8" s="245"/>
      <c r="F8" s="862">
        <v>1</v>
      </c>
      <c r="G8" s="862">
        <v>2</v>
      </c>
      <c r="H8" s="862">
        <v>3</v>
      </c>
      <c r="I8" s="862">
        <v>4</v>
      </c>
      <c r="J8" s="863">
        <v>5</v>
      </c>
      <c r="K8" s="78"/>
      <c r="L8" s="245"/>
      <c r="O8" s="862">
        <v>1</v>
      </c>
      <c r="P8" s="862">
        <v>2</v>
      </c>
      <c r="Q8" s="862">
        <v>3</v>
      </c>
      <c r="R8" s="862">
        <v>4</v>
      </c>
      <c r="S8" s="863">
        <v>5</v>
      </c>
    </row>
    <row r="9" spans="1:19" s="81" customFormat="1" x14ac:dyDescent="0.25">
      <c r="B9" s="852"/>
      <c r="C9" s="245" t="str">
        <f>'A1'!$Q$85</f>
        <v>LOC</v>
      </c>
      <c r="E9" s="78"/>
      <c r="J9" s="864"/>
      <c r="K9" s="78"/>
      <c r="L9" s="245" t="str">
        <f>'A1'!$Q$85</f>
        <v>LOC</v>
      </c>
      <c r="N9" s="78"/>
      <c r="S9" s="864"/>
    </row>
    <row r="10" spans="1:19" s="81" customFormat="1" x14ac:dyDescent="0.25">
      <c r="B10" s="852"/>
      <c r="C10" s="857">
        <v>1</v>
      </c>
      <c r="D10" s="81" t="s">
        <v>333</v>
      </c>
      <c r="E10" s="78"/>
      <c r="F10" s="865">
        <f>F7*G7</f>
        <v>0</v>
      </c>
      <c r="G10" s="865">
        <f>F10</f>
        <v>0</v>
      </c>
      <c r="H10" s="865">
        <f>G10</f>
        <v>0</v>
      </c>
      <c r="I10" s="865">
        <f>H10</f>
        <v>0</v>
      </c>
      <c r="J10" s="866">
        <f>I10</f>
        <v>0</v>
      </c>
      <c r="K10" s="78"/>
      <c r="L10" s="857">
        <v>1</v>
      </c>
      <c r="M10" s="81" t="s">
        <v>333</v>
      </c>
      <c r="N10" s="78"/>
      <c r="O10" s="865">
        <f>O7*P7</f>
        <v>0</v>
      </c>
      <c r="P10" s="865">
        <f>O10</f>
        <v>0</v>
      </c>
      <c r="Q10" s="865">
        <f>P10</f>
        <v>0</v>
      </c>
      <c r="R10" s="865">
        <f>Q10</f>
        <v>0</v>
      </c>
      <c r="S10" s="866">
        <f>R10</f>
        <v>0</v>
      </c>
    </row>
    <row r="11" spans="1:19" s="81" customFormat="1" x14ac:dyDescent="0.25">
      <c r="B11" s="852"/>
      <c r="C11" s="857">
        <v>1</v>
      </c>
      <c r="D11" s="81" t="s">
        <v>570</v>
      </c>
      <c r="E11" s="78"/>
      <c r="F11" s="867">
        <v>0</v>
      </c>
      <c r="G11" s="867">
        <v>0</v>
      </c>
      <c r="H11" s="867">
        <v>0</v>
      </c>
      <c r="I11" s="867">
        <v>0</v>
      </c>
      <c r="J11" s="868">
        <f>F7</f>
        <v>0</v>
      </c>
      <c r="K11" s="78"/>
      <c r="L11" s="857">
        <v>1</v>
      </c>
      <c r="M11" s="81" t="s">
        <v>570</v>
      </c>
      <c r="N11" s="78"/>
      <c r="O11" s="867">
        <v>0</v>
      </c>
      <c r="P11" s="867">
        <v>0</v>
      </c>
      <c r="Q11" s="867">
        <v>0</v>
      </c>
      <c r="R11" s="867">
        <v>0</v>
      </c>
      <c r="S11" s="868">
        <f>O7</f>
        <v>0</v>
      </c>
    </row>
    <row r="12" spans="1:19" s="81" customFormat="1" x14ac:dyDescent="0.25">
      <c r="B12" s="852"/>
      <c r="C12" s="245"/>
      <c r="E12" s="78"/>
      <c r="F12" s="865">
        <f>F10+F11</f>
        <v>0</v>
      </c>
      <c r="G12" s="865">
        <f>G10+G11</f>
        <v>0</v>
      </c>
      <c r="H12" s="865">
        <f>H10+H11</f>
        <v>0</v>
      </c>
      <c r="I12" s="865">
        <f>I10+I11</f>
        <v>0</v>
      </c>
      <c r="J12" s="866">
        <f>J10+J11</f>
        <v>0</v>
      </c>
      <c r="K12" s="78"/>
      <c r="L12" s="245"/>
      <c r="N12" s="78"/>
      <c r="O12" s="865">
        <f>O10+O11</f>
        <v>0</v>
      </c>
      <c r="P12" s="865">
        <f>P10+P11</f>
        <v>0</v>
      </c>
      <c r="Q12" s="865">
        <f>Q10+Q11</f>
        <v>0</v>
      </c>
      <c r="R12" s="865">
        <f>R10+R11</f>
        <v>0</v>
      </c>
      <c r="S12" s="866">
        <f>S10+S11</f>
        <v>0</v>
      </c>
    </row>
    <row r="13" spans="1:19" s="81" customFormat="1" x14ac:dyDescent="0.25">
      <c r="B13" s="852"/>
      <c r="C13" s="245"/>
      <c r="E13" s="78"/>
      <c r="F13" s="78"/>
      <c r="G13" s="78"/>
      <c r="H13" s="78"/>
      <c r="I13" s="78"/>
      <c r="J13" s="869"/>
      <c r="K13" s="78"/>
      <c r="L13" s="245"/>
      <c r="N13" s="78"/>
      <c r="O13" s="78"/>
      <c r="P13" s="78"/>
      <c r="Q13" s="78"/>
      <c r="R13" s="78"/>
      <c r="S13" s="869"/>
    </row>
    <row r="14" spans="1:19" s="81" customFormat="1" x14ac:dyDescent="0.25">
      <c r="C14" s="245" t="str">
        <f>'A1'!$Q$86</f>
        <v>Term</v>
      </c>
      <c r="I14" s="852"/>
      <c r="J14" s="864"/>
      <c r="K14" s="78"/>
      <c r="L14" s="245" t="str">
        <f>'A1'!$Q$86</f>
        <v>Term</v>
      </c>
      <c r="R14" s="852"/>
      <c r="S14" s="864"/>
    </row>
    <row r="15" spans="1:19" s="81" customFormat="1" x14ac:dyDescent="0.25">
      <c r="C15" s="857">
        <v>2</v>
      </c>
      <c r="D15" s="81" t="str">
        <f>D10</f>
        <v>Interest Payment</v>
      </c>
      <c r="F15" s="865">
        <f>IF(F8&gt;H7,0,-IPMT(G7,F8,H7,F7))</f>
        <v>0</v>
      </c>
      <c r="G15" s="865">
        <f>IF(G8&gt;H7,0,-IPMT(G7,G8,H7,F7))</f>
        <v>0</v>
      </c>
      <c r="H15" s="865">
        <f>IF(H8&gt;H7,0,-IPMT(G7,H8,H7,F7))</f>
        <v>0</v>
      </c>
      <c r="I15" s="865">
        <f>IF(I8&gt;H7,0,-IPMT(G7,I8,H7,F7))</f>
        <v>0</v>
      </c>
      <c r="J15" s="866">
        <f>IF(J8&gt;H7,0,-IPMT(G7,J8,H7,F7))</f>
        <v>0</v>
      </c>
      <c r="K15" s="78"/>
      <c r="L15" s="857">
        <v>2</v>
      </c>
      <c r="M15" s="81" t="str">
        <f>M10</f>
        <v>Interest Payment</v>
      </c>
      <c r="O15" s="865">
        <f>IF(O8&gt;Q7,0,-IPMT(P7,O8,Q7,O7))</f>
        <v>0</v>
      </c>
      <c r="P15" s="865">
        <f>IF(P8&gt;Q7,0,-IPMT(P7,P8,Q7,O7))</f>
        <v>0</v>
      </c>
      <c r="Q15" s="865">
        <f>IF(Q8&gt;Q7,0,-IPMT(P7,Q8,Q7,O7))</f>
        <v>0</v>
      </c>
      <c r="R15" s="865">
        <f>IF(R8&gt;Q7,0,-IPMT(P7,R8,Q7,O7))</f>
        <v>0</v>
      </c>
      <c r="S15" s="866">
        <f>IF(S8&gt;Q7,0,-IPMT(P7,S8,Q7,O7))</f>
        <v>0</v>
      </c>
    </row>
    <row r="16" spans="1:19" s="81" customFormat="1" x14ac:dyDescent="0.25">
      <c r="C16" s="857">
        <v>2</v>
      </c>
      <c r="D16" s="81" t="str">
        <f>D11</f>
        <v>Principal Payment</v>
      </c>
      <c r="F16" s="867">
        <f>IF(F8&gt;H7,0,-PPMT(G7,F8,H7,F7))</f>
        <v>0</v>
      </c>
      <c r="G16" s="867">
        <f>IF(G8&gt;H7,0,-PPMT(G7,G8,H7,F7))</f>
        <v>0</v>
      </c>
      <c r="H16" s="867">
        <f>IF(H8&gt;H7,0,-PPMT(G7,H8,H7,F7))</f>
        <v>0</v>
      </c>
      <c r="I16" s="867">
        <f>IF(I8&gt;H7,0,-PPMT(G7,I8,H7,F7))</f>
        <v>0</v>
      </c>
      <c r="J16" s="868">
        <f>IF(J8&gt;H7,0,-PPMT(G7,J8,H7,F7))</f>
        <v>0</v>
      </c>
      <c r="K16" s="78"/>
      <c r="L16" s="857">
        <v>2</v>
      </c>
      <c r="M16" s="81" t="str">
        <f>M11</f>
        <v>Principal Payment</v>
      </c>
      <c r="O16" s="867">
        <f>IF(O8&gt;Q7,0,-PPMT(P7,O8,Q7,O7))</f>
        <v>0</v>
      </c>
      <c r="P16" s="867">
        <f>IF(P8&gt;Q7,0,-PPMT(P7,P8,Q7,O7))</f>
        <v>0</v>
      </c>
      <c r="Q16" s="867">
        <f>IF(Q8&gt;Q7,0,-PPMT(P7,Q8,Q7,O7))</f>
        <v>0</v>
      </c>
      <c r="R16" s="867">
        <f>IF(R8&gt;Q7,0,-PPMT(P7,R8,Q7,O7))</f>
        <v>0</v>
      </c>
      <c r="S16" s="868">
        <f>IF(S8&gt;Q7,0,-PPMT(P7,S8,Q7,O7))</f>
        <v>0</v>
      </c>
    </row>
    <row r="17" spans="3:21" s="81" customFormat="1" x14ac:dyDescent="0.25">
      <c r="C17" s="245"/>
      <c r="F17" s="865">
        <f>F16+F15</f>
        <v>0</v>
      </c>
      <c r="G17" s="865">
        <f>G16+G15</f>
        <v>0</v>
      </c>
      <c r="H17" s="865">
        <f>H16+H15</f>
        <v>0</v>
      </c>
      <c r="I17" s="865">
        <f>I16+I15</f>
        <v>0</v>
      </c>
      <c r="J17" s="866">
        <f>J16+J15</f>
        <v>0</v>
      </c>
      <c r="K17" s="78"/>
      <c r="L17" s="245"/>
      <c r="O17" s="865">
        <f>O16+O15</f>
        <v>0</v>
      </c>
      <c r="P17" s="865">
        <f>P16+P15</f>
        <v>0</v>
      </c>
      <c r="Q17" s="865">
        <f>Q16+Q15</f>
        <v>0</v>
      </c>
      <c r="R17" s="865">
        <f>R16+R15</f>
        <v>0</v>
      </c>
      <c r="S17" s="866">
        <f>S16+S15</f>
        <v>0</v>
      </c>
    </row>
    <row r="18" spans="3:21" s="81" customFormat="1" x14ac:dyDescent="0.25">
      <c r="C18" s="245"/>
      <c r="I18" s="852"/>
      <c r="J18" s="864"/>
      <c r="K18" s="78"/>
      <c r="L18" s="245"/>
      <c r="R18" s="852"/>
      <c r="S18" s="864"/>
    </row>
    <row r="19" spans="3:21" s="81" customFormat="1" x14ac:dyDescent="0.25">
      <c r="C19" s="245" t="str">
        <f>'A1'!$Q$87</f>
        <v>5 Yr Balloon</v>
      </c>
      <c r="E19" s="78"/>
      <c r="J19" s="864"/>
      <c r="K19" s="78"/>
      <c r="L19" s="245" t="str">
        <f>'A1'!$Q$87</f>
        <v>5 Yr Balloon</v>
      </c>
      <c r="N19" s="78"/>
      <c r="S19" s="864"/>
    </row>
    <row r="20" spans="3:21" s="81" customFormat="1" x14ac:dyDescent="0.25">
      <c r="C20" s="870">
        <v>3</v>
      </c>
      <c r="D20" s="81" t="str">
        <f>D15</f>
        <v>Interest Payment</v>
      </c>
      <c r="E20" s="78"/>
      <c r="F20" s="865">
        <f>F7*G7</f>
        <v>0</v>
      </c>
      <c r="G20" s="865">
        <f>F20</f>
        <v>0</v>
      </c>
      <c r="H20" s="865">
        <f>G20</f>
        <v>0</v>
      </c>
      <c r="I20" s="865">
        <f>H20</f>
        <v>0</v>
      </c>
      <c r="J20" s="866">
        <f>I20</f>
        <v>0</v>
      </c>
      <c r="K20" s="78"/>
      <c r="L20" s="870">
        <v>3</v>
      </c>
      <c r="M20" s="81" t="str">
        <f>M15</f>
        <v>Interest Payment</v>
      </c>
      <c r="N20" s="78"/>
      <c r="O20" s="865">
        <f>O7*P7</f>
        <v>0</v>
      </c>
      <c r="P20" s="865">
        <f>O20</f>
        <v>0</v>
      </c>
      <c r="Q20" s="865">
        <f>P20</f>
        <v>0</v>
      </c>
      <c r="R20" s="865">
        <f>Q20</f>
        <v>0</v>
      </c>
      <c r="S20" s="866">
        <f>R20</f>
        <v>0</v>
      </c>
    </row>
    <row r="21" spans="3:21" s="81" customFormat="1" x14ac:dyDescent="0.25">
      <c r="C21" s="857">
        <v>3</v>
      </c>
      <c r="D21" s="81" t="str">
        <f>D16</f>
        <v>Principal Payment</v>
      </c>
      <c r="E21" s="78"/>
      <c r="F21" s="867">
        <v>0</v>
      </c>
      <c r="G21" s="867">
        <v>0</v>
      </c>
      <c r="H21" s="867">
        <v>0</v>
      </c>
      <c r="I21" s="867">
        <v>0</v>
      </c>
      <c r="J21" s="868">
        <f>F7</f>
        <v>0</v>
      </c>
      <c r="K21" s="78"/>
      <c r="L21" s="857">
        <v>3</v>
      </c>
      <c r="M21" s="81" t="str">
        <f>M16</f>
        <v>Principal Payment</v>
      </c>
      <c r="N21" s="78"/>
      <c r="O21" s="867">
        <v>0</v>
      </c>
      <c r="P21" s="867">
        <v>0</v>
      </c>
      <c r="Q21" s="867">
        <v>0</v>
      </c>
      <c r="R21" s="867">
        <v>0</v>
      </c>
      <c r="S21" s="868">
        <f>O7</f>
        <v>0</v>
      </c>
    </row>
    <row r="22" spans="3:21" s="81" customFormat="1" x14ac:dyDescent="0.25">
      <c r="C22" s="245"/>
      <c r="E22" s="78"/>
      <c r="F22" s="865">
        <f>F20+F21</f>
        <v>0</v>
      </c>
      <c r="G22" s="865">
        <f>G20+G21</f>
        <v>0</v>
      </c>
      <c r="H22" s="865">
        <f>H20+H21</f>
        <v>0</v>
      </c>
      <c r="I22" s="865">
        <f>I20+I21</f>
        <v>0</v>
      </c>
      <c r="J22" s="866">
        <f>J20+J21</f>
        <v>0</v>
      </c>
      <c r="K22" s="78"/>
      <c r="L22" s="245"/>
      <c r="N22" s="78"/>
      <c r="O22" s="865">
        <f>O20+O21</f>
        <v>0</v>
      </c>
      <c r="P22" s="865">
        <f>P20+P21</f>
        <v>0</v>
      </c>
      <c r="Q22" s="865">
        <f>Q20+Q21</f>
        <v>0</v>
      </c>
      <c r="R22" s="865">
        <f>R20+R21</f>
        <v>0</v>
      </c>
      <c r="S22" s="866">
        <f>S20+S21</f>
        <v>0</v>
      </c>
    </row>
    <row r="23" spans="3:21" s="81" customFormat="1" x14ac:dyDescent="0.25">
      <c r="C23" s="245"/>
      <c r="J23" s="864"/>
      <c r="L23" s="245"/>
      <c r="S23" s="864"/>
    </row>
    <row r="24" spans="3:21" s="81" customFormat="1" x14ac:dyDescent="0.25">
      <c r="C24" s="245" t="str">
        <f>'A1'!$Q$88</f>
        <v>Custom Model</v>
      </c>
      <c r="J24" s="864"/>
      <c r="L24" s="245" t="str">
        <f>'A1'!$Q$88</f>
        <v>Custom Model</v>
      </c>
      <c r="S24" s="864"/>
    </row>
    <row r="25" spans="3:21" s="81" customFormat="1" x14ac:dyDescent="0.25">
      <c r="C25" s="870">
        <v>4</v>
      </c>
      <c r="D25" s="81" t="str">
        <f>D20</f>
        <v>Interest Payment</v>
      </c>
      <c r="E25" s="78"/>
      <c r="F25" s="865">
        <v>0</v>
      </c>
      <c r="G25" s="865">
        <v>0</v>
      </c>
      <c r="H25" s="865">
        <v>0</v>
      </c>
      <c r="I25" s="865">
        <v>0</v>
      </c>
      <c r="J25" s="866">
        <v>0</v>
      </c>
      <c r="L25" s="870">
        <v>4</v>
      </c>
      <c r="M25" s="81" t="str">
        <f>M20</f>
        <v>Interest Payment</v>
      </c>
      <c r="N25" s="78"/>
      <c r="O25" s="865">
        <v>0</v>
      </c>
      <c r="P25" s="865">
        <v>0</v>
      </c>
      <c r="Q25" s="865">
        <v>0</v>
      </c>
      <c r="R25" s="865">
        <v>0</v>
      </c>
      <c r="S25" s="866">
        <v>0</v>
      </c>
    </row>
    <row r="26" spans="3:21" s="81" customFormat="1" x14ac:dyDescent="0.25">
      <c r="C26" s="857">
        <v>4</v>
      </c>
      <c r="D26" s="81" t="str">
        <f>D21</f>
        <v>Principal Payment</v>
      </c>
      <c r="E26" s="78"/>
      <c r="F26" s="867">
        <v>0</v>
      </c>
      <c r="G26" s="867">
        <v>0</v>
      </c>
      <c r="H26" s="867">
        <v>0</v>
      </c>
      <c r="I26" s="867">
        <v>0</v>
      </c>
      <c r="J26" s="868">
        <v>0</v>
      </c>
      <c r="L26" s="857">
        <v>4</v>
      </c>
      <c r="M26" s="81" t="str">
        <f>M21</f>
        <v>Principal Payment</v>
      </c>
      <c r="N26" s="78"/>
      <c r="O26" s="867">
        <v>0</v>
      </c>
      <c r="P26" s="867">
        <v>0</v>
      </c>
      <c r="Q26" s="867">
        <v>0</v>
      </c>
      <c r="R26" s="867">
        <v>0</v>
      </c>
      <c r="S26" s="868">
        <v>0</v>
      </c>
    </row>
    <row r="27" spans="3:21" s="81" customFormat="1" x14ac:dyDescent="0.25">
      <c r="C27" s="245"/>
      <c r="F27" s="865">
        <f>F25+F26</f>
        <v>0</v>
      </c>
      <c r="G27" s="865">
        <f>G25+G26</f>
        <v>0</v>
      </c>
      <c r="H27" s="865">
        <f>H25+H26</f>
        <v>0</v>
      </c>
      <c r="I27" s="865">
        <f>I25+I26</f>
        <v>0</v>
      </c>
      <c r="J27" s="866">
        <f>J25+J26</f>
        <v>0</v>
      </c>
      <c r="L27" s="245"/>
      <c r="O27" s="865">
        <f>O25+O26</f>
        <v>0</v>
      </c>
      <c r="P27" s="865">
        <f>P25+P26</f>
        <v>0</v>
      </c>
      <c r="Q27" s="865">
        <f>Q25+Q26</f>
        <v>0</v>
      </c>
      <c r="R27" s="865">
        <f>R25+R26</f>
        <v>0</v>
      </c>
      <c r="S27" s="866">
        <f>S25+S26</f>
        <v>0</v>
      </c>
    </row>
    <row r="28" spans="3:21" s="81" customFormat="1" x14ac:dyDescent="0.25">
      <c r="C28" s="245"/>
      <c r="J28" s="864"/>
      <c r="L28" s="245"/>
      <c r="S28" s="864"/>
    </row>
    <row r="29" spans="3:21" s="81" customFormat="1" x14ac:dyDescent="0.25">
      <c r="C29" s="871" t="s">
        <v>337</v>
      </c>
      <c r="J29" s="864"/>
      <c r="L29" s="871" t="s">
        <v>337</v>
      </c>
      <c r="S29" s="864"/>
    </row>
    <row r="30" spans="3:21" s="81" customFormat="1" x14ac:dyDescent="0.25">
      <c r="C30" s="870">
        <f>C7</f>
        <v>1</v>
      </c>
      <c r="D30" s="81" t="str">
        <f>D25</f>
        <v>Interest Payment</v>
      </c>
      <c r="F30" s="865">
        <f t="shared" ref="F30:J31" si="0">CHOOSE($C30,F10,F15,F20,F25)</f>
        <v>0</v>
      </c>
      <c r="G30" s="865">
        <f t="shared" si="0"/>
        <v>0</v>
      </c>
      <c r="H30" s="865">
        <f t="shared" si="0"/>
        <v>0</v>
      </c>
      <c r="I30" s="865">
        <f t="shared" si="0"/>
        <v>0</v>
      </c>
      <c r="J30" s="866">
        <f t="shared" si="0"/>
        <v>0</v>
      </c>
      <c r="L30" s="870">
        <f>L7</f>
        <v>1</v>
      </c>
      <c r="M30" s="81" t="str">
        <f>M25</f>
        <v>Interest Payment</v>
      </c>
      <c r="O30" s="865">
        <f t="shared" ref="O30:S31" si="1">CHOOSE($L30,O10,O15,O20,O25)</f>
        <v>0</v>
      </c>
      <c r="P30" s="865">
        <f t="shared" si="1"/>
        <v>0</v>
      </c>
      <c r="Q30" s="865">
        <f t="shared" si="1"/>
        <v>0</v>
      </c>
      <c r="R30" s="865">
        <f t="shared" si="1"/>
        <v>0</v>
      </c>
      <c r="S30" s="866">
        <f t="shared" si="1"/>
        <v>0</v>
      </c>
    </row>
    <row r="31" spans="3:21" x14ac:dyDescent="0.25">
      <c r="C31" s="870">
        <f>C30</f>
        <v>1</v>
      </c>
      <c r="D31" s="81" t="str">
        <f>D26</f>
        <v>Principal Payment</v>
      </c>
      <c r="F31" s="867">
        <f t="shared" si="0"/>
        <v>0</v>
      </c>
      <c r="G31" s="867">
        <f t="shared" si="0"/>
        <v>0</v>
      </c>
      <c r="H31" s="867">
        <f t="shared" si="0"/>
        <v>0</v>
      </c>
      <c r="I31" s="867">
        <f t="shared" si="0"/>
        <v>0</v>
      </c>
      <c r="J31" s="868">
        <f t="shared" si="0"/>
        <v>0</v>
      </c>
      <c r="L31" s="870">
        <f>L30</f>
        <v>1</v>
      </c>
      <c r="M31" s="81" t="str">
        <f>M26</f>
        <v>Principal Payment</v>
      </c>
      <c r="O31" s="867">
        <f t="shared" si="1"/>
        <v>0</v>
      </c>
      <c r="P31" s="867">
        <f t="shared" si="1"/>
        <v>0</v>
      </c>
      <c r="Q31" s="867">
        <f t="shared" si="1"/>
        <v>0</v>
      </c>
      <c r="R31" s="867">
        <f t="shared" si="1"/>
        <v>0</v>
      </c>
      <c r="S31" s="868">
        <f t="shared" si="1"/>
        <v>0</v>
      </c>
      <c r="U31" s="81"/>
    </row>
    <row r="32" spans="3:21" x14ac:dyDescent="0.25">
      <c r="C32" s="178"/>
      <c r="D32" s="46"/>
      <c r="E32" s="46"/>
      <c r="F32" s="872">
        <f>F30+F31</f>
        <v>0</v>
      </c>
      <c r="G32" s="872">
        <f>G30+G31</f>
        <v>0</v>
      </c>
      <c r="H32" s="872">
        <f>H30+H31</f>
        <v>0</v>
      </c>
      <c r="I32" s="872">
        <f>I30+I31</f>
        <v>0</v>
      </c>
      <c r="J32" s="873">
        <f>J30+J31</f>
        <v>0</v>
      </c>
      <c r="L32" s="178"/>
      <c r="M32" s="46"/>
      <c r="N32" s="46"/>
      <c r="O32" s="872">
        <f>O30+O31</f>
        <v>0</v>
      </c>
      <c r="P32" s="872">
        <f>P30+P31</f>
        <v>0</v>
      </c>
      <c r="Q32" s="872">
        <f>Q30+Q31</f>
        <v>0</v>
      </c>
      <c r="R32" s="872">
        <f>R30+R31</f>
        <v>0</v>
      </c>
      <c r="S32" s="873">
        <f>S30+S31</f>
        <v>0</v>
      </c>
      <c r="U32" s="81"/>
    </row>
    <row r="33" spans="3:21" x14ac:dyDescent="0.25">
      <c r="N33" s="827"/>
      <c r="P33" s="828"/>
      <c r="Q33" s="371"/>
      <c r="R33" s="371"/>
      <c r="S33" s="13"/>
      <c r="U33" s="81"/>
    </row>
    <row r="34" spans="3:21" x14ac:dyDescent="0.25">
      <c r="N34" s="827"/>
      <c r="P34" s="828"/>
      <c r="Q34" s="371"/>
      <c r="R34" s="371"/>
      <c r="S34" s="13"/>
      <c r="U34" s="81"/>
    </row>
    <row r="35" spans="3:21" ht="16.5" x14ac:dyDescent="0.35">
      <c r="C35" s="853" t="s">
        <v>330</v>
      </c>
      <c r="D35" s="854"/>
      <c r="E35" s="854"/>
      <c r="F35" s="854"/>
      <c r="G35" s="854"/>
      <c r="H35" s="854"/>
      <c r="I35" s="855"/>
      <c r="J35" s="856"/>
      <c r="L35" s="853" t="s">
        <v>331</v>
      </c>
      <c r="M35" s="854"/>
      <c r="N35" s="854"/>
      <c r="O35" s="854"/>
      <c r="P35" s="854"/>
      <c r="Q35" s="854"/>
      <c r="R35" s="855"/>
      <c r="S35" s="856"/>
    </row>
    <row r="36" spans="3:21" ht="16.5" x14ac:dyDescent="0.35">
      <c r="C36" s="857">
        <f>'A1'!L47</f>
        <v>4</v>
      </c>
      <c r="D36" s="340"/>
      <c r="F36" s="858">
        <f>'A1'!O47/1000</f>
        <v>0</v>
      </c>
      <c r="G36" s="659">
        <f>'A1'!P47</f>
        <v>1.8499999999999999E-2</v>
      </c>
      <c r="H36" s="859">
        <f>'A1'!Q47</f>
        <v>10</v>
      </c>
      <c r="I36" s="860" t="s">
        <v>338</v>
      </c>
      <c r="J36" s="861"/>
      <c r="L36" s="857">
        <f>'A1'!L48</f>
        <v>1</v>
      </c>
      <c r="M36" s="340"/>
      <c r="O36" s="858">
        <f>'A1'!O48/1000</f>
        <v>0</v>
      </c>
      <c r="P36" s="659">
        <f>'A1'!P48</f>
        <v>0.06</v>
      </c>
      <c r="Q36" s="859">
        <f>'A1'!Q48</f>
        <v>4</v>
      </c>
      <c r="R36" s="860" t="s">
        <v>338</v>
      </c>
      <c r="S36" s="861"/>
    </row>
    <row r="37" spans="3:21" x14ac:dyDescent="0.25">
      <c r="C37" s="245"/>
      <c r="D37" s="81"/>
      <c r="E37" s="81"/>
      <c r="F37" s="862">
        <v>1</v>
      </c>
      <c r="G37" s="862">
        <v>2</v>
      </c>
      <c r="H37" s="862">
        <v>3</v>
      </c>
      <c r="I37" s="862">
        <v>4</v>
      </c>
      <c r="J37" s="863">
        <v>5</v>
      </c>
      <c r="L37" s="245"/>
      <c r="M37" s="81"/>
      <c r="N37" s="81"/>
      <c r="O37" s="862">
        <v>1</v>
      </c>
      <c r="P37" s="862">
        <v>2</v>
      </c>
      <c r="Q37" s="862">
        <v>3</v>
      </c>
      <c r="R37" s="862">
        <v>4</v>
      </c>
      <c r="S37" s="863">
        <v>5</v>
      </c>
    </row>
    <row r="38" spans="3:21" x14ac:dyDescent="0.25">
      <c r="C38" s="245" t="str">
        <f>'A1'!$Q$85</f>
        <v>LOC</v>
      </c>
      <c r="D38" s="81"/>
      <c r="E38" s="78"/>
      <c r="F38" s="81"/>
      <c r="G38" s="81"/>
      <c r="H38" s="81"/>
      <c r="I38" s="81"/>
      <c r="J38" s="864"/>
      <c r="L38" s="245" t="str">
        <f>'A1'!$Q$85</f>
        <v>LOC</v>
      </c>
      <c r="M38" s="81"/>
      <c r="N38" s="78"/>
      <c r="O38" s="81"/>
      <c r="P38" s="81"/>
      <c r="Q38" s="81"/>
      <c r="R38" s="81"/>
      <c r="S38" s="864"/>
    </row>
    <row r="39" spans="3:21" x14ac:dyDescent="0.25">
      <c r="C39" s="857">
        <v>1</v>
      </c>
      <c r="D39" s="81" t="s">
        <v>333</v>
      </c>
      <c r="E39" s="78"/>
      <c r="F39" s="865">
        <f>F36*G36</f>
        <v>0</v>
      </c>
      <c r="G39" s="865">
        <f>F39</f>
        <v>0</v>
      </c>
      <c r="H39" s="865">
        <f>G39</f>
        <v>0</v>
      </c>
      <c r="I39" s="865">
        <f>H39</f>
        <v>0</v>
      </c>
      <c r="J39" s="866">
        <f>I39</f>
        <v>0</v>
      </c>
      <c r="L39" s="857">
        <v>1</v>
      </c>
      <c r="M39" s="81" t="s">
        <v>333</v>
      </c>
      <c r="N39" s="78"/>
      <c r="O39" s="865">
        <f>O36*P36</f>
        <v>0</v>
      </c>
      <c r="P39" s="865">
        <f>O39</f>
        <v>0</v>
      </c>
      <c r="Q39" s="865">
        <f>P39</f>
        <v>0</v>
      </c>
      <c r="R39" s="865">
        <f>Q39</f>
        <v>0</v>
      </c>
      <c r="S39" s="866">
        <f>R39</f>
        <v>0</v>
      </c>
    </row>
    <row r="40" spans="3:21" x14ac:dyDescent="0.25">
      <c r="C40" s="857">
        <v>1</v>
      </c>
      <c r="D40" s="81" t="s">
        <v>570</v>
      </c>
      <c r="E40" s="78"/>
      <c r="F40" s="867">
        <v>0</v>
      </c>
      <c r="G40" s="867">
        <v>0</v>
      </c>
      <c r="H40" s="867">
        <v>0</v>
      </c>
      <c r="I40" s="867">
        <v>0</v>
      </c>
      <c r="J40" s="868">
        <f>F36</f>
        <v>0</v>
      </c>
      <c r="L40" s="857">
        <v>1</v>
      </c>
      <c r="M40" s="81" t="s">
        <v>570</v>
      </c>
      <c r="N40" s="78"/>
      <c r="O40" s="867">
        <v>0</v>
      </c>
      <c r="P40" s="867">
        <v>0</v>
      </c>
      <c r="Q40" s="867">
        <v>0</v>
      </c>
      <c r="R40" s="867">
        <v>0</v>
      </c>
      <c r="S40" s="868">
        <f>O36</f>
        <v>0</v>
      </c>
    </row>
    <row r="41" spans="3:21" x14ac:dyDescent="0.25">
      <c r="C41" s="245"/>
      <c r="D41" s="81"/>
      <c r="E41" s="78"/>
      <c r="F41" s="865">
        <f>F39+F40</f>
        <v>0</v>
      </c>
      <c r="G41" s="865">
        <f>G39+G40</f>
        <v>0</v>
      </c>
      <c r="H41" s="865">
        <f>H39+H40</f>
        <v>0</v>
      </c>
      <c r="I41" s="865">
        <f>I39+I40</f>
        <v>0</v>
      </c>
      <c r="J41" s="866">
        <f>J39+J40</f>
        <v>0</v>
      </c>
      <c r="L41" s="245"/>
      <c r="M41" s="81"/>
      <c r="N41" s="78"/>
      <c r="O41" s="865">
        <f>O39+O40</f>
        <v>0</v>
      </c>
      <c r="P41" s="865">
        <f>P39+P40</f>
        <v>0</v>
      </c>
      <c r="Q41" s="865">
        <f>Q39+Q40</f>
        <v>0</v>
      </c>
      <c r="R41" s="865">
        <f>R39+R40</f>
        <v>0</v>
      </c>
      <c r="S41" s="866">
        <f>S39+S40</f>
        <v>0</v>
      </c>
    </row>
    <row r="42" spans="3:21" x14ac:dyDescent="0.25">
      <c r="C42" s="245"/>
      <c r="D42" s="81"/>
      <c r="E42" s="78"/>
      <c r="F42" s="78"/>
      <c r="G42" s="78"/>
      <c r="H42" s="78"/>
      <c r="I42" s="78"/>
      <c r="J42" s="869"/>
      <c r="L42" s="245"/>
      <c r="M42" s="81"/>
      <c r="N42" s="78"/>
      <c r="O42" s="78"/>
      <c r="P42" s="78"/>
      <c r="Q42" s="78"/>
      <c r="R42" s="78"/>
      <c r="S42" s="869"/>
    </row>
    <row r="43" spans="3:21" x14ac:dyDescent="0.25">
      <c r="C43" s="245" t="str">
        <f>'A1'!$Q$86</f>
        <v>Term</v>
      </c>
      <c r="D43" s="81"/>
      <c r="E43" s="81"/>
      <c r="F43" s="81"/>
      <c r="G43" s="81"/>
      <c r="H43" s="81"/>
      <c r="I43" s="852"/>
      <c r="J43" s="864"/>
      <c r="L43" s="245" t="str">
        <f>'A1'!$Q$86</f>
        <v>Term</v>
      </c>
      <c r="M43" s="81"/>
      <c r="N43" s="81"/>
      <c r="O43" s="81"/>
      <c r="P43" s="81"/>
      <c r="Q43" s="81"/>
      <c r="R43" s="852"/>
      <c r="S43" s="864"/>
    </row>
    <row r="44" spans="3:21" x14ac:dyDescent="0.25">
      <c r="C44" s="857">
        <v>2</v>
      </c>
      <c r="D44" s="81" t="str">
        <f>D39</f>
        <v>Interest Payment</v>
      </c>
      <c r="E44" s="81"/>
      <c r="F44" s="865">
        <f>IF(F37&gt;H36,0,-IPMT(G36,F37,H36,F36))</f>
        <v>0</v>
      </c>
      <c r="G44" s="865">
        <f>IF(G37&gt;H36,0,-IPMT(G36,G37,H36,F36))</f>
        <v>0</v>
      </c>
      <c r="H44" s="865">
        <f>IF(H37&gt;H36,0,-IPMT(G36,H37,H36,F36))</f>
        <v>0</v>
      </c>
      <c r="I44" s="865">
        <f>IF(I37&gt;H36,0,-IPMT(G36,I37,H36,F36))</f>
        <v>0</v>
      </c>
      <c r="J44" s="866">
        <f>IF(J37&gt;H36,0,-IPMT(G36,J37,H36,F36))</f>
        <v>0</v>
      </c>
      <c r="L44" s="857">
        <v>2</v>
      </c>
      <c r="M44" s="81" t="str">
        <f>M39</f>
        <v>Interest Payment</v>
      </c>
      <c r="N44" s="81"/>
      <c r="O44" s="865">
        <f>IF(O37&gt;Q36,0,-IPMT(P36,O37,Q36,O36))</f>
        <v>0</v>
      </c>
      <c r="P44" s="865">
        <f>IF(P37&gt;Q36,0,-IPMT(P36,P37,Q36,O36))</f>
        <v>0</v>
      </c>
      <c r="Q44" s="865">
        <f>IF(Q37&gt;Q36,0,-IPMT(P36,Q37,Q36,O36))</f>
        <v>0</v>
      </c>
      <c r="R44" s="865">
        <f>IF(R37&gt;Q36,0,-IPMT(P36,R37,Q36,O36))</f>
        <v>0</v>
      </c>
      <c r="S44" s="866">
        <f>IF(S37&gt;Q36,0,-IPMT(P36,S37,Q36,O36))</f>
        <v>0</v>
      </c>
    </row>
    <row r="45" spans="3:21" x14ac:dyDescent="0.25">
      <c r="C45" s="857">
        <v>2</v>
      </c>
      <c r="D45" s="81" t="str">
        <f>D40</f>
        <v>Principal Payment</v>
      </c>
      <c r="E45" s="81"/>
      <c r="F45" s="867">
        <f>IF(F37&gt;H36,0,-PPMT(G36,F37,H36,F36))</f>
        <v>0</v>
      </c>
      <c r="G45" s="867">
        <f>IF(G37&gt;H36,0,-PPMT(G36,G37,H36,F36))</f>
        <v>0</v>
      </c>
      <c r="H45" s="867">
        <f>IF(H37&gt;H36,0,-PPMT(G36,H37,H36,F36))</f>
        <v>0</v>
      </c>
      <c r="I45" s="867">
        <f>IF(I37&gt;H36,0,-PPMT(G36,I37,H36,F36))</f>
        <v>0</v>
      </c>
      <c r="J45" s="868">
        <f>IF(J37&gt;H36,0,-PPMT(G36,J37,H36,F36))</f>
        <v>0</v>
      </c>
      <c r="L45" s="857">
        <v>2</v>
      </c>
      <c r="M45" s="81" t="str">
        <f>M40</f>
        <v>Principal Payment</v>
      </c>
      <c r="N45" s="81"/>
      <c r="O45" s="867">
        <f>IF(O37&gt;Q36,0,-PPMT(P36,O37,Q36,O36))</f>
        <v>0</v>
      </c>
      <c r="P45" s="867">
        <f>IF(P37&gt;Q36,0,-PPMT(P36,P37,Q36,O36))</f>
        <v>0</v>
      </c>
      <c r="Q45" s="867">
        <f>IF(Q37&gt;Q36,0,-PPMT(P36,Q37,Q36,O36))</f>
        <v>0</v>
      </c>
      <c r="R45" s="867">
        <f>IF(R37&gt;Q36,0,-PPMT(P36,R37,Q36,O36))</f>
        <v>0</v>
      </c>
      <c r="S45" s="868">
        <f>IF(S37&gt;Q36,0,-PPMT(P36,S37,Q36,O36))</f>
        <v>0</v>
      </c>
    </row>
    <row r="46" spans="3:21" x14ac:dyDescent="0.25">
      <c r="C46" s="245"/>
      <c r="D46" s="81"/>
      <c r="E46" s="81"/>
      <c r="F46" s="865">
        <f>F45+F44</f>
        <v>0</v>
      </c>
      <c r="G46" s="865">
        <f>G45+G44</f>
        <v>0</v>
      </c>
      <c r="H46" s="865">
        <f>H45+H44</f>
        <v>0</v>
      </c>
      <c r="I46" s="865">
        <f>I45+I44</f>
        <v>0</v>
      </c>
      <c r="J46" s="866">
        <f>J45+J44</f>
        <v>0</v>
      </c>
      <c r="L46" s="245"/>
      <c r="M46" s="81"/>
      <c r="N46" s="81"/>
      <c r="O46" s="865">
        <f>O45+O44</f>
        <v>0</v>
      </c>
      <c r="P46" s="865">
        <f>P45+P44</f>
        <v>0</v>
      </c>
      <c r="Q46" s="865">
        <f>Q45+Q44</f>
        <v>0</v>
      </c>
      <c r="R46" s="865">
        <f>R45+R44</f>
        <v>0</v>
      </c>
      <c r="S46" s="866">
        <f>S45+S44</f>
        <v>0</v>
      </c>
    </row>
    <row r="47" spans="3:21" x14ac:dyDescent="0.25">
      <c r="C47" s="245"/>
      <c r="D47" s="81"/>
      <c r="E47" s="81"/>
      <c r="F47" s="81"/>
      <c r="G47" s="81"/>
      <c r="H47" s="81"/>
      <c r="I47" s="852"/>
      <c r="J47" s="864"/>
      <c r="L47" s="245"/>
      <c r="M47" s="81"/>
      <c r="N47" s="81"/>
      <c r="O47" s="81"/>
      <c r="P47" s="81"/>
      <c r="Q47" s="81"/>
      <c r="R47" s="852"/>
      <c r="S47" s="864"/>
    </row>
    <row r="48" spans="3:21" x14ac:dyDescent="0.25">
      <c r="C48" s="245" t="str">
        <f>'A1'!$Q$87</f>
        <v>5 Yr Balloon</v>
      </c>
      <c r="D48" s="81"/>
      <c r="E48" s="78"/>
      <c r="F48" s="81"/>
      <c r="G48" s="81"/>
      <c r="H48" s="81"/>
      <c r="I48" s="81"/>
      <c r="J48" s="864"/>
      <c r="L48" s="245" t="str">
        <f>'A1'!$Q$87</f>
        <v>5 Yr Balloon</v>
      </c>
      <c r="M48" s="81"/>
      <c r="N48" s="78"/>
      <c r="O48" s="81"/>
      <c r="P48" s="81"/>
      <c r="Q48" s="81"/>
      <c r="R48" s="81"/>
      <c r="S48" s="864"/>
    </row>
    <row r="49" spans="3:19" x14ac:dyDescent="0.25">
      <c r="C49" s="870">
        <v>3</v>
      </c>
      <c r="D49" s="81" t="str">
        <f>D44</f>
        <v>Interest Payment</v>
      </c>
      <c r="E49" s="78"/>
      <c r="F49" s="865">
        <f>F36*G36</f>
        <v>0</v>
      </c>
      <c r="G49" s="865">
        <f>F49</f>
        <v>0</v>
      </c>
      <c r="H49" s="865">
        <f>G49</f>
        <v>0</v>
      </c>
      <c r="I49" s="865">
        <f>H49</f>
        <v>0</v>
      </c>
      <c r="J49" s="866">
        <f>I49</f>
        <v>0</v>
      </c>
      <c r="L49" s="870">
        <v>3</v>
      </c>
      <c r="M49" s="81" t="str">
        <f>M44</f>
        <v>Interest Payment</v>
      </c>
      <c r="N49" s="78"/>
      <c r="O49" s="865">
        <f>O36*P36</f>
        <v>0</v>
      </c>
      <c r="P49" s="865">
        <f>O49</f>
        <v>0</v>
      </c>
      <c r="Q49" s="865">
        <f>P49</f>
        <v>0</v>
      </c>
      <c r="R49" s="865">
        <f>Q49</f>
        <v>0</v>
      </c>
      <c r="S49" s="866">
        <f>R49</f>
        <v>0</v>
      </c>
    </row>
    <row r="50" spans="3:19" x14ac:dyDescent="0.25">
      <c r="C50" s="857">
        <v>3</v>
      </c>
      <c r="D50" s="81" t="str">
        <f>D45</f>
        <v>Principal Payment</v>
      </c>
      <c r="E50" s="78"/>
      <c r="F50" s="867">
        <v>0</v>
      </c>
      <c r="G50" s="867">
        <v>0</v>
      </c>
      <c r="H50" s="867">
        <v>0</v>
      </c>
      <c r="I50" s="867">
        <v>0</v>
      </c>
      <c r="J50" s="868">
        <f>F36</f>
        <v>0</v>
      </c>
      <c r="L50" s="857">
        <v>3</v>
      </c>
      <c r="M50" s="81" t="str">
        <f>M45</f>
        <v>Principal Payment</v>
      </c>
      <c r="N50" s="78"/>
      <c r="O50" s="867">
        <v>0</v>
      </c>
      <c r="P50" s="867">
        <v>0</v>
      </c>
      <c r="Q50" s="867">
        <v>0</v>
      </c>
      <c r="R50" s="867">
        <v>0</v>
      </c>
      <c r="S50" s="868">
        <f>O36</f>
        <v>0</v>
      </c>
    </row>
    <row r="51" spans="3:19" x14ac:dyDescent="0.25">
      <c r="C51" s="245"/>
      <c r="D51" s="81"/>
      <c r="E51" s="78"/>
      <c r="F51" s="865">
        <f>F49+F50</f>
        <v>0</v>
      </c>
      <c r="G51" s="865">
        <f>G49+G50</f>
        <v>0</v>
      </c>
      <c r="H51" s="865">
        <f>H49+H50</f>
        <v>0</v>
      </c>
      <c r="I51" s="865">
        <f>I49+I50</f>
        <v>0</v>
      </c>
      <c r="J51" s="866">
        <f>J49+J50</f>
        <v>0</v>
      </c>
      <c r="L51" s="245"/>
      <c r="M51" s="81"/>
      <c r="N51" s="78"/>
      <c r="O51" s="865">
        <f>O49+O50</f>
        <v>0</v>
      </c>
      <c r="P51" s="865">
        <f>P49+P50</f>
        <v>0</v>
      </c>
      <c r="Q51" s="865">
        <f>Q49+Q50</f>
        <v>0</v>
      </c>
      <c r="R51" s="865">
        <f>R49+R50</f>
        <v>0</v>
      </c>
      <c r="S51" s="866">
        <f>S49+S50</f>
        <v>0</v>
      </c>
    </row>
    <row r="52" spans="3:19" x14ac:dyDescent="0.25">
      <c r="C52" s="245"/>
      <c r="D52" s="81"/>
      <c r="E52" s="81"/>
      <c r="F52" s="81"/>
      <c r="G52" s="81"/>
      <c r="H52" s="81"/>
      <c r="I52" s="81"/>
      <c r="J52" s="864"/>
      <c r="L52" s="245"/>
      <c r="M52" s="81"/>
      <c r="N52" s="81"/>
      <c r="O52" s="81"/>
      <c r="P52" s="81"/>
      <c r="Q52" s="81"/>
      <c r="R52" s="81"/>
      <c r="S52" s="864"/>
    </row>
    <row r="53" spans="3:19" x14ac:dyDescent="0.25">
      <c r="C53" s="245" t="str">
        <f>'A1'!$Q$88</f>
        <v>Custom Model</v>
      </c>
      <c r="D53" s="81"/>
      <c r="E53" s="81"/>
      <c r="F53" s="81"/>
      <c r="G53" s="81"/>
      <c r="H53" s="81"/>
      <c r="I53" s="81"/>
      <c r="J53" s="864"/>
      <c r="L53" s="245" t="str">
        <f>'A1'!$Q$88</f>
        <v>Custom Model</v>
      </c>
      <c r="M53" s="81"/>
      <c r="N53" s="81"/>
      <c r="O53" s="81"/>
      <c r="P53" s="81"/>
      <c r="Q53" s="81"/>
      <c r="R53" s="81"/>
      <c r="S53" s="864"/>
    </row>
    <row r="54" spans="3:19" x14ac:dyDescent="0.25">
      <c r="C54" s="870">
        <v>4</v>
      </c>
      <c r="D54" s="81" t="str">
        <f>D49</f>
        <v>Interest Payment</v>
      </c>
      <c r="E54" s="78"/>
      <c r="F54" s="865">
        <v>0</v>
      </c>
      <c r="G54" s="865">
        <v>0</v>
      </c>
      <c r="H54" s="865">
        <v>0</v>
      </c>
      <c r="I54" s="865">
        <v>0</v>
      </c>
      <c r="J54" s="866">
        <v>0</v>
      </c>
      <c r="L54" s="870">
        <v>4</v>
      </c>
      <c r="M54" s="81" t="str">
        <f>M49</f>
        <v>Interest Payment</v>
      </c>
      <c r="N54" s="78"/>
      <c r="O54" s="865">
        <v>0</v>
      </c>
      <c r="P54" s="865">
        <v>0</v>
      </c>
      <c r="Q54" s="865">
        <v>0</v>
      </c>
      <c r="R54" s="865">
        <v>0</v>
      </c>
      <c r="S54" s="866">
        <v>0</v>
      </c>
    </row>
    <row r="55" spans="3:19" x14ac:dyDescent="0.25">
      <c r="C55" s="857">
        <v>4</v>
      </c>
      <c r="D55" s="81" t="str">
        <f>D50</f>
        <v>Principal Payment</v>
      </c>
      <c r="E55" s="78"/>
      <c r="F55" s="867">
        <v>0</v>
      </c>
      <c r="G55" s="867">
        <v>0</v>
      </c>
      <c r="H55" s="867">
        <v>0</v>
      </c>
      <c r="I55" s="867">
        <v>0</v>
      </c>
      <c r="J55" s="868">
        <v>0</v>
      </c>
      <c r="L55" s="857">
        <v>4</v>
      </c>
      <c r="M55" s="81" t="str">
        <f>M50</f>
        <v>Principal Payment</v>
      </c>
      <c r="N55" s="78"/>
      <c r="O55" s="867">
        <v>0</v>
      </c>
      <c r="P55" s="867">
        <v>0</v>
      </c>
      <c r="Q55" s="867">
        <v>0</v>
      </c>
      <c r="R55" s="867">
        <v>0</v>
      </c>
      <c r="S55" s="868">
        <v>0</v>
      </c>
    </row>
    <row r="56" spans="3:19" x14ac:dyDescent="0.25">
      <c r="C56" s="245"/>
      <c r="D56" s="81"/>
      <c r="E56" s="81"/>
      <c r="F56" s="865">
        <f>F54+F55</f>
        <v>0</v>
      </c>
      <c r="G56" s="865">
        <f>G54+G55</f>
        <v>0</v>
      </c>
      <c r="H56" s="865">
        <f>H54+H55</f>
        <v>0</v>
      </c>
      <c r="I56" s="865">
        <f>I54+I55</f>
        <v>0</v>
      </c>
      <c r="J56" s="866">
        <f>J54+J55</f>
        <v>0</v>
      </c>
      <c r="L56" s="245"/>
      <c r="M56" s="81"/>
      <c r="N56" s="81"/>
      <c r="O56" s="865">
        <f>O54+O55</f>
        <v>0</v>
      </c>
      <c r="P56" s="865">
        <f>P54+P55</f>
        <v>0</v>
      </c>
      <c r="Q56" s="865">
        <f>Q54+Q55</f>
        <v>0</v>
      </c>
      <c r="R56" s="865">
        <f>R54+R55</f>
        <v>0</v>
      </c>
      <c r="S56" s="866">
        <f>S54+S55</f>
        <v>0</v>
      </c>
    </row>
    <row r="57" spans="3:19" x14ac:dyDescent="0.25">
      <c r="C57" s="245"/>
      <c r="D57" s="81"/>
      <c r="E57" s="81"/>
      <c r="F57" s="81"/>
      <c r="G57" s="81"/>
      <c r="H57" s="81"/>
      <c r="I57" s="81"/>
      <c r="J57" s="864"/>
      <c r="L57" s="245"/>
      <c r="M57" s="81"/>
      <c r="N57" s="81"/>
      <c r="O57" s="81"/>
      <c r="P57" s="81"/>
      <c r="Q57" s="81"/>
      <c r="R57" s="81"/>
      <c r="S57" s="864"/>
    </row>
    <row r="58" spans="3:19" x14ac:dyDescent="0.25">
      <c r="C58" s="871" t="s">
        <v>337</v>
      </c>
      <c r="D58" s="81"/>
      <c r="E58" s="81"/>
      <c r="F58" s="81"/>
      <c r="G58" s="81"/>
      <c r="H58" s="81"/>
      <c r="I58" s="81"/>
      <c r="J58" s="864"/>
      <c r="L58" s="871" t="s">
        <v>337</v>
      </c>
      <c r="M58" s="81"/>
      <c r="N58" s="81"/>
      <c r="O58" s="81"/>
      <c r="P58" s="81"/>
      <c r="Q58" s="81"/>
      <c r="R58" s="81"/>
      <c r="S58" s="864"/>
    </row>
    <row r="59" spans="3:19" x14ac:dyDescent="0.25">
      <c r="C59" s="870">
        <f>C36</f>
        <v>4</v>
      </c>
      <c r="D59" s="81" t="str">
        <f>D54</f>
        <v>Interest Payment</v>
      </c>
      <c r="E59" s="81"/>
      <c r="F59" s="865">
        <f t="shared" ref="F59:J60" si="2">CHOOSE($C59,F39,F44,F49,F54)</f>
        <v>0</v>
      </c>
      <c r="G59" s="865">
        <f t="shared" si="2"/>
        <v>0</v>
      </c>
      <c r="H59" s="865">
        <f t="shared" si="2"/>
        <v>0</v>
      </c>
      <c r="I59" s="865">
        <f t="shared" si="2"/>
        <v>0</v>
      </c>
      <c r="J59" s="866">
        <f t="shared" si="2"/>
        <v>0</v>
      </c>
      <c r="L59" s="870">
        <f>L36</f>
        <v>1</v>
      </c>
      <c r="M59" s="81" t="str">
        <f>M54</f>
        <v>Interest Payment</v>
      </c>
      <c r="N59" s="81"/>
      <c r="O59" s="865">
        <f t="shared" ref="O59:S60" si="3">CHOOSE($L59,O39,O44,O49,O54)</f>
        <v>0</v>
      </c>
      <c r="P59" s="865">
        <f t="shared" si="3"/>
        <v>0</v>
      </c>
      <c r="Q59" s="865">
        <f t="shared" si="3"/>
        <v>0</v>
      </c>
      <c r="R59" s="865">
        <f t="shared" si="3"/>
        <v>0</v>
      </c>
      <c r="S59" s="866">
        <f t="shared" si="3"/>
        <v>0</v>
      </c>
    </row>
    <row r="60" spans="3:19" x14ac:dyDescent="0.25">
      <c r="C60" s="870">
        <f>C59</f>
        <v>4</v>
      </c>
      <c r="D60" s="81" t="str">
        <f>D55</f>
        <v>Principal Payment</v>
      </c>
      <c r="F60" s="867">
        <f t="shared" si="2"/>
        <v>0</v>
      </c>
      <c r="G60" s="867">
        <f t="shared" si="2"/>
        <v>0</v>
      </c>
      <c r="H60" s="867">
        <f t="shared" si="2"/>
        <v>0</v>
      </c>
      <c r="I60" s="867">
        <f t="shared" si="2"/>
        <v>0</v>
      </c>
      <c r="J60" s="868">
        <f t="shared" si="2"/>
        <v>0</v>
      </c>
      <c r="L60" s="870">
        <f>L59</f>
        <v>1</v>
      </c>
      <c r="M60" s="81" t="str">
        <f>M55</f>
        <v>Principal Payment</v>
      </c>
      <c r="O60" s="867">
        <f t="shared" si="3"/>
        <v>0</v>
      </c>
      <c r="P60" s="867">
        <f t="shared" si="3"/>
        <v>0</v>
      </c>
      <c r="Q60" s="867">
        <f t="shared" si="3"/>
        <v>0</v>
      </c>
      <c r="R60" s="867">
        <f t="shared" si="3"/>
        <v>0</v>
      </c>
      <c r="S60" s="868">
        <f t="shared" si="3"/>
        <v>0</v>
      </c>
    </row>
    <row r="61" spans="3:19" x14ac:dyDescent="0.25">
      <c r="C61" s="178"/>
      <c r="D61" s="46"/>
      <c r="E61" s="46"/>
      <c r="F61" s="872">
        <f>F59+F60</f>
        <v>0</v>
      </c>
      <c r="G61" s="872">
        <f>G59+G60</f>
        <v>0</v>
      </c>
      <c r="H61" s="872">
        <f>H59+H60</f>
        <v>0</v>
      </c>
      <c r="I61" s="872">
        <f>I59+I60</f>
        <v>0</v>
      </c>
      <c r="J61" s="873">
        <f>J59+J60</f>
        <v>0</v>
      </c>
      <c r="L61" s="178"/>
      <c r="M61" s="46"/>
      <c r="N61" s="46"/>
      <c r="O61" s="872">
        <f>O59+O60</f>
        <v>0</v>
      </c>
      <c r="P61" s="872">
        <f>P59+P60</f>
        <v>0</v>
      </c>
      <c r="Q61" s="872">
        <f>Q59+Q60</f>
        <v>0</v>
      </c>
      <c r="R61" s="872">
        <f>R59+R60</f>
        <v>0</v>
      </c>
      <c r="S61" s="873">
        <f>S59+S60</f>
        <v>0</v>
      </c>
    </row>
    <row r="62" spans="3:19" ht="15.75" thickBot="1" x14ac:dyDescent="0.3"/>
    <row r="63" spans="3:19" x14ac:dyDescent="0.25">
      <c r="C63" s="874" t="s">
        <v>341</v>
      </c>
      <c r="D63" s="875"/>
      <c r="E63" s="875"/>
      <c r="F63" s="875"/>
      <c r="G63" s="875"/>
      <c r="H63" s="875"/>
      <c r="I63" s="875"/>
      <c r="J63" s="875"/>
      <c r="K63" s="875"/>
      <c r="L63" s="875"/>
      <c r="M63" s="875"/>
      <c r="N63" s="875"/>
      <c r="O63" s="875"/>
      <c r="P63" s="875"/>
      <c r="Q63" s="875"/>
      <c r="R63" s="875"/>
      <c r="S63" s="876"/>
    </row>
    <row r="64" spans="3:19" x14ac:dyDescent="0.25">
      <c r="C64" s="877"/>
      <c r="D64" s="878" t="str">
        <f>D59</f>
        <v>Interest Payment</v>
      </c>
      <c r="E64" s="152"/>
      <c r="F64" s="879">
        <f t="shared" ref="F64:J65" si="4">F30+O30+F59+O59</f>
        <v>0</v>
      </c>
      <c r="G64" s="879">
        <f t="shared" si="4"/>
        <v>0</v>
      </c>
      <c r="H64" s="879">
        <f t="shared" si="4"/>
        <v>0</v>
      </c>
      <c r="I64" s="879">
        <f t="shared" si="4"/>
        <v>0</v>
      </c>
      <c r="J64" s="879">
        <f t="shared" si="4"/>
        <v>0</v>
      </c>
      <c r="K64" s="152"/>
      <c r="L64" s="152"/>
      <c r="M64" s="152"/>
      <c r="N64" s="152"/>
      <c r="O64" s="152"/>
      <c r="P64" s="152"/>
      <c r="Q64" s="152"/>
      <c r="R64" s="152"/>
      <c r="S64" s="154"/>
    </row>
    <row r="65" spans="3:19" ht="17.25" x14ac:dyDescent="0.4">
      <c r="C65" s="877"/>
      <c r="D65" s="878" t="str">
        <f>D60</f>
        <v>Principal Payment</v>
      </c>
      <c r="E65" s="152"/>
      <c r="F65" s="880">
        <f t="shared" si="4"/>
        <v>0</v>
      </c>
      <c r="G65" s="880">
        <f t="shared" si="4"/>
        <v>0</v>
      </c>
      <c r="H65" s="880">
        <f t="shared" si="4"/>
        <v>0</v>
      </c>
      <c r="I65" s="880">
        <f t="shared" si="4"/>
        <v>0</v>
      </c>
      <c r="J65" s="880">
        <f t="shared" si="4"/>
        <v>0</v>
      </c>
      <c r="K65" s="152"/>
      <c r="L65" s="152"/>
      <c r="M65" s="152"/>
      <c r="N65" s="881" t="s">
        <v>332</v>
      </c>
      <c r="O65" s="881">
        <f>O37</f>
        <v>1</v>
      </c>
      <c r="P65" s="881">
        <f>P37</f>
        <v>2</v>
      </c>
      <c r="Q65" s="881">
        <f>Q37</f>
        <v>3</v>
      </c>
      <c r="R65" s="881">
        <f>R37</f>
        <v>4</v>
      </c>
      <c r="S65" s="882">
        <f>S37</f>
        <v>5</v>
      </c>
    </row>
    <row r="66" spans="3:19" ht="15.75" thickBot="1" x14ac:dyDescent="0.3">
      <c r="C66" s="678"/>
      <c r="D66" s="192"/>
      <c r="E66" s="192"/>
      <c r="F66" s="883">
        <f>F64+F65</f>
        <v>0</v>
      </c>
      <c r="G66" s="883">
        <f>G64+G65</f>
        <v>0</v>
      </c>
      <c r="H66" s="883">
        <f>H64+H65</f>
        <v>0</v>
      </c>
      <c r="I66" s="883">
        <f>I64+I65</f>
        <v>0</v>
      </c>
      <c r="J66" s="883">
        <f>J64+J65</f>
        <v>0</v>
      </c>
      <c r="K66" s="192"/>
      <c r="L66" s="884" t="s">
        <v>59</v>
      </c>
      <c r="M66" s="192"/>
      <c r="N66" s="883">
        <f>F7+O7+F36+O36</f>
        <v>0</v>
      </c>
      <c r="O66" s="883">
        <f>N66-F65</f>
        <v>0</v>
      </c>
      <c r="P66" s="883">
        <f>O66-G65</f>
        <v>0</v>
      </c>
      <c r="Q66" s="883">
        <f>P66-H65</f>
        <v>0</v>
      </c>
      <c r="R66" s="883">
        <f>Q66-I65</f>
        <v>0</v>
      </c>
      <c r="S66" s="885">
        <f>R66-J65</f>
        <v>0</v>
      </c>
    </row>
  </sheetData>
  <printOptions horizontalCentered="1"/>
  <pageMargins left="0.7" right="0.7" top="0.75" bottom="0.75" header="0.3" footer="0.3"/>
  <pageSetup scale="54" orientation="landscape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>
    <tabColor rgb="FFFFC000"/>
    <pageSetUpPr fitToPage="1"/>
  </sheetPr>
  <dimension ref="A1:O51"/>
  <sheetViews>
    <sheetView showGridLines="0" view="pageBreakPreview" zoomScale="90" zoomScaleSheetLayoutView="90" workbookViewId="0"/>
  </sheetViews>
  <sheetFormatPr defaultColWidth="9.42578125" defaultRowHeight="15" x14ac:dyDescent="0.25"/>
  <cols>
    <col min="1" max="1" width="2.42578125" style="1" customWidth="1"/>
    <col min="2" max="2" width="3.5703125" style="1" customWidth="1"/>
    <col min="3" max="3" width="12.42578125" style="1" customWidth="1"/>
    <col min="4" max="13" width="13" style="1" customWidth="1"/>
    <col min="14" max="14" width="8.5703125" style="1" customWidth="1"/>
    <col min="15" max="15" width="8.42578125" style="1" customWidth="1"/>
    <col min="16" max="16384" width="9.42578125" style="1"/>
  </cols>
  <sheetData>
    <row r="1" spans="1:15" ht="5.85" customHeight="1" thickBot="1" x14ac:dyDescent="0.3">
      <c r="B1" s="85"/>
      <c r="C1" s="85"/>
      <c r="D1" s="85"/>
      <c r="E1" s="85"/>
      <c r="F1" s="85"/>
      <c r="G1" s="85"/>
      <c r="H1" s="85"/>
      <c r="I1" s="85"/>
      <c r="J1" s="85"/>
      <c r="K1" s="85"/>
      <c r="L1" s="85"/>
      <c r="M1" s="85"/>
    </row>
    <row r="2" spans="1:15" ht="16.5" thickTop="1" x14ac:dyDescent="0.25">
      <c r="B2" s="110" t="str">
        <f>MainOutline!B2</f>
        <v>WB Santa Cruz</v>
      </c>
      <c r="C2" s="110"/>
      <c r="D2" s="110"/>
      <c r="E2" s="110"/>
      <c r="F2" s="508" t="str">
        <f>'A1'!$C$90</f>
        <v>Acquisition of an existing facility</v>
      </c>
      <c r="G2" s="111"/>
      <c r="H2" s="111"/>
      <c r="I2" s="111"/>
      <c r="J2" s="111"/>
      <c r="K2" s="111"/>
      <c r="L2" s="111"/>
      <c r="M2" s="1409">
        <f>$A3</f>
        <v>46</v>
      </c>
    </row>
    <row r="3" spans="1:15" ht="15.75" x14ac:dyDescent="0.25">
      <c r="A3" s="123">
        <f>MainOutline!B63</f>
        <v>46</v>
      </c>
      <c r="B3" s="102" t="str">
        <f>MainOutline!C63</f>
        <v>Appendix D4</v>
      </c>
      <c r="C3" s="102"/>
      <c r="D3" s="102"/>
      <c r="E3" s="89"/>
      <c r="F3" s="89"/>
      <c r="G3" s="89"/>
      <c r="H3" s="89"/>
      <c r="I3" s="89"/>
      <c r="J3" s="89"/>
      <c r="K3" s="89"/>
      <c r="L3" s="89"/>
      <c r="M3" s="89"/>
    </row>
    <row r="4" spans="1:15" ht="16.5" thickBot="1" x14ac:dyDescent="0.3">
      <c r="B4" s="104" t="s">
        <v>910</v>
      </c>
      <c r="C4" s="104"/>
      <c r="D4" s="104"/>
      <c r="E4" s="97"/>
      <c r="F4" s="97"/>
      <c r="G4" s="97"/>
      <c r="H4" s="97"/>
      <c r="I4" s="97"/>
      <c r="J4" s="97"/>
      <c r="K4" s="97"/>
      <c r="L4" s="97"/>
      <c r="M4" s="138" t="s">
        <v>19</v>
      </c>
    </row>
    <row r="5" spans="1:15" ht="15.75" thickTop="1" x14ac:dyDescent="0.25">
      <c r="A5" s="844">
        <f>IF('A1'!$B$84=1,1,0)</f>
        <v>0</v>
      </c>
      <c r="B5" s="123">
        <f>IF('A1'!Q2=FALSE,0,1)</f>
        <v>0</v>
      </c>
    </row>
    <row r="6" spans="1:15" x14ac:dyDescent="0.25">
      <c r="H6" s="827"/>
      <c r="J6" s="828"/>
      <c r="K6" s="371"/>
      <c r="L6" s="371"/>
      <c r="M6" s="13"/>
      <c r="O6" s="81"/>
    </row>
    <row r="7" spans="1:15" s="83" customFormat="1" ht="17.25" x14ac:dyDescent="0.35">
      <c r="B7" s="513" t="s">
        <v>515</v>
      </c>
      <c r="C7" s="886"/>
      <c r="D7" s="887"/>
      <c r="E7" s="888"/>
      <c r="F7" s="889"/>
      <c r="G7" s="890"/>
      <c r="I7" s="888"/>
      <c r="L7" s="860"/>
      <c r="M7" s="887"/>
    </row>
    <row r="8" spans="1:15" ht="17.25" x14ac:dyDescent="0.4">
      <c r="C8" s="81"/>
      <c r="D8" s="81"/>
      <c r="E8" s="888"/>
      <c r="G8" s="291"/>
      <c r="H8" s="82"/>
    </row>
    <row r="9" spans="1:15" ht="16.5" x14ac:dyDescent="0.35">
      <c r="D9" s="340" t="s">
        <v>514</v>
      </c>
      <c r="E9" s="340"/>
      <c r="F9" s="340"/>
      <c r="G9" s="340"/>
      <c r="H9" s="533"/>
      <c r="I9" s="340" t="s">
        <v>511</v>
      </c>
      <c r="J9" s="340"/>
      <c r="K9" s="340"/>
      <c r="L9" s="340"/>
    </row>
    <row r="10" spans="1:15" ht="17.25" x14ac:dyDescent="0.4">
      <c r="C10" s="81"/>
      <c r="D10" s="81"/>
      <c r="E10" s="888"/>
      <c r="F10" s="292"/>
      <c r="G10" s="292"/>
      <c r="H10" s="82"/>
      <c r="I10" s="292"/>
      <c r="J10" s="292"/>
      <c r="K10" s="292"/>
    </row>
    <row r="11" spans="1:15" x14ac:dyDescent="0.25">
      <c r="D11" s="173" t="s">
        <v>358</v>
      </c>
      <c r="E11" s="173" t="s">
        <v>355</v>
      </c>
      <c r="F11" s="173" t="s">
        <v>357</v>
      </c>
      <c r="G11" s="173"/>
      <c r="I11" s="173" t="str">
        <f t="shared" ref="I11:K12" si="0">D11</f>
        <v>Capital</v>
      </c>
      <c r="J11" s="173" t="str">
        <f t="shared" si="0"/>
        <v xml:space="preserve">Percentage </v>
      </c>
      <c r="K11" s="173" t="str">
        <f t="shared" si="0"/>
        <v>Cost of</v>
      </c>
      <c r="L11" s="891"/>
    </row>
    <row r="12" spans="1:15" ht="17.25" x14ac:dyDescent="0.4">
      <c r="D12" s="291" t="s">
        <v>518</v>
      </c>
      <c r="E12" s="291" t="s">
        <v>516</v>
      </c>
      <c r="F12" s="291" t="s">
        <v>358</v>
      </c>
      <c r="G12" s="892" t="s">
        <v>359</v>
      </c>
      <c r="I12" s="291" t="str">
        <f t="shared" si="0"/>
        <v>Contribution</v>
      </c>
      <c r="J12" s="291" t="str">
        <f t="shared" si="0"/>
        <v>of Capital</v>
      </c>
      <c r="K12" s="291" t="str">
        <f t="shared" si="0"/>
        <v>Capital</v>
      </c>
      <c r="L12" s="893" t="str">
        <f>G12</f>
        <v>WACC</v>
      </c>
    </row>
    <row r="13" spans="1:15" x14ac:dyDescent="0.25">
      <c r="C13" s="83" t="s">
        <v>221</v>
      </c>
      <c r="D13" s="643">
        <f>(1-'D1'!M32)*'D1'!L28</f>
        <v>0</v>
      </c>
      <c r="E13" s="634">
        <f>D13/D15</f>
        <v>0</v>
      </c>
      <c r="F13" s="894">
        <f>'A1'!Q49</f>
        <v>0</v>
      </c>
      <c r="G13" s="895">
        <f>$E13*F13</f>
        <v>0</v>
      </c>
      <c r="I13" s="643">
        <f>'D1'!L28-'D4'!D13</f>
        <v>0</v>
      </c>
      <c r="J13" s="634" t="e">
        <f>I13/I15</f>
        <v>#DIV/0!</v>
      </c>
      <c r="K13" s="659">
        <f>F13</f>
        <v>0</v>
      </c>
      <c r="L13" s="895">
        <f>$E13*K13</f>
        <v>0</v>
      </c>
    </row>
    <row r="14" spans="1:15" ht="17.25" x14ac:dyDescent="0.4">
      <c r="C14" s="83" t="s">
        <v>176</v>
      </c>
      <c r="D14" s="896">
        <f>'D1'!L30</f>
        <v>639.82006616561944</v>
      </c>
      <c r="E14" s="849">
        <f>D14/D15</f>
        <v>1</v>
      </c>
      <c r="F14" s="894">
        <f>'A1'!$N$54</f>
        <v>0.2</v>
      </c>
      <c r="G14" s="897">
        <f>$E14*F14</f>
        <v>0.2</v>
      </c>
      <c r="I14" s="898">
        <f>'D1'!L29</f>
        <v>0</v>
      </c>
      <c r="J14" s="849" t="e">
        <f>I14/I15</f>
        <v>#DIV/0!</v>
      </c>
      <c r="K14" s="894">
        <f>'A1'!$N$55</f>
        <v>0.2</v>
      </c>
      <c r="L14" s="897">
        <f>$E14*K14</f>
        <v>0.2</v>
      </c>
    </row>
    <row r="15" spans="1:15" x14ac:dyDescent="0.25">
      <c r="D15" s="643">
        <f>D13+D14</f>
        <v>639.82006616561944</v>
      </c>
      <c r="E15" s="634">
        <f>E14+E13</f>
        <v>1</v>
      </c>
      <c r="G15" s="899">
        <f>G13+G14</f>
        <v>0.2</v>
      </c>
      <c r="I15" s="643">
        <f>I13+I14</f>
        <v>0</v>
      </c>
      <c r="J15" s="634" t="e">
        <f>J14+J13</f>
        <v>#DIV/0!</v>
      </c>
      <c r="L15" s="899">
        <f>L13+L14</f>
        <v>0.2</v>
      </c>
    </row>
    <row r="17" spans="2:15" x14ac:dyDescent="0.25">
      <c r="B17" s="900"/>
      <c r="C17" s="843"/>
      <c r="D17" s="843"/>
      <c r="E17" s="901"/>
      <c r="F17" s="843"/>
      <c r="G17" s="902"/>
      <c r="J17" s="640"/>
      <c r="K17" s="903"/>
    </row>
    <row r="18" spans="2:15" ht="15.75" thickBot="1" x14ac:dyDescent="0.3">
      <c r="B18" s="366"/>
      <c r="C18" s="366"/>
      <c r="D18" s="366"/>
      <c r="E18" s="904"/>
      <c r="F18" s="257"/>
      <c r="G18" s="257"/>
      <c r="H18" s="257"/>
      <c r="I18" s="257"/>
      <c r="J18" s="257"/>
      <c r="K18" s="257"/>
      <c r="L18" s="257"/>
      <c r="M18" s="257"/>
    </row>
    <row r="19" spans="2:15" ht="15.75" x14ac:dyDescent="0.25">
      <c r="B19" s="513" t="s">
        <v>354</v>
      </c>
      <c r="C19" s="81"/>
      <c r="D19" s="81"/>
      <c r="F19" s="905"/>
      <c r="G19" s="905"/>
      <c r="H19" s="25"/>
      <c r="I19" s="25"/>
      <c r="J19" s="25"/>
      <c r="K19" s="25"/>
      <c r="L19" s="25"/>
      <c r="M19" s="25"/>
    </row>
    <row r="20" spans="2:15" s="83" customFormat="1" x14ac:dyDescent="0.25">
      <c r="C20" s="175"/>
      <c r="D20" s="175"/>
      <c r="E20" s="175"/>
      <c r="F20" s="175"/>
      <c r="G20" s="175"/>
      <c r="H20" s="175"/>
      <c r="I20" s="175"/>
      <c r="J20" s="175"/>
      <c r="K20" s="175"/>
      <c r="L20" s="175"/>
      <c r="M20" s="175"/>
    </row>
    <row r="21" spans="2:15" s="83" customFormat="1" ht="16.5" x14ac:dyDescent="0.35">
      <c r="C21" s="886"/>
      <c r="D21" s="175"/>
      <c r="E21" s="888"/>
      <c r="F21" s="173" t="s">
        <v>274</v>
      </c>
      <c r="G21" s="173" t="s">
        <v>73</v>
      </c>
      <c r="H21" s="340" t="s">
        <v>342</v>
      </c>
      <c r="I21" s="341"/>
      <c r="J21" s="341"/>
      <c r="K21" s="341"/>
      <c r="L21" s="341"/>
      <c r="M21" s="341"/>
    </row>
    <row r="22" spans="2:15" s="83" customFormat="1" ht="17.25" x14ac:dyDescent="0.4">
      <c r="C22" s="886"/>
      <c r="D22" s="175"/>
      <c r="E22" s="906"/>
      <c r="F22" s="642" t="s">
        <v>343</v>
      </c>
      <c r="G22" s="642" t="s">
        <v>343</v>
      </c>
      <c r="H22" s="642">
        <v>1</v>
      </c>
      <c r="I22" s="642">
        <v>2</v>
      </c>
      <c r="J22" s="642">
        <v>3</v>
      </c>
      <c r="K22" s="642">
        <v>4</v>
      </c>
      <c r="L22" s="642">
        <v>5</v>
      </c>
      <c r="M22" s="642" t="s">
        <v>349</v>
      </c>
    </row>
    <row r="23" spans="2:15" s="83" customFormat="1" x14ac:dyDescent="0.25">
      <c r="C23" s="653" t="s">
        <v>513</v>
      </c>
      <c r="D23" s="175"/>
      <c r="E23" s="888"/>
      <c r="F23" s="888"/>
      <c r="G23" s="888"/>
      <c r="H23" s="175"/>
      <c r="I23" s="888"/>
      <c r="J23" s="888"/>
      <c r="K23" s="888"/>
      <c r="L23" s="888"/>
      <c r="M23" s="888"/>
    </row>
    <row r="24" spans="2:15" x14ac:dyDescent="0.25">
      <c r="B24" s="81"/>
      <c r="C24" s="619" t="s">
        <v>350</v>
      </c>
      <c r="D24" s="81"/>
      <c r="F24" s="242">
        <f>'A1'!$Q$37*A5</f>
        <v>0</v>
      </c>
      <c r="G24" s="242">
        <f>'A1'!$Q$38*'D5'!$A$5</f>
        <v>0</v>
      </c>
      <c r="H24" s="242">
        <v>11</v>
      </c>
      <c r="I24" s="242">
        <v>12</v>
      </c>
      <c r="J24" s="242">
        <v>12</v>
      </c>
      <c r="K24" s="242">
        <v>12</v>
      </c>
      <c r="L24" s="242">
        <v>12</v>
      </c>
      <c r="M24" s="242">
        <v>12</v>
      </c>
    </row>
    <row r="25" spans="2:15" x14ac:dyDescent="0.25">
      <c r="B25" s="81"/>
      <c r="C25" s="619" t="s">
        <v>353</v>
      </c>
      <c r="D25" s="81"/>
      <c r="F25" s="907">
        <f t="shared" ref="F25:M25" si="1">F24/12</f>
        <v>0</v>
      </c>
      <c r="G25" s="1600">
        <f t="shared" si="1"/>
        <v>0</v>
      </c>
      <c r="H25" s="907">
        <f t="shared" si="1"/>
        <v>0.91666666666666663</v>
      </c>
      <c r="I25" s="907">
        <f t="shared" si="1"/>
        <v>1</v>
      </c>
      <c r="J25" s="907">
        <f t="shared" si="1"/>
        <v>1</v>
      </c>
      <c r="K25" s="907">
        <f t="shared" si="1"/>
        <v>1</v>
      </c>
      <c r="L25" s="907">
        <f t="shared" si="1"/>
        <v>1</v>
      </c>
      <c r="M25" s="907">
        <f t="shared" si="1"/>
        <v>1</v>
      </c>
    </row>
    <row r="26" spans="2:15" x14ac:dyDescent="0.25">
      <c r="B26" s="81"/>
      <c r="C26" s="619" t="s">
        <v>351</v>
      </c>
      <c r="D26" s="81"/>
      <c r="F26" s="907">
        <f>F25/2</f>
        <v>0</v>
      </c>
      <c r="G26" s="907">
        <f>G25/2</f>
        <v>0</v>
      </c>
      <c r="H26" s="907">
        <f>H25/2</f>
        <v>0.45833333333333331</v>
      </c>
      <c r="I26" s="907">
        <f>I24/24</f>
        <v>0.5</v>
      </c>
      <c r="J26" s="907">
        <f>J24/24</f>
        <v>0.5</v>
      </c>
      <c r="K26" s="907">
        <f>K24/24</f>
        <v>0.5</v>
      </c>
      <c r="L26" s="907">
        <f>L24/24</f>
        <v>0.5</v>
      </c>
      <c r="M26" s="907">
        <f>M24/24</f>
        <v>0.5</v>
      </c>
    </row>
    <row r="27" spans="2:15" x14ac:dyDescent="0.25">
      <c r="B27" s="81"/>
      <c r="C27" s="908" t="s">
        <v>352</v>
      </c>
      <c r="D27" s="81"/>
      <c r="F27" s="909">
        <f>F26</f>
        <v>0</v>
      </c>
      <c r="G27" s="910">
        <f>SUM($F25:F25)+G26</f>
        <v>0</v>
      </c>
      <c r="H27" s="910">
        <f>SUM($F25:G25)+H26</f>
        <v>0.45833333333333331</v>
      </c>
      <c r="I27" s="910">
        <f>SUM($F25:H25)+I26</f>
        <v>1.4166666666666665</v>
      </c>
      <c r="J27" s="910">
        <f>SUM($F25:I25)+J26</f>
        <v>2.4166666666666665</v>
      </c>
      <c r="K27" s="910">
        <f>SUM($F25:J25)+K26</f>
        <v>3.4166666666666665</v>
      </c>
      <c r="L27" s="910">
        <f>SUM($F25:K25)+L26</f>
        <v>4.4166666666666661</v>
      </c>
      <c r="M27" s="910">
        <f>L27</f>
        <v>4.4166666666666661</v>
      </c>
    </row>
    <row r="28" spans="2:15" x14ac:dyDescent="0.25">
      <c r="B28" s="81"/>
      <c r="C28" s="107"/>
      <c r="D28" s="81"/>
      <c r="F28" s="909"/>
      <c r="G28" s="910"/>
      <c r="H28" s="910"/>
      <c r="I28" s="910"/>
      <c r="J28" s="910"/>
      <c r="K28" s="910"/>
      <c r="L28" s="910"/>
      <c r="M28" s="910"/>
    </row>
    <row r="29" spans="2:15" x14ac:dyDescent="0.25">
      <c r="B29" s="81"/>
      <c r="C29" s="653" t="s">
        <v>369</v>
      </c>
      <c r="D29" s="81"/>
      <c r="F29" s="909"/>
      <c r="G29" s="910"/>
      <c r="H29" s="910"/>
      <c r="I29" s="910"/>
      <c r="J29" s="910"/>
      <c r="K29" s="910"/>
      <c r="L29" s="910"/>
      <c r="M29" s="910"/>
    </row>
    <row r="30" spans="2:15" x14ac:dyDescent="0.25">
      <c r="B30" s="81"/>
      <c r="C30" s="619" t="s">
        <v>514</v>
      </c>
      <c r="D30" s="81"/>
      <c r="E30" s="663">
        <f>'A1'!$AS$54</f>
        <v>0.13</v>
      </c>
      <c r="F30" s="664">
        <f t="shared" ref="F30:M31" si="2">1/(1+$E30)^F$27</f>
        <v>1</v>
      </c>
      <c r="G30" s="664">
        <f t="shared" si="2"/>
        <v>1</v>
      </c>
      <c r="H30" s="664">
        <f t="shared" si="2"/>
        <v>0.94552361499417903</v>
      </c>
      <c r="I30" s="664">
        <f t="shared" si="2"/>
        <v>0.84101847920152994</v>
      </c>
      <c r="J30" s="664">
        <f t="shared" si="2"/>
        <v>0.74426414088630977</v>
      </c>
      <c r="K30" s="664">
        <f t="shared" si="2"/>
        <v>0.65864083264275197</v>
      </c>
      <c r="L30" s="664">
        <f t="shared" si="2"/>
        <v>0.58286799348916118</v>
      </c>
      <c r="M30" s="664">
        <f t="shared" si="2"/>
        <v>0.58286799348916118</v>
      </c>
      <c r="O30" s="911" t="str">
        <f>IF('A1'!AR54=2,"Discount rate using overwrite function","")</f>
        <v>Discount rate using overwrite function</v>
      </c>
    </row>
    <row r="31" spans="2:15" x14ac:dyDescent="0.25">
      <c r="B31" s="81"/>
      <c r="C31" s="619" t="s">
        <v>511</v>
      </c>
      <c r="D31" s="81"/>
      <c r="E31" s="663">
        <f>'A1'!$AS$55</f>
        <v>0.15</v>
      </c>
      <c r="F31" s="664">
        <f t="shared" si="2"/>
        <v>1</v>
      </c>
      <c r="G31" s="664">
        <f t="shared" si="2"/>
        <v>1</v>
      </c>
      <c r="H31" s="664">
        <f t="shared" si="2"/>
        <v>0.93795101240386625</v>
      </c>
      <c r="I31" s="664">
        <f t="shared" si="2"/>
        <v>0.82037306486627204</v>
      </c>
      <c r="J31" s="664">
        <f t="shared" si="2"/>
        <v>0.71336788249241057</v>
      </c>
      <c r="K31" s="664">
        <f t="shared" si="2"/>
        <v>0.62031989781948749</v>
      </c>
      <c r="L31" s="664">
        <f t="shared" si="2"/>
        <v>0.53940860679955438</v>
      </c>
      <c r="M31" s="664">
        <f t="shared" si="2"/>
        <v>0.53940860679955438</v>
      </c>
      <c r="O31" s="911" t="str">
        <f>IF('A1'!AR55=2,"Discount rate using overwrite function","")</f>
        <v>Discount rate using overwrite function</v>
      </c>
    </row>
    <row r="32" spans="2:15" s="83" customFormat="1" x14ac:dyDescent="0.25">
      <c r="C32" s="175"/>
      <c r="D32" s="175"/>
      <c r="F32" s="175"/>
      <c r="G32" s="175"/>
      <c r="H32" s="175"/>
      <c r="I32" s="175"/>
      <c r="J32" s="175"/>
      <c r="K32" s="175"/>
      <c r="L32" s="175"/>
      <c r="M32" s="175"/>
    </row>
    <row r="33" spans="3:13" s="83" customFormat="1" x14ac:dyDescent="0.25">
      <c r="C33" s="175"/>
      <c r="D33" s="175"/>
      <c r="E33" s="175"/>
      <c r="F33" s="175"/>
      <c r="G33" s="175"/>
      <c r="H33" s="175"/>
      <c r="I33" s="175"/>
      <c r="J33" s="175"/>
      <c r="K33" s="175"/>
      <c r="L33" s="912"/>
      <c r="M33" s="175"/>
    </row>
    <row r="34" spans="3:13" s="83" customFormat="1" x14ac:dyDescent="0.25">
      <c r="C34" s="886"/>
      <c r="D34" s="175"/>
      <c r="E34" s="888"/>
      <c r="F34" s="888"/>
      <c r="G34" s="888"/>
      <c r="H34" s="175"/>
      <c r="I34" s="888"/>
      <c r="J34" s="888"/>
      <c r="K34" s="888"/>
      <c r="L34" s="888"/>
      <c r="M34" s="888"/>
    </row>
    <row r="35" spans="3:13" s="83" customFormat="1" x14ac:dyDescent="0.25">
      <c r="C35" s="886"/>
      <c r="D35" s="175"/>
      <c r="E35" s="906"/>
      <c r="F35" s="906"/>
      <c r="G35" s="906"/>
      <c r="H35" s="175"/>
      <c r="I35" s="906"/>
      <c r="J35" s="906"/>
      <c r="K35" s="906"/>
      <c r="L35" s="906"/>
      <c r="M35" s="906"/>
    </row>
    <row r="36" spans="3:13" s="83" customFormat="1" x14ac:dyDescent="0.25">
      <c r="C36" s="175"/>
      <c r="D36" s="175"/>
      <c r="E36" s="888"/>
      <c r="F36" s="888"/>
      <c r="G36" s="888"/>
      <c r="H36" s="175"/>
      <c r="I36" s="888"/>
      <c r="J36" s="888"/>
      <c r="K36" s="888"/>
      <c r="L36" s="888"/>
      <c r="M36" s="888"/>
    </row>
    <row r="37" spans="3:13" s="83" customFormat="1" x14ac:dyDescent="0.25">
      <c r="C37" s="175"/>
      <c r="D37" s="175"/>
      <c r="E37" s="175"/>
      <c r="F37" s="175"/>
      <c r="G37" s="175">
        <v>10</v>
      </c>
      <c r="H37" s="175"/>
      <c r="I37" s="175"/>
      <c r="J37" s="175"/>
      <c r="K37" s="175"/>
      <c r="L37" s="912"/>
      <c r="M37" s="175"/>
    </row>
    <row r="38" spans="3:13" s="83" customFormat="1" x14ac:dyDescent="0.25">
      <c r="C38" s="175"/>
      <c r="D38" s="175"/>
      <c r="E38" s="175"/>
      <c r="F38" s="175"/>
      <c r="G38" s="175">
        <f>G37^0</f>
        <v>1</v>
      </c>
      <c r="H38" s="175"/>
      <c r="I38" s="175"/>
      <c r="J38" s="175"/>
      <c r="K38" s="175"/>
      <c r="L38" s="175"/>
      <c r="M38" s="175"/>
    </row>
    <row r="39" spans="3:13" s="83" customFormat="1" x14ac:dyDescent="0.25">
      <c r="C39" s="913"/>
      <c r="D39" s="175"/>
      <c r="E39" s="888"/>
      <c r="F39" s="888"/>
      <c r="G39" s="888"/>
      <c r="H39" s="175"/>
      <c r="I39" s="888"/>
      <c r="J39" s="888"/>
      <c r="K39" s="888"/>
      <c r="L39" s="888"/>
      <c r="M39" s="888"/>
    </row>
    <row r="40" spans="3:13" s="83" customFormat="1" x14ac:dyDescent="0.25">
      <c r="C40" s="175"/>
      <c r="D40" s="175"/>
      <c r="E40" s="175"/>
      <c r="F40" s="175"/>
      <c r="G40" s="175"/>
      <c r="H40" s="175"/>
      <c r="I40" s="175"/>
      <c r="J40" s="175"/>
      <c r="K40" s="175"/>
      <c r="L40" s="175"/>
      <c r="M40" s="175"/>
    </row>
    <row r="41" spans="3:13" s="83" customFormat="1" x14ac:dyDescent="0.25">
      <c r="C41" s="914"/>
      <c r="D41" s="175"/>
      <c r="E41" s="175"/>
      <c r="F41" s="175"/>
      <c r="G41" s="175"/>
      <c r="H41" s="175"/>
      <c r="I41" s="175"/>
      <c r="J41" s="175"/>
      <c r="K41" s="175"/>
      <c r="L41" s="175"/>
      <c r="M41" s="175"/>
    </row>
    <row r="42" spans="3:13" s="83" customFormat="1" x14ac:dyDescent="0.25">
      <c r="C42" s="913"/>
      <c r="D42" s="175"/>
      <c r="E42" s="888"/>
      <c r="F42" s="888"/>
      <c r="G42" s="888"/>
      <c r="H42" s="175"/>
      <c r="I42" s="888"/>
      <c r="J42" s="888"/>
      <c r="K42" s="888"/>
      <c r="L42" s="888"/>
      <c r="M42" s="888"/>
    </row>
    <row r="43" spans="3:13" s="83" customFormat="1" x14ac:dyDescent="0.25">
      <c r="C43" s="913"/>
      <c r="D43" s="175"/>
      <c r="E43" s="906"/>
      <c r="F43" s="906"/>
      <c r="G43" s="906"/>
      <c r="I43" s="906"/>
      <c r="J43" s="906"/>
      <c r="K43" s="906"/>
      <c r="L43" s="906"/>
      <c r="M43" s="906"/>
    </row>
    <row r="44" spans="3:13" s="83" customFormat="1" x14ac:dyDescent="0.25">
      <c r="E44" s="888"/>
      <c r="F44" s="888"/>
      <c r="G44" s="888"/>
      <c r="I44" s="888"/>
      <c r="J44" s="888"/>
      <c r="K44" s="888"/>
      <c r="L44" s="888"/>
      <c r="M44" s="888"/>
    </row>
    <row r="45" spans="3:13" s="83" customFormat="1" x14ac:dyDescent="0.25"/>
    <row r="46" spans="3:13" s="83" customFormat="1" x14ac:dyDescent="0.25">
      <c r="C46" s="915"/>
    </row>
    <row r="47" spans="3:13" s="83" customFormat="1" x14ac:dyDescent="0.25">
      <c r="D47" s="916"/>
      <c r="E47" s="917"/>
      <c r="F47" s="917"/>
      <c r="G47" s="917"/>
    </row>
    <row r="48" spans="3:13" s="83" customFormat="1" ht="17.25" x14ac:dyDescent="0.4">
      <c r="D48" s="916"/>
      <c r="E48" s="918"/>
      <c r="F48" s="918"/>
      <c r="G48" s="918"/>
      <c r="H48" s="919"/>
      <c r="I48" s="919"/>
      <c r="J48" s="919"/>
      <c r="K48" s="919"/>
      <c r="L48" s="919"/>
      <c r="M48" s="919"/>
    </row>
    <row r="49" spans="5:13" s="83" customFormat="1" x14ac:dyDescent="0.25">
      <c r="E49" s="917"/>
      <c r="F49" s="917"/>
      <c r="G49" s="917"/>
      <c r="H49" s="917"/>
      <c r="I49" s="917"/>
      <c r="J49" s="917"/>
      <c r="K49" s="917"/>
      <c r="L49" s="917"/>
      <c r="M49" s="917"/>
    </row>
    <row r="50" spans="5:13" s="83" customFormat="1" x14ac:dyDescent="0.25"/>
    <row r="51" spans="5:13" s="83" customFormat="1" x14ac:dyDescent="0.25"/>
  </sheetData>
  <conditionalFormatting sqref="F21:G25 F27:G30">
    <cfRule type="expression" dxfId="55" priority="5">
      <formula>$A$5=0</formula>
    </cfRule>
  </conditionalFormatting>
  <conditionalFormatting sqref="F26:G26">
    <cfRule type="expression" dxfId="54" priority="4">
      <formula>$A$5=0</formula>
    </cfRule>
  </conditionalFormatting>
  <conditionalFormatting sqref="C31:M31 I9:L17">
    <cfRule type="expression" dxfId="53" priority="2">
      <formula>$B$5=0</formula>
    </cfRule>
  </conditionalFormatting>
  <conditionalFormatting sqref="F31:G31">
    <cfRule type="expression" dxfId="52" priority="1">
      <formula>$A$5=0</formula>
    </cfRule>
  </conditionalFormatting>
  <printOptions horizontalCentered="1"/>
  <pageMargins left="0.7" right="0.7" top="0.75" bottom="0.75" header="0.3" footer="0.3"/>
  <pageSetup scale="83" orientation="landscape" r:id="rId1"/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4">
    <tabColor rgb="FFFFC000"/>
    <pageSetUpPr fitToPage="1"/>
  </sheetPr>
  <dimension ref="A1:P46"/>
  <sheetViews>
    <sheetView showGridLines="0" view="pageBreakPreview" zoomScale="80" zoomScaleSheetLayoutView="80" workbookViewId="0">
      <selection activeCell="M16" sqref="M16"/>
    </sheetView>
  </sheetViews>
  <sheetFormatPr defaultColWidth="9.42578125" defaultRowHeight="15" x14ac:dyDescent="0.25"/>
  <cols>
    <col min="1" max="1" width="1.5703125" style="1" customWidth="1"/>
    <col min="2" max="2" width="5.42578125" style="1" customWidth="1"/>
    <col min="3" max="3" width="3.5703125" style="1" customWidth="1"/>
    <col min="4" max="4" width="8.5703125" style="1" customWidth="1"/>
    <col min="5" max="14" width="11.5703125" style="1" customWidth="1"/>
    <col min="15" max="16384" width="9.42578125" style="1"/>
  </cols>
  <sheetData>
    <row r="1" spans="1:16" ht="6" customHeight="1" thickBot="1" x14ac:dyDescent="0.3">
      <c r="C1" s="108"/>
      <c r="D1" s="108"/>
      <c r="E1" s="108"/>
      <c r="F1" s="108"/>
      <c r="G1" s="108"/>
      <c r="H1" s="108"/>
      <c r="I1" s="108"/>
      <c r="J1" s="108"/>
      <c r="K1" s="108"/>
      <c r="L1" s="108"/>
      <c r="M1" s="108"/>
      <c r="N1" s="108"/>
    </row>
    <row r="2" spans="1:16" ht="16.5" thickTop="1" x14ac:dyDescent="0.25">
      <c r="B2" s="110" t="str">
        <f>MainOutline!B2</f>
        <v>WB Santa Cruz</v>
      </c>
      <c r="C2" s="111"/>
      <c r="D2" s="111"/>
      <c r="E2" s="111"/>
      <c r="F2" s="111"/>
      <c r="G2" s="111"/>
      <c r="H2" s="111"/>
      <c r="I2" s="508" t="str">
        <f>'A1'!$C$90</f>
        <v>Acquisition of an existing facility</v>
      </c>
      <c r="J2" s="111"/>
      <c r="K2" s="111"/>
      <c r="L2" s="111"/>
      <c r="M2" s="111"/>
      <c r="N2" s="1409">
        <f>$A$3</f>
        <v>47</v>
      </c>
    </row>
    <row r="3" spans="1:16" ht="15.75" x14ac:dyDescent="0.25">
      <c r="A3" s="123">
        <f>MainOutline!B64</f>
        <v>47</v>
      </c>
      <c r="B3" s="102" t="str">
        <f>MainOutline!C64</f>
        <v>Appendix D5</v>
      </c>
      <c r="C3" s="89"/>
      <c r="D3" s="89"/>
      <c r="E3" s="89"/>
      <c r="F3" s="89"/>
      <c r="G3" s="89"/>
      <c r="H3" s="89"/>
      <c r="I3" s="89"/>
      <c r="J3" s="89"/>
      <c r="K3" s="89"/>
      <c r="L3" s="89"/>
      <c r="M3" s="89"/>
      <c r="N3" s="89"/>
    </row>
    <row r="4" spans="1:16" ht="16.5" thickBot="1" x14ac:dyDescent="0.3">
      <c r="B4" s="104" t="s">
        <v>909</v>
      </c>
      <c r="C4" s="97"/>
      <c r="D4" s="97"/>
      <c r="E4" s="97"/>
      <c r="F4" s="97"/>
      <c r="G4" s="97"/>
      <c r="H4" s="97"/>
      <c r="I4" s="97"/>
      <c r="J4" s="97"/>
      <c r="K4" s="97"/>
      <c r="L4" s="97"/>
      <c r="M4" s="97"/>
      <c r="N4" s="138" t="s">
        <v>19</v>
      </c>
    </row>
    <row r="5" spans="1:16" ht="15.75" thickTop="1" x14ac:dyDescent="0.25">
      <c r="A5" s="844">
        <f>IF('A1'!$B$84=1,1,0)</f>
        <v>0</v>
      </c>
    </row>
    <row r="6" spans="1:16" x14ac:dyDescent="0.25">
      <c r="A6" s="123"/>
    </row>
    <row r="7" spans="1:16" ht="16.5" x14ac:dyDescent="0.35">
      <c r="G7" s="173" t="s">
        <v>274</v>
      </c>
      <c r="H7" s="173" t="s">
        <v>73</v>
      </c>
      <c r="I7" s="340" t="s">
        <v>342</v>
      </c>
      <c r="J7" s="341"/>
      <c r="K7" s="341"/>
      <c r="L7" s="341"/>
      <c r="M7" s="341"/>
      <c r="N7" s="341"/>
    </row>
    <row r="8" spans="1:16" ht="17.25" x14ac:dyDescent="0.4">
      <c r="B8" s="81"/>
      <c r="G8" s="642" t="s">
        <v>343</v>
      </c>
      <c r="H8" s="642" t="s">
        <v>343</v>
      </c>
      <c r="I8" s="642">
        <v>1</v>
      </c>
      <c r="J8" s="642">
        <v>2</v>
      </c>
      <c r="K8" s="642">
        <v>3</v>
      </c>
      <c r="L8" s="642">
        <v>4</v>
      </c>
      <c r="M8" s="642">
        <v>5</v>
      </c>
      <c r="N8" s="642" t="s">
        <v>349</v>
      </c>
    </row>
    <row r="9" spans="1:16" ht="15.75" x14ac:dyDescent="0.25">
      <c r="B9" s="513" t="s">
        <v>348</v>
      </c>
    </row>
    <row r="10" spans="1:16" x14ac:dyDescent="0.25">
      <c r="B10" s="175" t="s">
        <v>413</v>
      </c>
      <c r="G10" s="13">
        <f>-ApndxB5!T14*A5</f>
        <v>0</v>
      </c>
      <c r="H10" s="13">
        <f>-ApndxB6!AF14*A5</f>
        <v>0</v>
      </c>
      <c r="I10" s="13">
        <f>ApndxB1!AC42</f>
        <v>401.07908596624316</v>
      </c>
      <c r="J10" s="13">
        <f>ApndxB1!AD42</f>
        <v>256.04838282917467</v>
      </c>
      <c r="K10" s="13">
        <f>ApndxB1!AE42</f>
        <v>221.7346007775617</v>
      </c>
      <c r="L10" s="13">
        <f>ApndxB1!AF42</f>
        <v>171.0320748195644</v>
      </c>
      <c r="M10" s="13">
        <f>ApndxB1!AG42</f>
        <v>113.61280418072306</v>
      </c>
      <c r="N10" s="13">
        <f>(M10+ApndxB1!AG35)*(1+'A1'!$O$50)</f>
        <v>233.91412847757331</v>
      </c>
      <c r="P10" s="1" t="s">
        <v>986</v>
      </c>
    </row>
    <row r="11" spans="1:16" x14ac:dyDescent="0.25">
      <c r="G11" s="13"/>
      <c r="H11" s="13"/>
      <c r="I11" s="13"/>
      <c r="J11" s="13"/>
      <c r="K11" s="13"/>
      <c r="L11" s="13"/>
      <c r="M11" s="13"/>
      <c r="N11" s="13"/>
    </row>
    <row r="12" spans="1:16" x14ac:dyDescent="0.25">
      <c r="B12" s="81" t="s">
        <v>345</v>
      </c>
      <c r="C12" s="81"/>
      <c r="G12" s="13"/>
      <c r="H12" s="13"/>
      <c r="I12" s="13"/>
      <c r="J12" s="13"/>
      <c r="K12" s="13"/>
      <c r="L12" s="845"/>
      <c r="M12" s="13"/>
      <c r="N12" s="13"/>
    </row>
    <row r="13" spans="1:16" x14ac:dyDescent="0.25">
      <c r="B13" s="652" t="s">
        <v>179</v>
      </c>
      <c r="C13" s="81" t="str">
        <f>ApndxB4!D12</f>
        <v>Incr. in Acc. Rec.</v>
      </c>
      <c r="G13" s="13">
        <v>0</v>
      </c>
      <c r="H13" s="13">
        <v>0</v>
      </c>
      <c r="I13" s="13">
        <f>ApndxB4!AC12</f>
        <v>-580.89991337662298</v>
      </c>
      <c r="J13" s="13">
        <f>ApndxB4!AD12</f>
        <v>-13.141186432054383</v>
      </c>
      <c r="K13" s="13">
        <f>ApndxB4!AE12</f>
        <v>-25.375909499805175</v>
      </c>
      <c r="L13" s="13">
        <f>ApndxB4!AF12</f>
        <v>-24.962505475132048</v>
      </c>
      <c r="M13" s="13">
        <f>ApndxB4!AG12</f>
        <v>-25.96849444577947</v>
      </c>
      <c r="N13" s="13">
        <f>ApndxB4!AH12</f>
        <v>-23.494542857415468</v>
      </c>
    </row>
    <row r="14" spans="1:16" x14ac:dyDescent="0.25">
      <c r="B14" s="652" t="s">
        <v>179</v>
      </c>
      <c r="C14" s="81" t="str">
        <f>ApndxB4!D13</f>
        <v>Incr. in Inventories</v>
      </c>
      <c r="D14" s="81"/>
      <c r="G14" s="13">
        <v>0</v>
      </c>
      <c r="H14" s="13">
        <v>0</v>
      </c>
      <c r="I14" s="13">
        <f>ApndxB4!AC13</f>
        <v>-89.281654378588129</v>
      </c>
      <c r="J14" s="13">
        <f>ApndxB4!AD13</f>
        <v>-3.4056975726299328</v>
      </c>
      <c r="K14" s="13">
        <f>ApndxB4!AE13</f>
        <v>-6.8266101356789051</v>
      </c>
      <c r="L14" s="13">
        <f>ApndxB4!AF13</f>
        <v>-7.0853941005870809</v>
      </c>
      <c r="M14" s="13">
        <f>ApndxB4!AG13</f>
        <v>-7.5898741605489022</v>
      </c>
      <c r="N14" s="13">
        <f>ApndxB4!AH13</f>
        <v>-5.6971119675764328</v>
      </c>
    </row>
    <row r="15" spans="1:16" ht="17.25" x14ac:dyDescent="0.4">
      <c r="B15" s="652" t="s">
        <v>178</v>
      </c>
      <c r="C15" s="81" t="str">
        <f>ApndxB4!D14</f>
        <v>Incr. in Acc. Payable</v>
      </c>
      <c r="D15" s="81"/>
      <c r="G15" s="558">
        <f>A5*ApndxB5!T31</f>
        <v>0</v>
      </c>
      <c r="H15" s="558">
        <f>$A$5*ApndxB6!AF31</f>
        <v>0</v>
      </c>
      <c r="I15" s="558">
        <f>ApndxB4!AC14</f>
        <v>331.32589989843905</v>
      </c>
      <c r="J15" s="558">
        <f>ApndxB4!AD14</f>
        <v>10.815014154303185</v>
      </c>
      <c r="K15" s="558">
        <f>ApndxB4!AE14</f>
        <v>21.591052914608781</v>
      </c>
      <c r="L15" s="558">
        <f>ApndxB4!AF14</f>
        <v>22.260248794775123</v>
      </c>
      <c r="M15" s="558">
        <f>ApndxB4!AG14</f>
        <v>23.724957649681414</v>
      </c>
      <c r="N15" s="558">
        <f>ApndxB4!AH14</f>
        <v>18.570116430617361</v>
      </c>
    </row>
    <row r="16" spans="1:16" x14ac:dyDescent="0.25">
      <c r="B16" s="652"/>
      <c r="C16" s="81"/>
      <c r="D16" s="81"/>
      <c r="G16" s="13">
        <f t="shared" ref="G16:N16" si="0">SUM(G13:G15)</f>
        <v>0</v>
      </c>
      <c r="H16" s="13">
        <f t="shared" si="0"/>
        <v>0</v>
      </c>
      <c r="I16" s="13">
        <f t="shared" si="0"/>
        <v>-338.85566785677202</v>
      </c>
      <c r="J16" s="13">
        <f t="shared" si="0"/>
        <v>-5.7318698503811305</v>
      </c>
      <c r="K16" s="13">
        <f t="shared" si="0"/>
        <v>-10.611466720875299</v>
      </c>
      <c r="L16" s="13">
        <f t="shared" si="0"/>
        <v>-9.7876507809440056</v>
      </c>
      <c r="M16" s="13">
        <f t="shared" si="0"/>
        <v>-9.8334109566469579</v>
      </c>
      <c r="N16" s="13">
        <f t="shared" si="0"/>
        <v>-10.621538394374539</v>
      </c>
    </row>
    <row r="17" spans="2:14" x14ac:dyDescent="0.25">
      <c r="B17" s="175" t="s">
        <v>346</v>
      </c>
      <c r="C17" s="81"/>
      <c r="D17" s="81"/>
      <c r="G17" s="13"/>
      <c r="H17" s="13"/>
      <c r="I17" s="13"/>
      <c r="J17" s="13"/>
      <c r="K17" s="13"/>
      <c r="L17" s="13"/>
      <c r="M17" s="13"/>
      <c r="N17" s="13"/>
    </row>
    <row r="18" spans="2:14" x14ac:dyDescent="0.25">
      <c r="B18" s="652" t="s">
        <v>179</v>
      </c>
      <c r="C18" s="81" t="s">
        <v>185</v>
      </c>
      <c r="G18" s="13">
        <f>$A$5*ApndxB5!T32</f>
        <v>0</v>
      </c>
      <c r="H18" s="13">
        <v>0</v>
      </c>
      <c r="I18" s="13">
        <f>ApndxB4!AC18</f>
        <v>-10</v>
      </c>
      <c r="J18" s="13">
        <f>ApndxB4!AD18</f>
        <v>-255</v>
      </c>
      <c r="K18" s="13">
        <f>ApndxB4!AE18</f>
        <v>0</v>
      </c>
      <c r="L18" s="13">
        <f>ApndxB4!AF18</f>
        <v>0</v>
      </c>
      <c r="M18" s="13">
        <f>ApndxB4!AG18</f>
        <v>0</v>
      </c>
      <c r="N18" s="13">
        <v>0</v>
      </c>
    </row>
    <row r="19" spans="2:14" ht="17.25" x14ac:dyDescent="0.4">
      <c r="B19" s="652" t="s">
        <v>178</v>
      </c>
      <c r="C19" s="81" t="str">
        <f>ApndxB1!C35</f>
        <v>Depreciation</v>
      </c>
      <c r="G19" s="558">
        <v>0</v>
      </c>
      <c r="H19" s="558">
        <v>0</v>
      </c>
      <c r="I19" s="558">
        <f>ApndxB1!AC35</f>
        <v>12.71645142857143</v>
      </c>
      <c r="J19" s="558">
        <f>ApndxB1!AD35</f>
        <v>123.71645142857143</v>
      </c>
      <c r="K19" s="558">
        <f>ApndxB1!AE35</f>
        <v>113.48829142857143</v>
      </c>
      <c r="L19" s="558">
        <f>ApndxB1!AF35</f>
        <v>113.48829142857143</v>
      </c>
      <c r="M19" s="558">
        <f>ApndxB1!AG35</f>
        <v>113.48829142857143</v>
      </c>
      <c r="N19" s="558">
        <v>0</v>
      </c>
    </row>
    <row r="20" spans="2:14" x14ac:dyDescent="0.25">
      <c r="B20" s="81"/>
      <c r="C20" s="81"/>
      <c r="D20" s="81"/>
      <c r="G20" s="381">
        <f t="shared" ref="G20:N20" si="1">SUM(G18:G19)</f>
        <v>0</v>
      </c>
      <c r="H20" s="381">
        <f t="shared" si="1"/>
        <v>0</v>
      </c>
      <c r="I20" s="381">
        <f t="shared" si="1"/>
        <v>2.7164514285714301</v>
      </c>
      <c r="J20" s="381">
        <f t="shared" si="1"/>
        <v>-131.28354857142858</v>
      </c>
      <c r="K20" s="381">
        <f t="shared" si="1"/>
        <v>113.48829142857143</v>
      </c>
      <c r="L20" s="381">
        <f t="shared" si="1"/>
        <v>113.48829142857143</v>
      </c>
      <c r="M20" s="381">
        <f t="shared" si="1"/>
        <v>113.48829142857143</v>
      </c>
      <c r="N20" s="381">
        <f t="shared" si="1"/>
        <v>0</v>
      </c>
    </row>
    <row r="21" spans="2:14" x14ac:dyDescent="0.25">
      <c r="B21" s="81"/>
      <c r="C21" s="81"/>
      <c r="D21" s="81"/>
      <c r="G21" s="13"/>
      <c r="H21" s="13"/>
      <c r="I21" s="13"/>
      <c r="J21" s="13"/>
      <c r="K21" s="13"/>
      <c r="L21" s="13"/>
      <c r="M21" s="13"/>
      <c r="N21" s="13"/>
    </row>
    <row r="22" spans="2:14" x14ac:dyDescent="0.25">
      <c r="B22" s="81" t="s">
        <v>347</v>
      </c>
      <c r="C22" s="81"/>
      <c r="D22" s="81"/>
      <c r="G22" s="13"/>
      <c r="H22" s="13"/>
      <c r="I22" s="13"/>
      <c r="J22" s="13"/>
      <c r="K22" s="13"/>
      <c r="L22" s="13"/>
      <c r="M22" s="13"/>
      <c r="N22" s="13"/>
    </row>
    <row r="23" spans="2:14" x14ac:dyDescent="0.25">
      <c r="B23" s="652" t="s">
        <v>179</v>
      </c>
      <c r="C23" s="81" t="s">
        <v>583</v>
      </c>
      <c r="D23" s="81"/>
      <c r="G23" s="714">
        <v>0</v>
      </c>
      <c r="H23" s="714">
        <v>0</v>
      </c>
      <c r="I23" s="714">
        <f>-'D2'!H38</f>
        <v>0</v>
      </c>
      <c r="J23" s="714">
        <f>-'D2'!I38</f>
        <v>0</v>
      </c>
      <c r="K23" s="714">
        <f>-'D2'!J38</f>
        <v>0</v>
      </c>
      <c r="L23" s="714">
        <f>-'D2'!K38</f>
        <v>0</v>
      </c>
      <c r="M23" s="714">
        <f>-'D2'!L38</f>
        <v>0</v>
      </c>
      <c r="N23" s="714">
        <f>M23*(1+'A1'!$O$50)</f>
        <v>0</v>
      </c>
    </row>
    <row r="24" spans="2:14" ht="17.25" x14ac:dyDescent="0.4">
      <c r="B24" s="1259" t="s">
        <v>179</v>
      </c>
      <c r="C24" s="81" t="s">
        <v>981</v>
      </c>
      <c r="D24" s="81"/>
      <c r="G24" s="558">
        <v>0</v>
      </c>
      <c r="H24" s="558">
        <v>0</v>
      </c>
      <c r="I24" s="558">
        <f>ApndxA3!J23</f>
        <v>0</v>
      </c>
      <c r="J24" s="558">
        <f>ApndxA3!K23</f>
        <v>0</v>
      </c>
      <c r="K24" s="558">
        <f>ApndxA3!L23</f>
        <v>0</v>
      </c>
      <c r="L24" s="558">
        <f>ApndxA3!M23</f>
        <v>0</v>
      </c>
      <c r="M24" s="558">
        <f>ApndxA3!N23</f>
        <v>0</v>
      </c>
      <c r="N24" s="558">
        <v>0</v>
      </c>
    </row>
    <row r="25" spans="2:14" x14ac:dyDescent="0.25">
      <c r="B25" s="81"/>
      <c r="C25" s="81"/>
      <c r="D25" s="81"/>
      <c r="G25" s="13">
        <f t="shared" ref="G25:N25" si="2">G24+G23</f>
        <v>0</v>
      </c>
      <c r="H25" s="13">
        <f t="shared" si="2"/>
        <v>0</v>
      </c>
      <c r="I25" s="13">
        <f t="shared" si="2"/>
        <v>0</v>
      </c>
      <c r="J25" s="13">
        <f t="shared" si="2"/>
        <v>0</v>
      </c>
      <c r="K25" s="13">
        <f t="shared" si="2"/>
        <v>0</v>
      </c>
      <c r="L25" s="13">
        <f t="shared" si="2"/>
        <v>0</v>
      </c>
      <c r="M25" s="13">
        <f t="shared" si="2"/>
        <v>0</v>
      </c>
      <c r="N25" s="13">
        <f t="shared" si="2"/>
        <v>0</v>
      </c>
    </row>
    <row r="26" spans="2:14" x14ac:dyDescent="0.25">
      <c r="B26" s="81"/>
      <c r="C26" s="81"/>
    </row>
    <row r="27" spans="2:14" ht="15.75" thickBot="1" x14ac:dyDescent="0.3">
      <c r="B27" s="846" t="s">
        <v>967</v>
      </c>
      <c r="C27" s="846"/>
      <c r="D27" s="698"/>
      <c r="E27" s="698"/>
      <c r="F27" s="698"/>
      <c r="G27" s="847">
        <f t="shared" ref="G27:N27" si="3">G10+G16+G20+G25</f>
        <v>0</v>
      </c>
      <c r="H27" s="847">
        <f t="shared" si="3"/>
        <v>0</v>
      </c>
      <c r="I27" s="847">
        <f t="shared" si="3"/>
        <v>64.939869538042572</v>
      </c>
      <c r="J27" s="847">
        <f t="shared" si="3"/>
        <v>119.03296440736494</v>
      </c>
      <c r="K27" s="847">
        <f t="shared" si="3"/>
        <v>324.61142548525783</v>
      </c>
      <c r="L27" s="847">
        <f t="shared" si="3"/>
        <v>274.73271546719184</v>
      </c>
      <c r="M27" s="847">
        <f t="shared" si="3"/>
        <v>217.26768465264752</v>
      </c>
      <c r="N27" s="847">
        <f t="shared" si="3"/>
        <v>223.29259008319877</v>
      </c>
    </row>
    <row r="28" spans="2:14" ht="15.75" thickTop="1" x14ac:dyDescent="0.25"/>
    <row r="29" spans="2:14" ht="15.75" x14ac:dyDescent="0.25">
      <c r="B29" s="513" t="s">
        <v>915</v>
      </c>
      <c r="C29" s="81"/>
      <c r="D29" s="81"/>
      <c r="E29" s="81"/>
    </row>
    <row r="30" spans="2:14" ht="15.75" x14ac:dyDescent="0.25">
      <c r="B30" s="513"/>
      <c r="C30" s="81" t="s">
        <v>1188</v>
      </c>
      <c r="D30" s="81"/>
      <c r="E30" s="81"/>
      <c r="I30" s="1294">
        <f>'D4'!H25</f>
        <v>0.91666666666666663</v>
      </c>
      <c r="J30" s="1294">
        <f>'D4'!I25</f>
        <v>1</v>
      </c>
      <c r="K30" s="1294">
        <f>'D4'!J25</f>
        <v>1</v>
      </c>
      <c r="L30" s="1294">
        <f>'D4'!K25</f>
        <v>1</v>
      </c>
      <c r="M30" s="1294">
        <f>'D4'!L25</f>
        <v>1</v>
      </c>
      <c r="N30" s="1294">
        <f>'D4'!M25</f>
        <v>1</v>
      </c>
    </row>
    <row r="31" spans="2:14" x14ac:dyDescent="0.25">
      <c r="C31" s="81" t="s">
        <v>369</v>
      </c>
      <c r="F31" s="663">
        <f>'A1'!$AS$54</f>
        <v>0.13</v>
      </c>
      <c r="G31" s="920">
        <f>'D4'!F30</f>
        <v>1</v>
      </c>
      <c r="H31" s="920">
        <f>'D4'!G30</f>
        <v>1</v>
      </c>
      <c r="I31" s="920">
        <f>'D4'!H30</f>
        <v>0.94552361499417903</v>
      </c>
      <c r="J31" s="920">
        <f>'D4'!I30</f>
        <v>0.84101847920152994</v>
      </c>
      <c r="K31" s="920">
        <f>'D4'!J30</f>
        <v>0.74426414088630977</v>
      </c>
      <c r="L31" s="920">
        <f>'D4'!K30</f>
        <v>0.65864083264275197</v>
      </c>
      <c r="M31" s="920">
        <f>'D4'!L30</f>
        <v>0.58286799348916118</v>
      </c>
      <c r="N31" s="920">
        <f>M31</f>
        <v>0.58286799348916118</v>
      </c>
    </row>
    <row r="32" spans="2:14" x14ac:dyDescent="0.25">
      <c r="B32" s="81"/>
      <c r="C32" s="81" t="s">
        <v>360</v>
      </c>
      <c r="D32" s="81"/>
      <c r="E32" s="81"/>
      <c r="G32" s="1416">
        <f>G27*G31*G30</f>
        <v>0</v>
      </c>
      <c r="H32" s="1416">
        <f t="shared" ref="H32:M32" si="4">H27*H31*H30</f>
        <v>0</v>
      </c>
      <c r="I32" s="1416">
        <f t="shared" si="4"/>
        <v>56.285331852622015</v>
      </c>
      <c r="J32" s="1416">
        <f t="shared" si="4"/>
        <v>100.10892270073191</v>
      </c>
      <c r="K32" s="1416">
        <f t="shared" si="4"/>
        <v>241.59664371066577</v>
      </c>
      <c r="L32" s="1416">
        <f t="shared" si="4"/>
        <v>180.95018446951551</v>
      </c>
      <c r="M32" s="1416">
        <f t="shared" si="4"/>
        <v>126.63837940352448</v>
      </c>
      <c r="N32" s="1416"/>
    </row>
    <row r="33" spans="2:14" x14ac:dyDescent="0.25">
      <c r="B33" s="81"/>
      <c r="C33" s="81"/>
      <c r="D33" s="81"/>
      <c r="E33" s="81"/>
      <c r="G33" s="371"/>
      <c r="H33" s="371"/>
      <c r="I33" s="371"/>
      <c r="J33" s="371"/>
      <c r="K33" s="371"/>
      <c r="L33" s="371"/>
      <c r="M33" s="371"/>
      <c r="N33" s="371"/>
    </row>
    <row r="34" spans="2:14" ht="17.25" x14ac:dyDescent="0.4">
      <c r="C34" s="81"/>
      <c r="E34" s="665" t="s">
        <v>364</v>
      </c>
      <c r="F34" s="466"/>
      <c r="G34" s="927"/>
      <c r="H34" s="666" t="s">
        <v>520</v>
      </c>
      <c r="I34" s="667"/>
      <c r="J34" s="921"/>
      <c r="K34" s="371"/>
      <c r="L34" s="371"/>
      <c r="M34" s="371"/>
      <c r="N34" s="371"/>
    </row>
    <row r="35" spans="2:14" ht="34.5" x14ac:dyDescent="0.4">
      <c r="C35" s="81"/>
      <c r="E35" s="670" t="s">
        <v>916</v>
      </c>
      <c r="F35" s="101" t="s">
        <v>363</v>
      </c>
      <c r="G35" s="929" t="s">
        <v>362</v>
      </c>
      <c r="H35" s="671" t="s">
        <v>365</v>
      </c>
      <c r="I35" s="672" t="s">
        <v>366</v>
      </c>
      <c r="J35" s="922" t="s">
        <v>13</v>
      </c>
      <c r="N35" s="101" t="s">
        <v>976</v>
      </c>
    </row>
    <row r="36" spans="2:14" x14ac:dyDescent="0.25">
      <c r="C36" s="81"/>
      <c r="E36" s="923">
        <f>N27</f>
        <v>223.29259008319877</v>
      </c>
      <c r="F36" s="277">
        <f>E36/(F31-'A1'!O50)</f>
        <v>2232.9259008319877</v>
      </c>
      <c r="G36" s="378">
        <f>F36*'D4'!M30</f>
        <v>1301.5010394279184</v>
      </c>
      <c r="H36" s="924">
        <f>SUM(G32:M32)</f>
        <v>705.57946213705975</v>
      </c>
      <c r="I36" s="925">
        <f>G36</f>
        <v>1301.5010394279184</v>
      </c>
      <c r="J36" s="926">
        <f>H36+I36</f>
        <v>2007.080501564978</v>
      </c>
      <c r="N36" s="371">
        <f>'D4'!D13</f>
        <v>0</v>
      </c>
    </row>
    <row r="37" spans="2:14" x14ac:dyDescent="0.25">
      <c r="N37" s="371"/>
    </row>
    <row r="38" spans="2:14" ht="15.75" thickBot="1" x14ac:dyDescent="0.3">
      <c r="B38" s="257"/>
      <c r="C38" s="257"/>
      <c r="D38" s="257"/>
      <c r="E38" s="257"/>
      <c r="F38" s="257"/>
      <c r="G38" s="257"/>
      <c r="H38" s="257"/>
      <c r="I38" s="257"/>
      <c r="J38" s="257"/>
      <c r="K38" s="257"/>
      <c r="L38" s="257"/>
      <c r="M38" s="257"/>
      <c r="N38" s="257"/>
    </row>
    <row r="39" spans="2:14" ht="15.75" x14ac:dyDescent="0.25">
      <c r="B39" s="513" t="s">
        <v>564</v>
      </c>
      <c r="C39" s="81"/>
    </row>
    <row r="40" spans="2:14" x14ac:dyDescent="0.25">
      <c r="H40" s="1276"/>
      <c r="I40" s="1214"/>
      <c r="J40" s="1214"/>
      <c r="K40" s="1277" t="s">
        <v>446</v>
      </c>
    </row>
    <row r="41" spans="2:14" x14ac:dyDescent="0.25">
      <c r="D41" s="1" t="s">
        <v>557</v>
      </c>
      <c r="F41" s="80">
        <f>'A1'!V60</f>
        <v>639.82006616561944</v>
      </c>
      <c r="H41" s="1278" t="s">
        <v>520</v>
      </c>
      <c r="I41" s="152"/>
      <c r="J41" s="152"/>
      <c r="K41" s="1279">
        <f>J36</f>
        <v>2007.080501564978</v>
      </c>
    </row>
    <row r="42" spans="2:14" x14ac:dyDescent="0.25">
      <c r="D42" s="1" t="s">
        <v>560</v>
      </c>
      <c r="F42" s="934">
        <f>N36</f>
        <v>0</v>
      </c>
      <c r="H42" s="1180" t="s">
        <v>562</v>
      </c>
      <c r="I42" s="935"/>
      <c r="J42" s="935"/>
      <c r="K42" s="1280">
        <f>K$41/F41</f>
        <v>3.136945225230618</v>
      </c>
    </row>
    <row r="43" spans="2:14" x14ac:dyDescent="0.25">
      <c r="D43" s="1" t="s">
        <v>561</v>
      </c>
      <c r="F43" s="80">
        <f>F41+F42</f>
        <v>639.82006616561944</v>
      </c>
      <c r="H43" s="1281" t="s">
        <v>563</v>
      </c>
      <c r="I43" s="1175"/>
      <c r="J43" s="1175"/>
      <c r="K43" s="1282">
        <f>K$41/F43</f>
        <v>3.136945225230618</v>
      </c>
    </row>
    <row r="46" spans="2:14" x14ac:dyDescent="0.25">
      <c r="G46" s="81">
        <v>0</v>
      </c>
      <c r="H46" s="81">
        <v>0</v>
      </c>
      <c r="I46" s="81">
        <v>79.5181660128018</v>
      </c>
      <c r="J46" s="81">
        <v>125.710043748286</v>
      </c>
      <c r="K46" s="81">
        <v>189.66180843991273</v>
      </c>
      <c r="L46" s="81">
        <v>232.19259851967379</v>
      </c>
      <c r="M46" s="81">
        <v>249.77736702538988</v>
      </c>
      <c r="N46" s="81"/>
    </row>
  </sheetData>
  <conditionalFormatting sqref="G7:H27">
    <cfRule type="expression" dxfId="51" priority="3">
      <formula>$A$5=0</formula>
    </cfRule>
  </conditionalFormatting>
  <conditionalFormatting sqref="G29:H31 G33:H33 G32:M32">
    <cfRule type="expression" dxfId="50" priority="1">
      <formula>$A$5=0</formula>
    </cfRule>
  </conditionalFormatting>
  <pageMargins left="0.7" right="0.7" top="0.5" bottom="0.5" header="0.3" footer="0.3"/>
  <pageSetup scale="92" orientation="landscape" r:id="rId1"/>
  <ignoredErrors>
    <ignoredError sqref="G11:N12 N32 G31:H31 J31:N31 G30:H30 G10:M10 G16:N18 G14:M15 G20:N29 G19:M19 G13:H13 J13:M13" unlockedFormula="1"/>
  </ignoredErrors>
  <legacy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>
    <tabColor rgb="FFFFC000"/>
    <pageSetUpPr fitToPage="1"/>
  </sheetPr>
  <dimension ref="A1:Q37"/>
  <sheetViews>
    <sheetView showGridLines="0" view="pageBreakPreview" zoomScaleSheetLayoutView="100" workbookViewId="0"/>
  </sheetViews>
  <sheetFormatPr defaultColWidth="9.42578125" defaultRowHeight="15" x14ac:dyDescent="0.25"/>
  <cols>
    <col min="1" max="1" width="2.42578125" style="1" customWidth="1"/>
    <col min="2" max="2" width="5.42578125" style="1" customWidth="1"/>
    <col min="3" max="3" width="3.5703125" style="1" customWidth="1"/>
    <col min="4" max="4" width="8.5703125" style="1" customWidth="1"/>
    <col min="5" max="14" width="11.5703125" style="1" customWidth="1"/>
    <col min="15" max="15" width="6.140625" style="1" customWidth="1"/>
    <col min="16" max="16384" width="9.42578125" style="1"/>
  </cols>
  <sheetData>
    <row r="1" spans="1:16" ht="6" customHeight="1" thickBot="1" x14ac:dyDescent="0.3">
      <c r="C1" s="108"/>
      <c r="D1" s="108"/>
      <c r="E1" s="108"/>
      <c r="F1" s="108"/>
      <c r="G1" s="108"/>
      <c r="H1" s="108"/>
      <c r="I1" s="108"/>
      <c r="J1" s="108"/>
      <c r="K1" s="108"/>
      <c r="L1" s="108"/>
      <c r="M1" s="108"/>
      <c r="N1" s="108"/>
    </row>
    <row r="2" spans="1:16" ht="16.5" thickTop="1" x14ac:dyDescent="0.25">
      <c r="B2" s="110" t="str">
        <f>MainOutline!B2</f>
        <v>WB Santa Cruz</v>
      </c>
      <c r="C2" s="111"/>
      <c r="D2" s="111"/>
      <c r="E2" s="111"/>
      <c r="F2" s="111"/>
      <c r="G2" s="111"/>
      <c r="H2" s="111"/>
      <c r="I2" s="508" t="str">
        <f>'A1'!$C$90</f>
        <v>Acquisition of an existing facility</v>
      </c>
      <c r="J2" s="111"/>
      <c r="K2" s="111"/>
      <c r="L2" s="111"/>
      <c r="M2" s="111"/>
      <c r="N2" s="1409">
        <f>$A$3</f>
        <v>48</v>
      </c>
    </row>
    <row r="3" spans="1:16" ht="15.75" x14ac:dyDescent="0.25">
      <c r="A3" s="123">
        <f>MainOutline!B65</f>
        <v>48</v>
      </c>
      <c r="B3" s="102" t="str">
        <f>MainOutline!C65</f>
        <v>Appendix D6</v>
      </c>
      <c r="C3" s="89"/>
      <c r="D3" s="89"/>
      <c r="E3" s="89"/>
      <c r="F3" s="89"/>
      <c r="G3" s="89"/>
      <c r="H3" s="89"/>
      <c r="I3" s="936"/>
      <c r="J3" s="89"/>
      <c r="K3" s="89"/>
      <c r="L3" s="89"/>
      <c r="M3" s="89"/>
      <c r="N3" s="89"/>
    </row>
    <row r="4" spans="1:16" ht="16.5" thickBot="1" x14ac:dyDescent="0.3">
      <c r="B4" s="104" t="s">
        <v>908</v>
      </c>
      <c r="C4" s="97"/>
      <c r="D4" s="97"/>
      <c r="E4" s="97"/>
      <c r="F4" s="97"/>
      <c r="G4" s="97"/>
      <c r="H4" s="97"/>
      <c r="I4" s="97"/>
      <c r="J4" s="97"/>
      <c r="K4" s="97"/>
      <c r="L4" s="97"/>
      <c r="M4" s="97"/>
      <c r="N4" s="138" t="s">
        <v>19</v>
      </c>
    </row>
    <row r="5" spans="1:16" ht="15.75" thickTop="1" x14ac:dyDescent="0.25">
      <c r="B5" s="123">
        <f>IF('A1'!Q2=FALSE,0,1)</f>
        <v>0</v>
      </c>
    </row>
    <row r="6" spans="1:16" x14ac:dyDescent="0.25">
      <c r="A6" s="123"/>
      <c r="G6" s="1114" t="str">
        <f>'D5'!G7</f>
        <v>Prebuild</v>
      </c>
      <c r="H6" s="1114" t="str">
        <f>'D5'!H7</f>
        <v>Licensing</v>
      </c>
    </row>
    <row r="7" spans="1:16" ht="17.25" x14ac:dyDescent="0.4">
      <c r="B7" s="81"/>
      <c r="G7" s="642" t="str">
        <f>'D5'!G8</f>
        <v>Phase</v>
      </c>
      <c r="H7" s="642" t="str">
        <f>'D5'!H8</f>
        <v>Phase</v>
      </c>
      <c r="I7" s="642">
        <v>1</v>
      </c>
      <c r="J7" s="642">
        <v>2</v>
      </c>
      <c r="K7" s="642">
        <v>3</v>
      </c>
      <c r="L7" s="642">
        <v>4</v>
      </c>
      <c r="M7" s="642">
        <v>5</v>
      </c>
      <c r="N7" s="642" t="s">
        <v>349</v>
      </c>
    </row>
    <row r="9" spans="1:16" ht="15.75" x14ac:dyDescent="0.25">
      <c r="B9" s="513" t="s">
        <v>965</v>
      </c>
      <c r="C9" s="81"/>
      <c r="D9" s="81"/>
      <c r="E9" s="81"/>
    </row>
    <row r="10" spans="1:16" x14ac:dyDescent="0.25">
      <c r="B10" s="81"/>
      <c r="C10" s="530" t="s">
        <v>911</v>
      </c>
      <c r="D10" s="530"/>
      <c r="E10" s="528"/>
      <c r="F10" s="528"/>
      <c r="G10" s="661">
        <v>0</v>
      </c>
      <c r="H10" s="661">
        <v>0</v>
      </c>
      <c r="I10" s="371">
        <f>'D2'!H37</f>
        <v>313.50840208120678</v>
      </c>
      <c r="J10" s="371">
        <f>'D2'!I37</f>
        <v>64.168572149815191</v>
      </c>
      <c r="K10" s="371">
        <f>'D2'!J37</f>
        <v>332.31170806326861</v>
      </c>
      <c r="L10" s="371">
        <f>'D2'!K37</f>
        <v>249.03806397788344</v>
      </c>
      <c r="M10" s="371">
        <f>'D2'!L37</f>
        <v>189.95335959772797</v>
      </c>
      <c r="N10" s="371">
        <f>'D2'!M37</f>
        <v>77.833421232682554</v>
      </c>
      <c r="P10" s="1" t="s">
        <v>987</v>
      </c>
    </row>
    <row r="11" spans="1:16" x14ac:dyDescent="0.25">
      <c r="C11" s="81" t="s">
        <v>369</v>
      </c>
      <c r="D11" s="81"/>
      <c r="E11" s="81"/>
      <c r="F11" s="663">
        <f>'A1'!$AS$54</f>
        <v>0.13</v>
      </c>
      <c r="G11" s="664">
        <f>'D4'!F30</f>
        <v>1</v>
      </c>
      <c r="H11" s="664">
        <f>'D4'!G30</f>
        <v>1</v>
      </c>
      <c r="I11" s="664">
        <f>'D4'!H30</f>
        <v>0.94552361499417903</v>
      </c>
      <c r="J11" s="664">
        <f>'D4'!I30</f>
        <v>0.84101847920152994</v>
      </c>
      <c r="K11" s="664">
        <f>'D4'!J30</f>
        <v>0.74426414088630977</v>
      </c>
      <c r="L11" s="664">
        <f>'D4'!K30</f>
        <v>0.65864083264275197</v>
      </c>
      <c r="M11" s="664">
        <f>'D4'!L30</f>
        <v>0.58286799348916118</v>
      </c>
      <c r="N11" s="664">
        <f>M11</f>
        <v>0.58286799348916118</v>
      </c>
      <c r="P11" s="1" t="s">
        <v>988</v>
      </c>
    </row>
    <row r="12" spans="1:16" x14ac:dyDescent="0.25">
      <c r="C12" s="81" t="s">
        <v>1035</v>
      </c>
      <c r="D12" s="81"/>
      <c r="E12" s="81"/>
      <c r="G12" s="371">
        <f t="shared" ref="G12:M12" si="0">G10*G11</f>
        <v>0</v>
      </c>
      <c r="H12" s="371">
        <f t="shared" si="0"/>
        <v>0</v>
      </c>
      <c r="I12" s="371">
        <f t="shared" si="0"/>
        <v>296.42959766687125</v>
      </c>
      <c r="J12" s="371">
        <f t="shared" si="0"/>
        <v>53.966954961971219</v>
      </c>
      <c r="K12" s="371">
        <f t="shared" si="0"/>
        <v>247.32768790817079</v>
      </c>
      <c r="L12" s="371">
        <f t="shared" si="0"/>
        <v>164.02663781813209</v>
      </c>
      <c r="M12" s="371">
        <f t="shared" si="0"/>
        <v>110.7177335652528</v>
      </c>
      <c r="N12" s="371"/>
    </row>
    <row r="13" spans="1:16" x14ac:dyDescent="0.25">
      <c r="C13" s="81"/>
      <c r="D13" s="81"/>
      <c r="E13" s="81"/>
      <c r="H13" s="25"/>
      <c r="I13" s="25"/>
      <c r="J13" s="25"/>
      <c r="K13" s="25"/>
      <c r="L13" s="25"/>
      <c r="M13" s="25"/>
      <c r="N13" s="25"/>
    </row>
    <row r="14" spans="1:16" ht="17.25" x14ac:dyDescent="0.4">
      <c r="C14" s="81"/>
      <c r="D14" s="81"/>
      <c r="F14" s="665" t="s">
        <v>364</v>
      </c>
      <c r="G14" s="466"/>
      <c r="H14" s="927"/>
      <c r="I14" s="666" t="s">
        <v>367</v>
      </c>
      <c r="J14" s="667"/>
      <c r="K14" s="921"/>
    </row>
    <row r="15" spans="1:16" ht="34.5" x14ac:dyDescent="0.4">
      <c r="C15" s="81"/>
      <c r="D15" s="81"/>
      <c r="E15" s="81"/>
      <c r="F15" s="670" t="s">
        <v>366</v>
      </c>
      <c r="G15" s="101" t="s">
        <v>363</v>
      </c>
      <c r="H15" s="929" t="s">
        <v>362</v>
      </c>
      <c r="I15" s="671" t="s">
        <v>365</v>
      </c>
      <c r="J15" s="672" t="s">
        <v>366</v>
      </c>
      <c r="K15" s="922" t="s">
        <v>13</v>
      </c>
      <c r="M15" s="101" t="s">
        <v>976</v>
      </c>
    </row>
    <row r="16" spans="1:16" x14ac:dyDescent="0.25">
      <c r="C16" s="81"/>
      <c r="D16" s="81"/>
      <c r="E16" s="81"/>
      <c r="F16" s="937">
        <f>N10</f>
        <v>77.833421232682554</v>
      </c>
      <c r="G16" s="277">
        <f>F16/(F11-'A1'!$O$50)</f>
        <v>778.33421232682554</v>
      </c>
      <c r="H16" s="378">
        <f>G16*N11</f>
        <v>453.66610060290355</v>
      </c>
      <c r="I16" s="924">
        <f>SUM(G12:M12)</f>
        <v>872.46861192039808</v>
      </c>
      <c r="J16" s="925">
        <f>H16</f>
        <v>453.66610060290355</v>
      </c>
      <c r="K16" s="926">
        <f>I16+J16</f>
        <v>1326.1347125233017</v>
      </c>
      <c r="M16" s="371">
        <f>'D4'!D13</f>
        <v>0</v>
      </c>
    </row>
    <row r="17" spans="2:17" ht="15.75" thickBot="1" x14ac:dyDescent="0.3">
      <c r="B17" s="257"/>
      <c r="C17" s="257"/>
      <c r="D17" s="257"/>
      <c r="E17" s="257"/>
      <c r="F17" s="257"/>
      <c r="G17" s="257"/>
      <c r="H17" s="257"/>
      <c r="I17" s="257"/>
      <c r="J17" s="257"/>
      <c r="K17" s="257"/>
      <c r="L17" s="257"/>
      <c r="M17" s="257"/>
      <c r="N17" s="257"/>
      <c r="O17" s="81"/>
      <c r="P17" s="81"/>
      <c r="Q17" s="81"/>
    </row>
    <row r="18" spans="2:17" ht="15.75" x14ac:dyDescent="0.25">
      <c r="B18" s="513" t="s">
        <v>992</v>
      </c>
      <c r="C18" s="81"/>
      <c r="H18" s="78" t="s">
        <v>601</v>
      </c>
      <c r="I18" s="341" t="s">
        <v>937</v>
      </c>
      <c r="J18" s="341"/>
      <c r="K18" s="341"/>
      <c r="L18" s="341"/>
      <c r="M18" s="341"/>
      <c r="N18" s="341"/>
      <c r="O18" s="81"/>
      <c r="P18" s="81"/>
      <c r="Q18" s="81"/>
    </row>
    <row r="19" spans="2:17" ht="17.25" x14ac:dyDescent="0.4">
      <c r="C19" s="81"/>
      <c r="D19" s="81"/>
      <c r="E19" s="81"/>
      <c r="F19" s="81"/>
      <c r="G19" s="81"/>
      <c r="H19" s="291" t="s">
        <v>993</v>
      </c>
      <c r="I19" s="642">
        <f t="shared" ref="I19:N19" si="1">I7</f>
        <v>1</v>
      </c>
      <c r="J19" s="642">
        <f t="shared" si="1"/>
        <v>2</v>
      </c>
      <c r="K19" s="642">
        <f t="shared" si="1"/>
        <v>3</v>
      </c>
      <c r="L19" s="642">
        <f t="shared" si="1"/>
        <v>4</v>
      </c>
      <c r="M19" s="642">
        <f t="shared" si="1"/>
        <v>5</v>
      </c>
      <c r="N19" s="642" t="str">
        <f t="shared" si="1"/>
        <v>Terminal CF</v>
      </c>
      <c r="O19" s="81"/>
      <c r="P19" s="81"/>
      <c r="Q19" s="81"/>
    </row>
    <row r="20" spans="2:17" x14ac:dyDescent="0.25">
      <c r="C20" s="81" t="s">
        <v>994</v>
      </c>
      <c r="D20" s="81"/>
      <c r="E20" s="81"/>
      <c r="F20" s="81"/>
      <c r="G20" s="81"/>
      <c r="H20" s="759">
        <f>-'A1'!T64</f>
        <v>-639.82006616561944</v>
      </c>
      <c r="I20" s="759">
        <f t="shared" ref="I20:N20" si="2">I10</f>
        <v>313.50840208120678</v>
      </c>
      <c r="J20" s="759">
        <f t="shared" si="2"/>
        <v>64.168572149815191</v>
      </c>
      <c r="K20" s="759">
        <f t="shared" si="2"/>
        <v>332.31170806326861</v>
      </c>
      <c r="L20" s="759">
        <f t="shared" si="2"/>
        <v>249.03806397788344</v>
      </c>
      <c r="M20" s="759">
        <f t="shared" si="2"/>
        <v>189.95335959772797</v>
      </c>
      <c r="N20" s="759">
        <f t="shared" si="2"/>
        <v>77.833421232682554</v>
      </c>
      <c r="O20" s="81"/>
      <c r="P20" s="81"/>
      <c r="Q20" s="81"/>
    </row>
    <row r="21" spans="2:17" x14ac:dyDescent="0.25">
      <c r="C21" s="81" t="s">
        <v>995</v>
      </c>
      <c r="D21" s="81"/>
      <c r="E21" s="81"/>
      <c r="F21" s="81"/>
      <c r="G21" s="81"/>
      <c r="H21" s="81">
        <v>0</v>
      </c>
      <c r="I21" s="81">
        <f>'D4'!H27</f>
        <v>0.45833333333333331</v>
      </c>
      <c r="J21" s="81">
        <f>'D4'!I27</f>
        <v>1.4166666666666665</v>
      </c>
      <c r="K21" s="81">
        <f>'D4'!J27</f>
        <v>2.4166666666666665</v>
      </c>
      <c r="L21" s="81">
        <f>'D4'!K27</f>
        <v>3.4166666666666665</v>
      </c>
      <c r="M21" s="81">
        <f>'D4'!L27</f>
        <v>4.4166666666666661</v>
      </c>
      <c r="N21" s="81">
        <f>'D4'!M27</f>
        <v>4.4166666666666661</v>
      </c>
      <c r="O21" s="81"/>
      <c r="P21" s="81"/>
      <c r="Q21" s="81"/>
    </row>
    <row r="22" spans="2:17" x14ac:dyDescent="0.25">
      <c r="C22" s="81" t="s">
        <v>369</v>
      </c>
      <c r="D22" s="81"/>
      <c r="E22" s="81"/>
      <c r="F22" s="1291">
        <f>MacroLinks!D5</f>
        <v>0.67828161320288327</v>
      </c>
      <c r="G22" s="81"/>
      <c r="H22" s="81">
        <f>1/(1+$F$22)^H21</f>
        <v>1</v>
      </c>
      <c r="I22" s="81">
        <f t="shared" ref="I22:N22" si="3">1/(1+$F$22)^I21</f>
        <v>0.78874560061909837</v>
      </c>
      <c r="J22" s="81">
        <f t="shared" si="3"/>
        <v>0.48022136901746904</v>
      </c>
      <c r="K22" s="81">
        <f t="shared" si="3"/>
        <v>0.28613872978146981</v>
      </c>
      <c r="L22" s="81">
        <f t="shared" si="3"/>
        <v>0.17049506324233277</v>
      </c>
      <c r="M22" s="81">
        <f t="shared" si="3"/>
        <v>0.10158906699630395</v>
      </c>
      <c r="N22" s="81">
        <f t="shared" si="3"/>
        <v>0.10158906699630395</v>
      </c>
      <c r="O22" s="81"/>
      <c r="P22" s="81"/>
      <c r="Q22" s="81"/>
    </row>
    <row r="23" spans="2:17" x14ac:dyDescent="0.25">
      <c r="C23" s="81" t="s">
        <v>996</v>
      </c>
      <c r="D23" s="81"/>
      <c r="E23" s="81"/>
      <c r="F23" s="81"/>
      <c r="G23" s="81"/>
      <c r="H23" s="759">
        <f t="shared" ref="H23:M23" si="4">H20*H22</f>
        <v>-639.82006616561944</v>
      </c>
      <c r="I23" s="759">
        <f t="shared" si="4"/>
        <v>247.27837289867523</v>
      </c>
      <c r="J23" s="759">
        <f t="shared" si="4"/>
        <v>30.815119565680487</v>
      </c>
      <c r="K23" s="759">
        <f t="shared" si="4"/>
        <v>95.087250036734304</v>
      </c>
      <c r="L23" s="759">
        <f t="shared" si="4"/>
        <v>42.459760467657354</v>
      </c>
      <c r="M23" s="759">
        <f t="shared" si="4"/>
        <v>19.297184574346602</v>
      </c>
      <c r="N23" s="81"/>
      <c r="O23" s="81"/>
      <c r="P23" s="81"/>
      <c r="Q23" s="81"/>
    </row>
    <row r="24" spans="2:17" x14ac:dyDescent="0.25">
      <c r="C24" s="81"/>
      <c r="D24" s="81"/>
      <c r="E24" s="81"/>
      <c r="F24" s="81"/>
      <c r="G24" s="81"/>
      <c r="H24" s="81"/>
      <c r="I24" s="81"/>
      <c r="J24" s="81"/>
      <c r="K24" s="81"/>
      <c r="L24" s="81"/>
      <c r="M24" s="81"/>
      <c r="N24" s="81"/>
      <c r="O24" s="81"/>
      <c r="P24" s="81"/>
      <c r="Q24" s="81"/>
    </row>
    <row r="25" spans="2:17" ht="17.25" x14ac:dyDescent="0.4">
      <c r="C25" s="81"/>
      <c r="D25" s="81"/>
      <c r="E25" s="81"/>
      <c r="F25" s="665" t="s">
        <v>364</v>
      </c>
      <c r="G25" s="466"/>
      <c r="H25" s="927"/>
      <c r="I25" s="666" t="s">
        <v>367</v>
      </c>
      <c r="J25" s="667"/>
      <c r="K25" s="921"/>
      <c r="L25" s="81"/>
      <c r="M25" s="81"/>
      <c r="N25" s="81"/>
      <c r="O25" s="81"/>
      <c r="P25" s="81"/>
      <c r="Q25" s="81"/>
    </row>
    <row r="26" spans="2:17" ht="34.5" x14ac:dyDescent="0.4">
      <c r="C26" s="81"/>
      <c r="D26" s="81"/>
      <c r="E26" s="81"/>
      <c r="F26" s="670" t="s">
        <v>366</v>
      </c>
      <c r="G26" s="101" t="s">
        <v>363</v>
      </c>
      <c r="H26" s="929" t="s">
        <v>362</v>
      </c>
      <c r="I26" s="671" t="s">
        <v>365</v>
      </c>
      <c r="J26" s="672" t="s">
        <v>366</v>
      </c>
      <c r="K26" s="922" t="s">
        <v>13</v>
      </c>
      <c r="L26" s="81"/>
      <c r="M26" s="81"/>
      <c r="N26" s="81"/>
      <c r="O26" s="81"/>
      <c r="P26" s="81"/>
      <c r="Q26" s="81"/>
    </row>
    <row r="27" spans="2:17" x14ac:dyDescent="0.25">
      <c r="C27" s="81"/>
      <c r="D27" s="81"/>
      <c r="E27" s="81"/>
      <c r="F27" s="937">
        <f>N20</f>
        <v>77.833421232682554</v>
      </c>
      <c r="G27" s="277">
        <f>F27/(F22-'A1'!$O$50)</f>
        <v>120.06112721312699</v>
      </c>
      <c r="H27" s="378">
        <f>G27*N22</f>
        <v>12.19689789610613</v>
      </c>
      <c r="I27" s="924">
        <f>SUM(H23:M23)</f>
        <v>-204.88237862252544</v>
      </c>
      <c r="J27" s="925">
        <f>H27</f>
        <v>12.19689789610613</v>
      </c>
      <c r="K27" s="926">
        <f>I27+J27</f>
        <v>-192.68548072641931</v>
      </c>
      <c r="L27" s="81"/>
      <c r="M27" s="81"/>
      <c r="N27" s="81"/>
      <c r="O27" s="81"/>
      <c r="P27" s="81"/>
      <c r="Q27" s="81"/>
    </row>
    <row r="28" spans="2:17" ht="15.75" thickBot="1" x14ac:dyDescent="0.3">
      <c r="B28" s="257"/>
      <c r="C28" s="257"/>
      <c r="D28" s="257"/>
      <c r="E28" s="257"/>
      <c r="F28" s="257"/>
      <c r="G28" s="257"/>
      <c r="H28" s="257"/>
      <c r="I28" s="257"/>
      <c r="J28" s="257"/>
      <c r="K28" s="257"/>
      <c r="L28" s="257"/>
      <c r="M28" s="257"/>
      <c r="N28" s="257"/>
    </row>
    <row r="29" spans="2:17" ht="15.75" x14ac:dyDescent="0.25">
      <c r="B29" s="513" t="s">
        <v>610</v>
      </c>
      <c r="C29" s="81"/>
    </row>
    <row r="30" spans="2:17" x14ac:dyDescent="0.25">
      <c r="I30" s="938"/>
      <c r="J30" s="939"/>
      <c r="K30" s="939"/>
      <c r="L30" s="940"/>
      <c r="M30" s="941"/>
    </row>
    <row r="31" spans="2:17" x14ac:dyDescent="0.25">
      <c r="D31" s="1" t="s">
        <v>557</v>
      </c>
      <c r="F31" s="80">
        <f>'A1'!V60</f>
        <v>639.82006616561944</v>
      </c>
      <c r="I31" s="942" t="s">
        <v>520</v>
      </c>
      <c r="J31" s="943"/>
      <c r="K31" s="943"/>
      <c r="L31" s="428">
        <f>K16</f>
        <v>1326.1347125233017</v>
      </c>
      <c r="M31" s="944"/>
    </row>
    <row r="32" spans="2:17" x14ac:dyDescent="0.25">
      <c r="D32" s="1" t="s">
        <v>560</v>
      </c>
      <c r="F32" s="934">
        <f>M16</f>
        <v>0</v>
      </c>
      <c r="I32" s="945" t="s">
        <v>562</v>
      </c>
      <c r="J32" s="946"/>
      <c r="K32" s="946"/>
      <c r="L32" s="1251">
        <f>L$31/F31</f>
        <v>2.072668211972001</v>
      </c>
      <c r="M32" s="944"/>
    </row>
    <row r="33" spans="3:14" x14ac:dyDescent="0.25">
      <c r="D33" s="1" t="s">
        <v>561</v>
      </c>
      <c r="F33" s="80">
        <f>F31+F32</f>
        <v>639.82006616561944</v>
      </c>
      <c r="I33" s="947" t="s">
        <v>563</v>
      </c>
      <c r="J33" s="948"/>
      <c r="K33" s="948"/>
      <c r="L33" s="1252">
        <f>L$31/F33</f>
        <v>2.072668211972001</v>
      </c>
      <c r="M33" s="949"/>
    </row>
    <row r="35" spans="3:14" x14ac:dyDescent="0.25">
      <c r="C35" s="81"/>
      <c r="D35" s="81"/>
      <c r="E35" s="81"/>
      <c r="H35" s="25"/>
      <c r="I35" s="25"/>
      <c r="J35" s="25"/>
      <c r="K35" s="25"/>
      <c r="L35" s="25"/>
      <c r="M35" s="25"/>
      <c r="N35" s="25"/>
    </row>
    <row r="36" spans="3:14" x14ac:dyDescent="0.25">
      <c r="G36" s="13">
        <f>'D5'!G27</f>
        <v>0</v>
      </c>
      <c r="H36" s="13">
        <f>'D5'!H27</f>
        <v>0</v>
      </c>
      <c r="I36" s="13">
        <f>'D5'!I27</f>
        <v>64.939869538042572</v>
      </c>
      <c r="J36" s="13">
        <f>'D5'!J27</f>
        <v>119.03296440736494</v>
      </c>
      <c r="K36" s="13">
        <f>'D5'!K27</f>
        <v>324.61142548525783</v>
      </c>
      <c r="L36" s="13">
        <f>'D5'!L27</f>
        <v>274.73271546719184</v>
      </c>
      <c r="M36" s="13">
        <f>'D5'!M27</f>
        <v>217.26768465264752</v>
      </c>
      <c r="N36" s="13">
        <f>'D5'!N27</f>
        <v>223.29259008319877</v>
      </c>
    </row>
    <row r="37" spans="3:14" x14ac:dyDescent="0.25">
      <c r="G37" s="381">
        <f t="shared" ref="G37:N37" si="5">G10-G36</f>
        <v>0</v>
      </c>
      <c r="H37" s="381">
        <f t="shared" si="5"/>
        <v>0</v>
      </c>
      <c r="I37" s="381">
        <f t="shared" si="5"/>
        <v>248.56853254316422</v>
      </c>
      <c r="J37" s="381">
        <f t="shared" si="5"/>
        <v>-54.864392257549753</v>
      </c>
      <c r="K37" s="381">
        <f t="shared" si="5"/>
        <v>7.7002825780107855</v>
      </c>
      <c r="L37" s="381">
        <f t="shared" si="5"/>
        <v>-25.694651489308399</v>
      </c>
      <c r="M37" s="381">
        <f t="shared" si="5"/>
        <v>-27.31432505491955</v>
      </c>
      <c r="N37" s="381">
        <f t="shared" si="5"/>
        <v>-145.45916885051622</v>
      </c>
    </row>
  </sheetData>
  <pageMargins left="0.7" right="0.7" top="0.75" bottom="0.75" header="0.3" footer="0.3"/>
  <pageSetup scale="92" orientation="landscape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>
    <tabColor rgb="FFFFC000"/>
    <pageSetUpPr fitToPage="1"/>
  </sheetPr>
  <dimension ref="A1:Q35"/>
  <sheetViews>
    <sheetView showGridLines="0" view="pageBreakPreview" zoomScaleSheetLayoutView="100" workbookViewId="0"/>
  </sheetViews>
  <sheetFormatPr defaultColWidth="9.42578125" defaultRowHeight="15" x14ac:dyDescent="0.25"/>
  <cols>
    <col min="1" max="1" width="1.5703125" style="1" customWidth="1"/>
    <col min="2" max="2" width="5.42578125" style="1" customWidth="1"/>
    <col min="3" max="3" width="3.5703125" style="1" customWidth="1"/>
    <col min="4" max="4" width="8.5703125" style="1" customWidth="1"/>
    <col min="5" max="14" width="11.5703125" style="1" customWidth="1"/>
    <col min="15" max="16384" width="9.42578125" style="1"/>
  </cols>
  <sheetData>
    <row r="1" spans="1:17" ht="6" customHeight="1" thickBot="1" x14ac:dyDescent="0.3">
      <c r="C1" s="108"/>
      <c r="D1" s="108"/>
      <c r="E1" s="108"/>
      <c r="F1" s="108"/>
      <c r="G1" s="108"/>
      <c r="H1" s="108"/>
      <c r="I1" s="108"/>
      <c r="J1" s="108"/>
      <c r="K1" s="108"/>
      <c r="L1" s="108"/>
      <c r="M1" s="108"/>
      <c r="N1" s="108"/>
    </row>
    <row r="2" spans="1:17" ht="16.5" thickTop="1" x14ac:dyDescent="0.25">
      <c r="B2" s="110" t="str">
        <f>MainOutline!B2</f>
        <v>WB Santa Cruz</v>
      </c>
      <c r="C2" s="111"/>
      <c r="D2" s="111"/>
      <c r="E2" s="111"/>
      <c r="F2" s="111"/>
      <c r="G2" s="111"/>
      <c r="H2" s="111"/>
      <c r="I2" s="508" t="str">
        <f>'A1'!$C$90</f>
        <v>Acquisition of an existing facility</v>
      </c>
      <c r="J2" s="111"/>
      <c r="K2" s="111"/>
      <c r="L2" s="111"/>
      <c r="M2" s="111"/>
      <c r="N2" s="1409">
        <f>$A$3</f>
        <v>49</v>
      </c>
    </row>
    <row r="3" spans="1:17" ht="15.75" x14ac:dyDescent="0.25">
      <c r="A3" s="123">
        <f>MainOutline!B66</f>
        <v>49</v>
      </c>
      <c r="B3" s="102" t="str">
        <f>MainOutline!C66</f>
        <v>Appendix D7</v>
      </c>
      <c r="C3" s="89"/>
      <c r="D3" s="89"/>
      <c r="E3" s="89"/>
      <c r="F3" s="89"/>
      <c r="G3" s="89"/>
      <c r="H3" s="89"/>
      <c r="I3" s="936" t="str">
        <f>IF('A1'!Q2=FALSE,"EXHIBIT NOT USED","")</f>
        <v>EXHIBIT NOT USED</v>
      </c>
      <c r="J3" s="89"/>
      <c r="K3" s="89"/>
      <c r="L3" s="89"/>
      <c r="M3" s="89"/>
      <c r="N3" s="89"/>
    </row>
    <row r="4" spans="1:17" ht="16.5" thickBot="1" x14ac:dyDescent="0.3">
      <c r="B4" s="104" t="s">
        <v>966</v>
      </c>
      <c r="C4" s="97"/>
      <c r="D4" s="97"/>
      <c r="E4" s="97"/>
      <c r="F4" s="97"/>
      <c r="G4" s="97"/>
      <c r="H4" s="97"/>
      <c r="I4" s="97"/>
      <c r="J4" s="97"/>
      <c r="K4" s="97"/>
      <c r="L4" s="97"/>
      <c r="M4" s="97"/>
      <c r="N4" s="138" t="s">
        <v>19</v>
      </c>
      <c r="Q4" s="1" t="s">
        <v>370</v>
      </c>
    </row>
    <row r="5" spans="1:17" ht="15.75" thickTop="1" x14ac:dyDescent="0.25">
      <c r="A5" s="123">
        <f>IF('A1'!B84=1,1,0)</f>
        <v>0</v>
      </c>
      <c r="B5" s="123">
        <f>IF('A1'!Q2=FALSE,0,1)</f>
        <v>0</v>
      </c>
      <c r="Q5" s="1" t="s">
        <v>536</v>
      </c>
    </row>
    <row r="6" spans="1:17" x14ac:dyDescent="0.25">
      <c r="A6" s="123"/>
    </row>
    <row r="7" spans="1:17" ht="17.25" x14ac:dyDescent="0.4">
      <c r="B7" s="81"/>
      <c r="G7" s="642"/>
      <c r="H7" s="642"/>
      <c r="I7" s="642">
        <v>1</v>
      </c>
      <c r="J7" s="642">
        <v>2</v>
      </c>
      <c r="K7" s="642">
        <v>3</v>
      </c>
      <c r="L7" s="642">
        <v>4</v>
      </c>
      <c r="M7" s="642">
        <v>5</v>
      </c>
      <c r="N7" s="642" t="s">
        <v>349</v>
      </c>
    </row>
    <row r="9" spans="1:17" ht="15.75" x14ac:dyDescent="0.25">
      <c r="B9" s="513" t="s">
        <v>609</v>
      </c>
      <c r="C9" s="81"/>
      <c r="D9" s="81"/>
      <c r="E9" s="81"/>
    </row>
    <row r="10" spans="1:17" x14ac:dyDescent="0.25">
      <c r="B10" s="81"/>
      <c r="C10" s="530" t="s">
        <v>371</v>
      </c>
      <c r="D10" s="530"/>
      <c r="E10" s="528"/>
      <c r="F10" s="528"/>
      <c r="G10" s="661"/>
      <c r="H10" s="661"/>
      <c r="I10" s="371">
        <f>'D2'!H38</f>
        <v>0</v>
      </c>
      <c r="J10" s="371">
        <f>'D2'!I38</f>
        <v>0</v>
      </c>
      <c r="K10" s="371">
        <f>'D2'!J38</f>
        <v>0</v>
      </c>
      <c r="L10" s="371">
        <f>'D2'!K38</f>
        <v>0</v>
      </c>
      <c r="M10" s="371">
        <f>'D2'!L38</f>
        <v>0</v>
      </c>
      <c r="N10" s="371">
        <f>'D2'!M38</f>
        <v>0</v>
      </c>
    </row>
    <row r="11" spans="1:17" x14ac:dyDescent="0.25">
      <c r="C11" s="81" t="s">
        <v>369</v>
      </c>
      <c r="D11" s="81"/>
      <c r="E11" s="81"/>
      <c r="F11" s="663">
        <f>'A1'!$AS$55</f>
        <v>0.15</v>
      </c>
      <c r="G11" s="664"/>
      <c r="H11" s="664"/>
      <c r="I11" s="664">
        <f>'D4'!H31</f>
        <v>0.93795101240386625</v>
      </c>
      <c r="J11" s="664">
        <f>'D4'!I31</f>
        <v>0.82037306486627204</v>
      </c>
      <c r="K11" s="664">
        <f>'D4'!J31</f>
        <v>0.71336788249241057</v>
      </c>
      <c r="L11" s="664">
        <f>'D4'!K31</f>
        <v>0.62031989781948749</v>
      </c>
      <c r="M11" s="664">
        <f>'D4'!L31</f>
        <v>0.53940860679955438</v>
      </c>
      <c r="N11" s="664">
        <f>'D4'!M31</f>
        <v>0.53940860679955438</v>
      </c>
    </row>
    <row r="12" spans="1:17" x14ac:dyDescent="0.25">
      <c r="C12" s="81" t="s">
        <v>1035</v>
      </c>
      <c r="D12" s="81"/>
      <c r="E12" s="81"/>
      <c r="G12" s="371"/>
      <c r="H12" s="371"/>
      <c r="I12" s="371">
        <f>I10*I11</f>
        <v>0</v>
      </c>
      <c r="J12" s="371">
        <f>J10*J11</f>
        <v>0</v>
      </c>
      <c r="K12" s="371">
        <f>K10*K11</f>
        <v>0</v>
      </c>
      <c r="L12" s="371">
        <f>L10*L11</f>
        <v>0</v>
      </c>
      <c r="M12" s="371">
        <f>M10*M11</f>
        <v>0</v>
      </c>
      <c r="N12" s="371"/>
    </row>
    <row r="13" spans="1:17" x14ac:dyDescent="0.25">
      <c r="C13" s="81"/>
      <c r="D13" s="81"/>
      <c r="E13" s="81"/>
      <c r="H13" s="25"/>
      <c r="I13" s="25"/>
      <c r="J13" s="25"/>
      <c r="K13" s="25"/>
      <c r="L13" s="25"/>
    </row>
    <row r="14" spans="1:17" ht="17.25" x14ac:dyDescent="0.4">
      <c r="C14" s="81"/>
      <c r="D14" s="81"/>
      <c r="E14" s="81"/>
      <c r="F14" s="665" t="s">
        <v>364</v>
      </c>
      <c r="G14" s="466"/>
      <c r="H14" s="927"/>
      <c r="I14" s="666" t="s">
        <v>367</v>
      </c>
      <c r="J14" s="667"/>
      <c r="K14" s="921"/>
    </row>
    <row r="15" spans="1:17" ht="34.5" x14ac:dyDescent="0.4">
      <c r="C15" s="81"/>
      <c r="D15" s="81"/>
      <c r="E15" s="81"/>
      <c r="F15" s="670" t="s">
        <v>361</v>
      </c>
      <c r="G15" s="101" t="s">
        <v>363</v>
      </c>
      <c r="H15" s="929" t="s">
        <v>362</v>
      </c>
      <c r="I15" s="671" t="s">
        <v>365</v>
      </c>
      <c r="J15" s="672" t="s">
        <v>366</v>
      </c>
      <c r="K15" s="922" t="s">
        <v>13</v>
      </c>
      <c r="M15" s="101" t="s">
        <v>976</v>
      </c>
    </row>
    <row r="16" spans="1:17" x14ac:dyDescent="0.25">
      <c r="C16" s="81"/>
      <c r="D16" s="81"/>
      <c r="E16" s="81"/>
      <c r="F16" s="937">
        <f>N10</f>
        <v>0</v>
      </c>
      <c r="G16" s="277">
        <f>F16/(F11-'A1'!$O$50)</f>
        <v>0</v>
      </c>
      <c r="H16" s="378">
        <f>G16*N11</f>
        <v>0</v>
      </c>
      <c r="I16" s="924">
        <f>SUM(G12:M12)</f>
        <v>0</v>
      </c>
      <c r="J16" s="925">
        <f>H16</f>
        <v>0</v>
      </c>
      <c r="K16" s="926">
        <f>I16+J16</f>
        <v>0</v>
      </c>
      <c r="M16" s="371">
        <f>'D4'!I13</f>
        <v>0</v>
      </c>
    </row>
    <row r="17" spans="2:17" ht="15.75" thickBot="1" x14ac:dyDescent="0.3">
      <c r="B17" s="257"/>
      <c r="C17" s="257"/>
      <c r="D17" s="257"/>
      <c r="E17" s="257"/>
      <c r="F17" s="257"/>
      <c r="G17" s="257"/>
      <c r="H17" s="257"/>
      <c r="I17" s="257"/>
      <c r="J17" s="257"/>
      <c r="K17" s="257"/>
      <c r="L17" s="257"/>
      <c r="M17" s="257"/>
      <c r="N17" s="257"/>
      <c r="O17" s="81"/>
      <c r="P17" s="81"/>
      <c r="Q17" s="81"/>
    </row>
    <row r="18" spans="2:17" ht="15.75" x14ac:dyDescent="0.25">
      <c r="B18" s="513" t="s">
        <v>992</v>
      </c>
      <c r="C18" s="81"/>
      <c r="H18" s="78" t="s">
        <v>601</v>
      </c>
      <c r="I18" s="341" t="s">
        <v>937</v>
      </c>
      <c r="J18" s="341"/>
      <c r="K18" s="341"/>
      <c r="L18" s="341"/>
      <c r="M18" s="341"/>
      <c r="N18" s="341"/>
      <c r="O18" s="81"/>
      <c r="P18" s="81"/>
      <c r="Q18" s="81"/>
    </row>
    <row r="19" spans="2:17" ht="17.25" x14ac:dyDescent="0.4">
      <c r="C19" s="81"/>
      <c r="D19" s="81"/>
      <c r="E19" s="81"/>
      <c r="F19" s="81"/>
      <c r="G19" s="81"/>
      <c r="H19" s="291" t="s">
        <v>993</v>
      </c>
      <c r="I19" s="642">
        <f t="shared" ref="I19:N19" si="0">I7</f>
        <v>1</v>
      </c>
      <c r="J19" s="642">
        <f t="shared" si="0"/>
        <v>2</v>
      </c>
      <c r="K19" s="642">
        <f t="shared" si="0"/>
        <v>3</v>
      </c>
      <c r="L19" s="642">
        <f t="shared" si="0"/>
        <v>4</v>
      </c>
      <c r="M19" s="642">
        <f t="shared" si="0"/>
        <v>5</v>
      </c>
      <c r="N19" s="642" t="str">
        <f t="shared" si="0"/>
        <v>Terminal CF</v>
      </c>
      <c r="O19" s="81"/>
      <c r="P19" s="81"/>
      <c r="Q19" s="81"/>
    </row>
    <row r="20" spans="2:17" x14ac:dyDescent="0.25">
      <c r="C20" s="81" t="s">
        <v>994</v>
      </c>
      <c r="D20" s="81"/>
      <c r="E20" s="81"/>
      <c r="F20" s="81"/>
      <c r="G20" s="81"/>
      <c r="H20" s="759">
        <f>-'A1'!U64</f>
        <v>0</v>
      </c>
      <c r="I20" s="759">
        <f t="shared" ref="I20:N20" si="1">I10</f>
        <v>0</v>
      </c>
      <c r="J20" s="759">
        <f t="shared" si="1"/>
        <v>0</v>
      </c>
      <c r="K20" s="759">
        <f t="shared" si="1"/>
        <v>0</v>
      </c>
      <c r="L20" s="759">
        <f t="shared" si="1"/>
        <v>0</v>
      </c>
      <c r="M20" s="759">
        <f t="shared" si="1"/>
        <v>0</v>
      </c>
      <c r="N20" s="759">
        <f t="shared" si="1"/>
        <v>0</v>
      </c>
      <c r="O20" s="81"/>
      <c r="P20" s="81"/>
      <c r="Q20" s="81"/>
    </row>
    <row r="21" spans="2:17" x14ac:dyDescent="0.25">
      <c r="C21" s="81" t="s">
        <v>995</v>
      </c>
      <c r="D21" s="81"/>
      <c r="E21" s="81"/>
      <c r="F21" s="81"/>
      <c r="G21" s="81"/>
      <c r="H21" s="81">
        <v>0</v>
      </c>
      <c r="I21" s="81">
        <f>'D4'!H27</f>
        <v>0.45833333333333331</v>
      </c>
      <c r="J21" s="81">
        <f>'D4'!I27</f>
        <v>1.4166666666666665</v>
      </c>
      <c r="K21" s="81">
        <f>'D4'!J27</f>
        <v>2.4166666666666665</v>
      </c>
      <c r="L21" s="81">
        <f>'D4'!K27</f>
        <v>3.4166666666666665</v>
      </c>
      <c r="M21" s="81">
        <f>'D4'!L27</f>
        <v>4.4166666666666661</v>
      </c>
      <c r="N21" s="81">
        <f>'D4'!M27</f>
        <v>4.4166666666666661</v>
      </c>
      <c r="O21" s="81"/>
      <c r="P21" s="81"/>
      <c r="Q21" s="81"/>
    </row>
    <row r="22" spans="2:17" x14ac:dyDescent="0.25">
      <c r="C22" s="81" t="s">
        <v>369</v>
      </c>
      <c r="D22" s="81"/>
      <c r="E22" s="81"/>
      <c r="F22" s="1291">
        <f>MacroLinks!D6</f>
        <v>0.15</v>
      </c>
      <c r="G22" s="81"/>
      <c r="H22" s="81">
        <f>1/(1+$F$22)^H21</f>
        <v>1</v>
      </c>
      <c r="I22" s="81">
        <f t="shared" ref="I22:N22" si="2">1/(1+$F$22)^I21</f>
        <v>0.93795101240386625</v>
      </c>
      <c r="J22" s="81">
        <f t="shared" si="2"/>
        <v>0.82037306486627204</v>
      </c>
      <c r="K22" s="81">
        <f t="shared" si="2"/>
        <v>0.71336788249241057</v>
      </c>
      <c r="L22" s="81">
        <f t="shared" si="2"/>
        <v>0.62031989781948749</v>
      </c>
      <c r="M22" s="81">
        <f t="shared" si="2"/>
        <v>0.53940860679955438</v>
      </c>
      <c r="N22" s="81">
        <f t="shared" si="2"/>
        <v>0.53940860679955438</v>
      </c>
      <c r="O22" s="81"/>
      <c r="P22" s="81"/>
      <c r="Q22" s="81"/>
    </row>
    <row r="23" spans="2:17" x14ac:dyDescent="0.25">
      <c r="C23" s="81" t="s">
        <v>996</v>
      </c>
      <c r="D23" s="81"/>
      <c r="E23" s="81"/>
      <c r="F23" s="81"/>
      <c r="G23" s="81"/>
      <c r="H23" s="759">
        <f t="shared" ref="H23:M23" si="3">H20*H22</f>
        <v>0</v>
      </c>
      <c r="I23" s="759">
        <f t="shared" si="3"/>
        <v>0</v>
      </c>
      <c r="J23" s="759">
        <f t="shared" si="3"/>
        <v>0</v>
      </c>
      <c r="K23" s="759">
        <f t="shared" si="3"/>
        <v>0</v>
      </c>
      <c r="L23" s="759">
        <f t="shared" si="3"/>
        <v>0</v>
      </c>
      <c r="M23" s="759">
        <f t="shared" si="3"/>
        <v>0</v>
      </c>
      <c r="N23" s="81"/>
      <c r="O23" s="81"/>
      <c r="P23" s="81"/>
      <c r="Q23" s="81"/>
    </row>
    <row r="24" spans="2:17" x14ac:dyDescent="0.25">
      <c r="C24" s="81"/>
      <c r="D24" s="81"/>
      <c r="E24" s="81"/>
      <c r="F24" s="81"/>
      <c r="G24" s="81"/>
      <c r="H24" s="81"/>
      <c r="I24" s="81"/>
      <c r="J24" s="81"/>
      <c r="K24" s="81"/>
      <c r="L24" s="81"/>
      <c r="M24" s="81"/>
      <c r="N24" s="81"/>
      <c r="O24" s="81"/>
      <c r="P24" s="81"/>
      <c r="Q24" s="81"/>
    </row>
    <row r="25" spans="2:17" ht="17.25" x14ac:dyDescent="0.4">
      <c r="C25" s="81"/>
      <c r="D25" s="81"/>
      <c r="E25" s="81"/>
      <c r="F25" s="665" t="s">
        <v>364</v>
      </c>
      <c r="G25" s="466"/>
      <c r="H25" s="927"/>
      <c r="I25" s="666" t="s">
        <v>367</v>
      </c>
      <c r="J25" s="667"/>
      <c r="K25" s="921"/>
      <c r="L25" s="81"/>
      <c r="M25" s="81"/>
      <c r="N25" s="81"/>
      <c r="O25" s="81"/>
      <c r="P25" s="81"/>
      <c r="Q25" s="81"/>
    </row>
    <row r="26" spans="2:17" ht="34.5" x14ac:dyDescent="0.4">
      <c r="C26" s="81"/>
      <c r="D26" s="81"/>
      <c r="E26" s="81"/>
      <c r="F26" s="670" t="s">
        <v>361</v>
      </c>
      <c r="G26" s="101" t="s">
        <v>363</v>
      </c>
      <c r="H26" s="929" t="s">
        <v>362</v>
      </c>
      <c r="I26" s="671" t="s">
        <v>365</v>
      </c>
      <c r="J26" s="672" t="s">
        <v>366</v>
      </c>
      <c r="K26" s="922" t="s">
        <v>13</v>
      </c>
      <c r="L26" s="81"/>
      <c r="M26" s="81"/>
      <c r="N26" s="81"/>
      <c r="O26" s="81"/>
      <c r="P26" s="81"/>
      <c r="Q26" s="81"/>
    </row>
    <row r="27" spans="2:17" x14ac:dyDescent="0.25">
      <c r="C27" s="81"/>
      <c r="D27" s="81"/>
      <c r="E27" s="81"/>
      <c r="F27" s="937">
        <f>N20</f>
        <v>0</v>
      </c>
      <c r="G27" s="277">
        <f>F27/(F22-'A1'!$O$50)</f>
        <v>0</v>
      </c>
      <c r="H27" s="378">
        <f>G27*N22</f>
        <v>0</v>
      </c>
      <c r="I27" s="924">
        <f>SUM(H23:M23)</f>
        <v>0</v>
      </c>
      <c r="J27" s="925">
        <f>H27</f>
        <v>0</v>
      </c>
      <c r="K27" s="926">
        <f>I27+J27</f>
        <v>0</v>
      </c>
      <c r="L27" s="81"/>
      <c r="M27" s="81"/>
      <c r="N27" s="81"/>
      <c r="O27" s="81"/>
      <c r="P27" s="81"/>
      <c r="Q27" s="81"/>
    </row>
    <row r="28" spans="2:17" ht="15.75" thickBot="1" x14ac:dyDescent="0.3">
      <c r="B28" s="257"/>
      <c r="C28" s="257"/>
      <c r="D28" s="257"/>
      <c r="E28" s="257"/>
      <c r="F28" s="257"/>
      <c r="G28" s="257"/>
      <c r="H28" s="257"/>
      <c r="I28" s="257"/>
      <c r="J28" s="257"/>
      <c r="K28" s="257"/>
      <c r="L28" s="257"/>
      <c r="M28" s="257"/>
      <c r="N28" s="257"/>
    </row>
    <row r="29" spans="2:17" ht="15.75" x14ac:dyDescent="0.25">
      <c r="B29" s="513" t="s">
        <v>610</v>
      </c>
      <c r="C29" s="81"/>
    </row>
    <row r="30" spans="2:17" x14ac:dyDescent="0.25">
      <c r="I30" s="938"/>
      <c r="J30" s="939"/>
      <c r="K30" s="939"/>
      <c r="L30" s="940"/>
      <c r="M30" s="941"/>
    </row>
    <row r="31" spans="2:17" x14ac:dyDescent="0.25">
      <c r="D31" s="1" t="s">
        <v>557</v>
      </c>
      <c r="F31" s="80">
        <f>'A1'!V61</f>
        <v>0</v>
      </c>
      <c r="I31" s="942" t="s">
        <v>520</v>
      </c>
      <c r="J31" s="943"/>
      <c r="K31" s="943"/>
      <c r="L31" s="428">
        <f>K16</f>
        <v>0</v>
      </c>
      <c r="M31" s="944"/>
    </row>
    <row r="32" spans="2:17" x14ac:dyDescent="0.25">
      <c r="D32" s="1" t="s">
        <v>560</v>
      </c>
      <c r="F32" s="934">
        <f>M16</f>
        <v>0</v>
      </c>
      <c r="I32" s="945" t="s">
        <v>562</v>
      </c>
      <c r="J32" s="946"/>
      <c r="K32" s="946"/>
      <c r="L32" s="1251" t="e">
        <f>L$31/F31</f>
        <v>#DIV/0!</v>
      </c>
      <c r="M32" s="944"/>
    </row>
    <row r="33" spans="3:14" x14ac:dyDescent="0.25">
      <c r="D33" s="1" t="s">
        <v>561</v>
      </c>
      <c r="F33" s="80">
        <f>F31+F32</f>
        <v>0</v>
      </c>
      <c r="I33" s="947" t="s">
        <v>563</v>
      </c>
      <c r="J33" s="948"/>
      <c r="K33" s="948"/>
      <c r="L33" s="1252" t="e">
        <f>L$31/F33</f>
        <v>#DIV/0!</v>
      </c>
      <c r="M33" s="949"/>
    </row>
    <row r="35" spans="3:14" x14ac:dyDescent="0.25">
      <c r="C35" s="81"/>
      <c r="D35" s="81"/>
      <c r="E35" s="81"/>
      <c r="H35" s="25"/>
      <c r="I35" s="25"/>
      <c r="J35" s="25"/>
      <c r="K35" s="25"/>
      <c r="L35" s="25"/>
      <c r="M35" s="25"/>
      <c r="N35" s="25"/>
    </row>
  </sheetData>
  <conditionalFormatting sqref="B12:H16 B11:E11 G11:H11 O17:Q19 B19:G19 H18 B9:H10 I9:N12 B20:Q24 B25:E27 L25:Q27">
    <cfRule type="expression" dxfId="49" priority="8">
      <formula>$B$5=0</formula>
    </cfRule>
  </conditionalFormatting>
  <conditionalFormatting sqref="I14:K16">
    <cfRule type="expression" dxfId="48" priority="6">
      <formula>$B$5=0</formula>
    </cfRule>
  </conditionalFormatting>
  <conditionalFormatting sqref="F11">
    <cfRule type="expression" dxfId="47" priority="5">
      <formula>$B$5=0</formula>
    </cfRule>
  </conditionalFormatting>
  <conditionalFormatting sqref="M15:M16">
    <cfRule type="expression" dxfId="46" priority="4">
      <formula>$B$5=0</formula>
    </cfRule>
  </conditionalFormatting>
  <conditionalFormatting sqref="F25:H27">
    <cfRule type="expression" dxfId="45" priority="2">
      <formula>$B$5=0</formula>
    </cfRule>
  </conditionalFormatting>
  <conditionalFormatting sqref="I25:K27">
    <cfRule type="expression" dxfId="44" priority="1">
      <formula>$B$5=0</formula>
    </cfRule>
  </conditionalFormatting>
  <pageMargins left="0.7" right="0.7" top="0.75" bottom="0.75" header="0.3" footer="0.3"/>
  <pageSetup scale="92" orientation="landscape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>
    <tabColor rgb="FFFFC000"/>
    <pageSetUpPr fitToPage="1"/>
  </sheetPr>
  <dimension ref="A1:V31"/>
  <sheetViews>
    <sheetView showGridLines="0" view="pageBreakPreview" zoomScale="90" zoomScaleNormal="80" zoomScaleSheetLayoutView="90" workbookViewId="0"/>
  </sheetViews>
  <sheetFormatPr defaultColWidth="9.42578125" defaultRowHeight="15" x14ac:dyDescent="0.25"/>
  <cols>
    <col min="1" max="1" width="1.5703125" style="1" customWidth="1"/>
    <col min="2" max="2" width="10.42578125" style="173" customWidth="1"/>
    <col min="3" max="3" width="8" style="1" customWidth="1"/>
    <col min="4" max="4" width="4" style="1" customWidth="1"/>
    <col min="5" max="6" width="12.42578125" style="1" customWidth="1"/>
    <col min="7" max="7" width="4.5703125" style="528" customWidth="1"/>
    <col min="8" max="8" width="19.85546875" style="528" customWidth="1"/>
    <col min="9" max="9" width="19.85546875" style="1" customWidth="1"/>
    <col min="10" max="10" width="3.5703125" style="1" customWidth="1"/>
    <col min="11" max="12" width="5.5703125" style="1" customWidth="1"/>
    <col min="13" max="13" width="4.42578125" style="1" customWidth="1"/>
    <col min="14" max="15" width="5.5703125" style="1" customWidth="1"/>
    <col min="16" max="16" width="4.42578125" style="1" customWidth="1"/>
    <col min="17" max="18" width="5.5703125" style="1" customWidth="1"/>
    <col min="19" max="19" width="4.42578125" style="1" customWidth="1"/>
    <col min="20" max="21" width="7.5703125" style="1" customWidth="1"/>
    <col min="22" max="16384" width="9.42578125" style="1"/>
  </cols>
  <sheetData>
    <row r="1" spans="1:22" ht="6" customHeight="1" thickBot="1" x14ac:dyDescent="0.3">
      <c r="B1" s="1"/>
      <c r="C1" s="108"/>
      <c r="D1" s="108"/>
      <c r="E1" s="950"/>
      <c r="F1" s="108"/>
      <c r="G1" s="106"/>
      <c r="H1" s="106"/>
      <c r="U1" s="106"/>
    </row>
    <row r="2" spans="1:22" ht="16.5" thickTop="1" x14ac:dyDescent="0.25">
      <c r="B2" s="110" t="str">
        <f>MainOutline!B2</f>
        <v>WB Santa Cruz</v>
      </c>
      <c r="C2" s="111"/>
      <c r="D2" s="111"/>
      <c r="E2" s="506"/>
      <c r="F2" s="508" t="str">
        <f>'A1'!$C$90</f>
        <v>Acquisition of an existing facility</v>
      </c>
      <c r="G2" s="952"/>
      <c r="H2" s="952"/>
      <c r="I2" s="952"/>
      <c r="J2" s="952"/>
      <c r="K2" s="952"/>
      <c r="L2" s="952"/>
      <c r="M2" s="952"/>
      <c r="N2" s="952"/>
      <c r="O2" s="952"/>
      <c r="P2" s="952"/>
      <c r="Q2" s="952"/>
      <c r="R2" s="952"/>
      <c r="S2" s="952"/>
      <c r="T2" s="1700">
        <f>A3</f>
        <v>50</v>
      </c>
      <c r="U2" s="1700"/>
    </row>
    <row r="3" spans="1:22" ht="15.75" x14ac:dyDescent="0.25">
      <c r="A3" s="123">
        <f>MainOutline!B67</f>
        <v>50</v>
      </c>
      <c r="B3" s="102" t="str">
        <f>MainOutline!C67</f>
        <v>Appendix D8</v>
      </c>
      <c r="C3" s="89"/>
      <c r="D3" s="89"/>
      <c r="E3" s="509"/>
      <c r="F3" s="89"/>
      <c r="G3" s="953"/>
      <c r="H3" s="953"/>
      <c r="I3" s="953"/>
      <c r="J3" s="953"/>
      <c r="K3" s="953"/>
      <c r="L3" s="953"/>
      <c r="M3" s="953"/>
      <c r="N3" s="953"/>
      <c r="O3" s="953"/>
      <c r="P3" s="953"/>
      <c r="Q3" s="953"/>
      <c r="R3" s="953"/>
      <c r="S3" s="953"/>
      <c r="T3" s="953"/>
      <c r="U3" s="953"/>
    </row>
    <row r="4" spans="1:22" ht="16.5" thickBot="1" x14ac:dyDescent="0.3">
      <c r="B4" s="104" t="s">
        <v>605</v>
      </c>
      <c r="C4" s="97"/>
      <c r="D4" s="97"/>
      <c r="E4" s="510"/>
      <c r="F4" s="97"/>
      <c r="G4" s="954"/>
      <c r="H4" s="954"/>
      <c r="I4" s="954"/>
      <c r="J4" s="954"/>
      <c r="K4" s="954"/>
      <c r="L4" s="954"/>
      <c r="M4" s="954"/>
      <c r="N4" s="954"/>
      <c r="O4" s="954"/>
      <c r="P4" s="954"/>
      <c r="Q4" s="954"/>
      <c r="R4" s="954"/>
      <c r="S4" s="954"/>
      <c r="T4" s="954"/>
      <c r="U4" s="138" t="s">
        <v>19</v>
      </c>
    </row>
    <row r="5" spans="1:22" ht="15.75" thickTop="1" x14ac:dyDescent="0.25">
      <c r="A5" s="844">
        <f>IF('A1'!$B$84=1,1,0)</f>
        <v>0</v>
      </c>
      <c r="B5" s="1"/>
      <c r="E5" s="173"/>
    </row>
    <row r="6" spans="1:22" x14ac:dyDescent="0.25">
      <c r="A6" s="844"/>
      <c r="B6" s="1"/>
      <c r="E6" s="173"/>
    </row>
    <row r="7" spans="1:22" x14ac:dyDescent="0.25">
      <c r="A7" s="844"/>
      <c r="B7" s="955" t="s">
        <v>600</v>
      </c>
      <c r="C7" s="956"/>
      <c r="D7" s="956"/>
      <c r="E7" s="957">
        <f>SUM(T14:T30,Q14:Q30)-1</f>
        <v>2.7888469938732587</v>
      </c>
      <c r="F7" s="958" t="e">
        <f>SUM(U14:U30,R14:R30)-1</f>
        <v>#DIV/0!</v>
      </c>
      <c r="K7" s="363" t="s">
        <v>611</v>
      </c>
    </row>
    <row r="8" spans="1:22" x14ac:dyDescent="0.25">
      <c r="A8" s="844"/>
      <c r="B8" s="1"/>
      <c r="E8" s="173"/>
    </row>
    <row r="9" spans="1:22" x14ac:dyDescent="0.25">
      <c r="A9" s="844"/>
      <c r="B9" s="1"/>
      <c r="E9" s="173"/>
    </row>
    <row r="10" spans="1:22" s="268" customFormat="1" ht="17.25" x14ac:dyDescent="0.4">
      <c r="B10" s="381"/>
      <c r="E10" s="292" t="s">
        <v>602</v>
      </c>
      <c r="F10" s="292"/>
      <c r="G10" s="528"/>
      <c r="H10" s="292" t="s">
        <v>887</v>
      </c>
      <c r="I10" s="292"/>
      <c r="K10" s="292" t="s">
        <v>603</v>
      </c>
      <c r="L10" s="292"/>
      <c r="N10" s="292" t="s">
        <v>194</v>
      </c>
      <c r="O10" s="292"/>
      <c r="Q10" s="292" t="s">
        <v>612</v>
      </c>
      <c r="R10" s="292"/>
      <c r="T10" s="292" t="s">
        <v>604</v>
      </c>
      <c r="U10" s="292"/>
    </row>
    <row r="11" spans="1:22" s="101" customFormat="1" ht="49.5" customHeight="1" x14ac:dyDescent="0.4">
      <c r="C11" s="101" t="s">
        <v>194</v>
      </c>
      <c r="E11" s="101" t="s">
        <v>11</v>
      </c>
      <c r="F11" s="101" t="s">
        <v>511</v>
      </c>
      <c r="G11" s="528"/>
      <c r="H11" s="959" t="str">
        <f>E11</f>
        <v>Satellite Healthcare</v>
      </c>
      <c r="I11" s="959" t="str">
        <f>F11</f>
        <v>Partner</v>
      </c>
    </row>
    <row r="12" spans="1:22" x14ac:dyDescent="0.25">
      <c r="A12" s="81"/>
      <c r="B12" s="1" t="s">
        <v>601</v>
      </c>
      <c r="C12" s="173">
        <v>0</v>
      </c>
      <c r="D12" s="173"/>
      <c r="E12" s="371">
        <f>'A1'!T64</f>
        <v>639.82006616561944</v>
      </c>
      <c r="F12" s="371">
        <f>'A1'!U64</f>
        <v>0</v>
      </c>
      <c r="J12" s="82"/>
      <c r="K12" s="82"/>
      <c r="L12" s="82"/>
    </row>
    <row r="13" spans="1:22" x14ac:dyDescent="0.25">
      <c r="A13" s="81"/>
      <c r="B13" s="1"/>
      <c r="C13" s="173"/>
      <c r="D13" s="173"/>
      <c r="E13" s="371"/>
      <c r="F13" s="371"/>
      <c r="G13" s="1"/>
      <c r="H13" s="960"/>
      <c r="I13" s="528"/>
      <c r="J13" s="82"/>
      <c r="K13" s="82"/>
      <c r="L13" s="82"/>
    </row>
    <row r="14" spans="1:22" x14ac:dyDescent="0.25">
      <c r="A14" s="81"/>
      <c r="B14" s="1" t="s">
        <v>274</v>
      </c>
      <c r="C14" s="1294">
        <f>'A1'!Q37/12*$A$5</f>
        <v>0</v>
      </c>
      <c r="D14" s="173"/>
      <c r="E14" s="371">
        <v>0</v>
      </c>
      <c r="F14" s="371">
        <v>0</v>
      </c>
      <c r="G14" s="1"/>
      <c r="H14" s="961">
        <f>E14-E12</f>
        <v>-639.82006616561944</v>
      </c>
      <c r="I14" s="961">
        <f>F14-F12</f>
        <v>0</v>
      </c>
      <c r="J14" s="82"/>
      <c r="K14" s="979">
        <f>IF(H14&gt;0,1,0)</f>
        <v>0</v>
      </c>
      <c r="L14" s="979">
        <f>IF(I14&gt;0,1,0)</f>
        <v>0</v>
      </c>
      <c r="M14" s="980"/>
      <c r="N14" s="979">
        <f>IF(K14=1,1,0)</f>
        <v>0</v>
      </c>
      <c r="O14" s="979">
        <f>IF(L14=1,1,0)</f>
        <v>0</v>
      </c>
      <c r="P14" s="980"/>
      <c r="Q14" s="981">
        <f>$C14</f>
        <v>0</v>
      </c>
      <c r="R14" s="981">
        <f>$C14</f>
        <v>0</v>
      </c>
      <c r="S14" s="980"/>
      <c r="T14" s="981">
        <f>IF(N14=1,H14-E$12,0)</f>
        <v>0</v>
      </c>
      <c r="U14" s="981">
        <f>IF(O14=1,I14-F$12,0)</f>
        <v>0</v>
      </c>
      <c r="V14" s="1" t="s">
        <v>1002</v>
      </c>
    </row>
    <row r="15" spans="1:22" x14ac:dyDescent="0.25">
      <c r="A15" s="81"/>
      <c r="B15" s="1" t="s">
        <v>73</v>
      </c>
      <c r="C15" s="1294">
        <f>'A1'!Q38/12*$A$5</f>
        <v>0</v>
      </c>
      <c r="D15" s="173"/>
      <c r="E15" s="371">
        <v>0</v>
      </c>
      <c r="F15" s="371">
        <v>0</v>
      </c>
      <c r="G15" s="1"/>
      <c r="H15" s="961">
        <f t="shared" ref="H15:H30" si="0">H14+E15</f>
        <v>-639.82006616561944</v>
      </c>
      <c r="I15" s="961">
        <f t="shared" ref="I15:I30" si="1">I14+F15</f>
        <v>0</v>
      </c>
      <c r="J15" s="82"/>
      <c r="K15" s="979">
        <f t="shared" ref="K15:L19" si="2">IF(H15&gt;=0,1,0)</f>
        <v>0</v>
      </c>
      <c r="L15" s="979">
        <f t="shared" si="2"/>
        <v>1</v>
      </c>
      <c r="M15" s="980"/>
      <c r="N15" s="979">
        <f t="shared" ref="N15:N30" si="3">IF(AND(K14=0,K15=1),1,0)</f>
        <v>0</v>
      </c>
      <c r="O15" s="979">
        <f t="shared" ref="O15:O30" si="4">IF(AND(L14=0,L15=1),1,0)</f>
        <v>1</v>
      </c>
      <c r="P15" s="980"/>
      <c r="Q15" s="981">
        <f>$C15</f>
        <v>0</v>
      </c>
      <c r="R15" s="981">
        <f>$C15</f>
        <v>0</v>
      </c>
      <c r="S15" s="980"/>
      <c r="T15" s="981">
        <f t="shared" ref="T15:T30" si="5">IF(N15=1,1-H15/E15,0)</f>
        <v>0</v>
      </c>
      <c r="U15" s="981" t="e">
        <f>IF(O15=1,(F$12-I14)/F15,0)</f>
        <v>#DIV/0!</v>
      </c>
      <c r="V15" s="1" t="s">
        <v>1002</v>
      </c>
    </row>
    <row r="16" spans="1:22" x14ac:dyDescent="0.25">
      <c r="A16" s="81"/>
      <c r="B16" s="1"/>
      <c r="C16" s="1294">
        <v>1</v>
      </c>
      <c r="D16" s="173"/>
      <c r="E16" s="371">
        <f t="array" ref="E16:E21">TRANSPOSE('D6'!$I$10:$N$10)</f>
        <v>313.50840208120678</v>
      </c>
      <c r="F16" s="371">
        <f t="array" ref="F16:F21">TRANSPOSE('D7'!$I$10:$N$10)</f>
        <v>0</v>
      </c>
      <c r="G16" s="1"/>
      <c r="H16" s="961">
        <f t="shared" si="0"/>
        <v>-326.31166408441266</v>
      </c>
      <c r="I16" s="961">
        <f t="shared" si="1"/>
        <v>0</v>
      </c>
      <c r="K16" s="979">
        <f t="shared" si="2"/>
        <v>0</v>
      </c>
      <c r="L16" s="979">
        <f t="shared" si="2"/>
        <v>1</v>
      </c>
      <c r="M16" s="980"/>
      <c r="N16" s="979">
        <f t="shared" si="3"/>
        <v>0</v>
      </c>
      <c r="O16" s="979">
        <f t="shared" si="4"/>
        <v>0</v>
      </c>
      <c r="P16" s="980"/>
      <c r="Q16" s="981">
        <f t="shared" ref="Q16:Q30" si="6">IF(N16=1,$C16,0)</f>
        <v>0</v>
      </c>
      <c r="R16" s="981">
        <f t="shared" ref="R16:R30" si="7">IF(O16=1,$C16,0)</f>
        <v>0</v>
      </c>
      <c r="S16" s="980"/>
      <c r="T16" s="981">
        <f t="shared" si="5"/>
        <v>0</v>
      </c>
      <c r="U16" s="981">
        <f t="shared" ref="U16:U30" si="8">IF(O16=1,1-I16/F16,0)</f>
        <v>0</v>
      </c>
    </row>
    <row r="17" spans="1:21" x14ac:dyDescent="0.25">
      <c r="A17" s="81"/>
      <c r="C17" s="1294">
        <f>C16+1</f>
        <v>2</v>
      </c>
      <c r="D17" s="173"/>
      <c r="E17" s="371">
        <v>64.168572149815191</v>
      </c>
      <c r="F17" s="371">
        <v>0</v>
      </c>
      <c r="G17" s="1"/>
      <c r="H17" s="961">
        <f t="shared" si="0"/>
        <v>-262.14309193459746</v>
      </c>
      <c r="I17" s="961">
        <f t="shared" si="1"/>
        <v>0</v>
      </c>
      <c r="K17" s="979">
        <f t="shared" si="2"/>
        <v>0</v>
      </c>
      <c r="L17" s="979">
        <f t="shared" si="2"/>
        <v>1</v>
      </c>
      <c r="M17" s="980"/>
      <c r="N17" s="979">
        <f t="shared" si="3"/>
        <v>0</v>
      </c>
      <c r="O17" s="979">
        <f t="shared" si="4"/>
        <v>0</v>
      </c>
      <c r="P17" s="980"/>
      <c r="Q17" s="981">
        <f t="shared" si="6"/>
        <v>0</v>
      </c>
      <c r="R17" s="981">
        <f t="shared" si="7"/>
        <v>0</v>
      </c>
      <c r="S17" s="980"/>
      <c r="T17" s="981">
        <f t="shared" si="5"/>
        <v>0</v>
      </c>
      <c r="U17" s="981">
        <f t="shared" si="8"/>
        <v>0</v>
      </c>
    </row>
    <row r="18" spans="1:21" x14ac:dyDescent="0.25">
      <c r="A18" s="81"/>
      <c r="C18" s="1294">
        <f t="shared" ref="C18:C30" si="9">C17+1</f>
        <v>3</v>
      </c>
      <c r="D18" s="173"/>
      <c r="E18" s="371">
        <v>332.31170806326861</v>
      </c>
      <c r="F18" s="371">
        <v>0</v>
      </c>
      <c r="G18" s="1"/>
      <c r="H18" s="961">
        <f t="shared" si="0"/>
        <v>70.168616128671147</v>
      </c>
      <c r="I18" s="961">
        <f t="shared" si="1"/>
        <v>0</v>
      </c>
      <c r="K18" s="979">
        <f t="shared" si="2"/>
        <v>1</v>
      </c>
      <c r="L18" s="979">
        <f t="shared" si="2"/>
        <v>1</v>
      </c>
      <c r="M18" s="980"/>
      <c r="N18" s="979">
        <f t="shared" si="3"/>
        <v>1</v>
      </c>
      <c r="O18" s="979">
        <f t="shared" si="4"/>
        <v>0</v>
      </c>
      <c r="P18" s="980"/>
      <c r="Q18" s="981">
        <f t="shared" si="6"/>
        <v>3</v>
      </c>
      <c r="R18" s="981">
        <f t="shared" si="7"/>
        <v>0</v>
      </c>
      <c r="S18" s="980"/>
      <c r="T18" s="981">
        <f t="shared" si="5"/>
        <v>0.78884699387325896</v>
      </c>
      <c r="U18" s="981">
        <f t="shared" si="8"/>
        <v>0</v>
      </c>
    </row>
    <row r="19" spans="1:21" x14ac:dyDescent="0.25">
      <c r="A19" s="81"/>
      <c r="C19" s="1294">
        <f t="shared" si="9"/>
        <v>4</v>
      </c>
      <c r="D19" s="173"/>
      <c r="E19" s="371">
        <v>249.03806397788344</v>
      </c>
      <c r="F19" s="371">
        <v>0</v>
      </c>
      <c r="G19" s="1"/>
      <c r="H19" s="961">
        <f t="shared" si="0"/>
        <v>319.20668010655459</v>
      </c>
      <c r="I19" s="961">
        <f t="shared" si="1"/>
        <v>0</v>
      </c>
      <c r="K19" s="979">
        <f t="shared" si="2"/>
        <v>1</v>
      </c>
      <c r="L19" s="979">
        <f t="shared" si="2"/>
        <v>1</v>
      </c>
      <c r="M19" s="980"/>
      <c r="N19" s="979">
        <f t="shared" si="3"/>
        <v>0</v>
      </c>
      <c r="O19" s="979">
        <f t="shared" si="4"/>
        <v>0</v>
      </c>
      <c r="P19" s="980"/>
      <c r="Q19" s="981">
        <f t="shared" si="6"/>
        <v>0</v>
      </c>
      <c r="R19" s="981">
        <f t="shared" si="7"/>
        <v>0</v>
      </c>
      <c r="S19" s="980"/>
      <c r="T19" s="981">
        <f t="shared" si="5"/>
        <v>0</v>
      </c>
      <c r="U19" s="981">
        <f t="shared" si="8"/>
        <v>0</v>
      </c>
    </row>
    <row r="20" spans="1:21" x14ac:dyDescent="0.25">
      <c r="A20" s="81"/>
      <c r="C20" s="1294">
        <f t="shared" si="9"/>
        <v>5</v>
      </c>
      <c r="D20" s="173"/>
      <c r="E20" s="371">
        <v>189.95335959772797</v>
      </c>
      <c r="F20" s="371">
        <v>0</v>
      </c>
      <c r="G20" s="1"/>
      <c r="H20" s="961">
        <f t="shared" si="0"/>
        <v>509.16003970428255</v>
      </c>
      <c r="I20" s="961">
        <f t="shared" si="1"/>
        <v>0</v>
      </c>
      <c r="K20" s="979">
        <f t="shared" ref="K20:K30" si="10">IF(H20&gt;=0,1,0)</f>
        <v>1</v>
      </c>
      <c r="L20" s="979">
        <f t="shared" ref="L20:L30" si="11">IF(I20&gt;=0,1,0)</f>
        <v>1</v>
      </c>
      <c r="M20" s="980"/>
      <c r="N20" s="979">
        <f t="shared" si="3"/>
        <v>0</v>
      </c>
      <c r="O20" s="979">
        <f t="shared" si="4"/>
        <v>0</v>
      </c>
      <c r="P20" s="980"/>
      <c r="Q20" s="981">
        <f t="shared" si="6"/>
        <v>0</v>
      </c>
      <c r="R20" s="981">
        <f t="shared" si="7"/>
        <v>0</v>
      </c>
      <c r="S20" s="980"/>
      <c r="T20" s="981">
        <f t="shared" si="5"/>
        <v>0</v>
      </c>
      <c r="U20" s="981">
        <f t="shared" si="8"/>
        <v>0</v>
      </c>
    </row>
    <row r="21" spans="1:21" x14ac:dyDescent="0.25">
      <c r="A21" s="81"/>
      <c r="C21" s="1314">
        <f t="shared" si="9"/>
        <v>6</v>
      </c>
      <c r="D21" s="179"/>
      <c r="E21" s="277">
        <v>77.833421232682554</v>
      </c>
      <c r="F21" s="277">
        <v>0</v>
      </c>
      <c r="G21" s="1"/>
      <c r="H21" s="961">
        <f t="shared" si="0"/>
        <v>586.99346093696511</v>
      </c>
      <c r="I21" s="961">
        <f t="shared" si="1"/>
        <v>0</v>
      </c>
      <c r="K21" s="979">
        <f t="shared" si="10"/>
        <v>1</v>
      </c>
      <c r="L21" s="979">
        <f t="shared" si="11"/>
        <v>1</v>
      </c>
      <c r="M21" s="980"/>
      <c r="N21" s="979">
        <f t="shared" si="3"/>
        <v>0</v>
      </c>
      <c r="O21" s="979">
        <f t="shared" si="4"/>
        <v>0</v>
      </c>
      <c r="P21" s="980"/>
      <c r="Q21" s="981">
        <f t="shared" si="6"/>
        <v>0</v>
      </c>
      <c r="R21" s="981">
        <f t="shared" si="7"/>
        <v>0</v>
      </c>
      <c r="S21" s="980"/>
      <c r="T21" s="981">
        <f t="shared" si="5"/>
        <v>0</v>
      </c>
      <c r="U21" s="981">
        <f t="shared" si="8"/>
        <v>0</v>
      </c>
    </row>
    <row r="22" spans="1:21" x14ac:dyDescent="0.25">
      <c r="A22" s="81"/>
      <c r="C22" s="1294">
        <f t="shared" si="9"/>
        <v>7</v>
      </c>
      <c r="D22" s="173"/>
      <c r="E22" s="371">
        <f>E21*(1+'A1'!$O$50)</f>
        <v>80.16842386966303</v>
      </c>
      <c r="F22" s="371">
        <f>F21*(1+'A1'!$O$50)</f>
        <v>0</v>
      </c>
      <c r="G22" s="1"/>
      <c r="H22" s="961">
        <f t="shared" si="0"/>
        <v>667.16188480662811</v>
      </c>
      <c r="I22" s="961">
        <f t="shared" si="1"/>
        <v>0</v>
      </c>
      <c r="K22" s="979">
        <f t="shared" si="10"/>
        <v>1</v>
      </c>
      <c r="L22" s="979">
        <f t="shared" si="11"/>
        <v>1</v>
      </c>
      <c r="M22" s="980"/>
      <c r="N22" s="979">
        <f t="shared" si="3"/>
        <v>0</v>
      </c>
      <c r="O22" s="979">
        <f t="shared" si="4"/>
        <v>0</v>
      </c>
      <c r="P22" s="980"/>
      <c r="Q22" s="981">
        <f t="shared" si="6"/>
        <v>0</v>
      </c>
      <c r="R22" s="981">
        <f t="shared" si="7"/>
        <v>0</v>
      </c>
      <c r="S22" s="980"/>
      <c r="T22" s="981">
        <f t="shared" si="5"/>
        <v>0</v>
      </c>
      <c r="U22" s="981">
        <f t="shared" si="8"/>
        <v>0</v>
      </c>
    </row>
    <row r="23" spans="1:21" x14ac:dyDescent="0.25">
      <c r="A23" s="81"/>
      <c r="C23" s="1294">
        <f t="shared" si="9"/>
        <v>8</v>
      </c>
      <c r="D23" s="173"/>
      <c r="E23" s="371">
        <f>E22*(1+'A1'!$O$50)</f>
        <v>82.573476585752928</v>
      </c>
      <c r="F23" s="371">
        <f>F22*(1+'A1'!$O$50)</f>
        <v>0</v>
      </c>
      <c r="G23" s="1"/>
      <c r="H23" s="961">
        <f t="shared" si="0"/>
        <v>749.73536139238104</v>
      </c>
      <c r="I23" s="961">
        <f t="shared" si="1"/>
        <v>0</v>
      </c>
      <c r="K23" s="979">
        <f t="shared" si="10"/>
        <v>1</v>
      </c>
      <c r="L23" s="979">
        <f t="shared" si="11"/>
        <v>1</v>
      </c>
      <c r="M23" s="980"/>
      <c r="N23" s="979">
        <f t="shared" si="3"/>
        <v>0</v>
      </c>
      <c r="O23" s="979">
        <f t="shared" si="4"/>
        <v>0</v>
      </c>
      <c r="P23" s="980"/>
      <c r="Q23" s="981">
        <f t="shared" si="6"/>
        <v>0</v>
      </c>
      <c r="R23" s="981">
        <f t="shared" si="7"/>
        <v>0</v>
      </c>
      <c r="S23" s="980"/>
      <c r="T23" s="981">
        <f t="shared" si="5"/>
        <v>0</v>
      </c>
      <c r="U23" s="981">
        <f t="shared" si="8"/>
        <v>0</v>
      </c>
    </row>
    <row r="24" spans="1:21" x14ac:dyDescent="0.25">
      <c r="A24" s="81"/>
      <c r="C24" s="1294">
        <f t="shared" si="9"/>
        <v>9</v>
      </c>
      <c r="D24" s="173"/>
      <c r="E24" s="371">
        <f>E23*(1+'A1'!$O$50)</f>
        <v>85.050680883325512</v>
      </c>
      <c r="F24" s="371">
        <f>F23*(1+'A1'!$O$50)</f>
        <v>0</v>
      </c>
      <c r="G24" s="1"/>
      <c r="H24" s="961">
        <f t="shared" si="0"/>
        <v>834.78604227570656</v>
      </c>
      <c r="I24" s="961">
        <f t="shared" si="1"/>
        <v>0</v>
      </c>
      <c r="K24" s="979">
        <f t="shared" si="10"/>
        <v>1</v>
      </c>
      <c r="L24" s="979">
        <f t="shared" si="11"/>
        <v>1</v>
      </c>
      <c r="M24" s="980"/>
      <c r="N24" s="979">
        <f t="shared" si="3"/>
        <v>0</v>
      </c>
      <c r="O24" s="979">
        <f t="shared" si="4"/>
        <v>0</v>
      </c>
      <c r="P24" s="980"/>
      <c r="Q24" s="981">
        <f t="shared" si="6"/>
        <v>0</v>
      </c>
      <c r="R24" s="981">
        <f t="shared" si="7"/>
        <v>0</v>
      </c>
      <c r="S24" s="980"/>
      <c r="T24" s="981">
        <f t="shared" si="5"/>
        <v>0</v>
      </c>
      <c r="U24" s="981">
        <f t="shared" si="8"/>
        <v>0</v>
      </c>
    </row>
    <row r="25" spans="1:21" x14ac:dyDescent="0.25">
      <c r="A25" s="81"/>
      <c r="C25" s="1294">
        <f t="shared" si="9"/>
        <v>10</v>
      </c>
      <c r="D25" s="173"/>
      <c r="E25" s="371">
        <f>E24*(1+'A1'!$O$50)</f>
        <v>87.602201309825276</v>
      </c>
      <c r="F25" s="371">
        <f>F24*(1+'A1'!$O$50)</f>
        <v>0</v>
      </c>
      <c r="G25" s="1"/>
      <c r="H25" s="961">
        <f t="shared" si="0"/>
        <v>922.38824358553188</v>
      </c>
      <c r="I25" s="961">
        <f t="shared" si="1"/>
        <v>0</v>
      </c>
      <c r="K25" s="979">
        <f t="shared" si="10"/>
        <v>1</v>
      </c>
      <c r="L25" s="979">
        <f t="shared" si="11"/>
        <v>1</v>
      </c>
      <c r="M25" s="980"/>
      <c r="N25" s="979">
        <f t="shared" si="3"/>
        <v>0</v>
      </c>
      <c r="O25" s="979">
        <f t="shared" si="4"/>
        <v>0</v>
      </c>
      <c r="P25" s="980"/>
      <c r="Q25" s="981">
        <f t="shared" si="6"/>
        <v>0</v>
      </c>
      <c r="R25" s="981">
        <f t="shared" si="7"/>
        <v>0</v>
      </c>
      <c r="S25" s="980"/>
      <c r="T25" s="981">
        <f t="shared" si="5"/>
        <v>0</v>
      </c>
      <c r="U25" s="981">
        <f t="shared" si="8"/>
        <v>0</v>
      </c>
    </row>
    <row r="26" spans="1:21" x14ac:dyDescent="0.25">
      <c r="A26" s="81"/>
      <c r="C26" s="1294">
        <f t="shared" si="9"/>
        <v>11</v>
      </c>
      <c r="D26" s="173"/>
      <c r="E26" s="371">
        <f>E25*(1+'A1'!$O$50)</f>
        <v>90.230267349120041</v>
      </c>
      <c r="F26" s="371">
        <f>F25*(1+'A1'!$O$50)</f>
        <v>0</v>
      </c>
      <c r="G26" s="1"/>
      <c r="H26" s="961">
        <f t="shared" si="0"/>
        <v>1012.6185109346519</v>
      </c>
      <c r="I26" s="961">
        <f t="shared" si="1"/>
        <v>0</v>
      </c>
      <c r="K26" s="979">
        <f t="shared" si="10"/>
        <v>1</v>
      </c>
      <c r="L26" s="979">
        <f t="shared" si="11"/>
        <v>1</v>
      </c>
      <c r="M26" s="980"/>
      <c r="N26" s="979">
        <f t="shared" si="3"/>
        <v>0</v>
      </c>
      <c r="O26" s="979">
        <f t="shared" si="4"/>
        <v>0</v>
      </c>
      <c r="P26" s="980"/>
      <c r="Q26" s="981">
        <f t="shared" si="6"/>
        <v>0</v>
      </c>
      <c r="R26" s="981">
        <f t="shared" si="7"/>
        <v>0</v>
      </c>
      <c r="S26" s="980"/>
      <c r="T26" s="981">
        <f t="shared" si="5"/>
        <v>0</v>
      </c>
      <c r="U26" s="981">
        <f t="shared" si="8"/>
        <v>0</v>
      </c>
    </row>
    <row r="27" spans="1:21" x14ac:dyDescent="0.25">
      <c r="A27" s="81"/>
      <c r="C27" s="1294">
        <f t="shared" si="9"/>
        <v>12</v>
      </c>
      <c r="D27" s="173"/>
      <c r="E27" s="371">
        <f>E26*(1+'A1'!$O$50)</f>
        <v>92.937175369593646</v>
      </c>
      <c r="F27" s="371">
        <f>F26*(1+'A1'!$O$50)</f>
        <v>0</v>
      </c>
      <c r="G27" s="1"/>
      <c r="H27" s="961">
        <f t="shared" si="0"/>
        <v>1105.5556863042455</v>
      </c>
      <c r="I27" s="961">
        <f t="shared" si="1"/>
        <v>0</v>
      </c>
      <c r="K27" s="979">
        <f t="shared" si="10"/>
        <v>1</v>
      </c>
      <c r="L27" s="979">
        <f t="shared" si="11"/>
        <v>1</v>
      </c>
      <c r="M27" s="980"/>
      <c r="N27" s="979">
        <f t="shared" si="3"/>
        <v>0</v>
      </c>
      <c r="O27" s="979">
        <f t="shared" si="4"/>
        <v>0</v>
      </c>
      <c r="P27" s="980"/>
      <c r="Q27" s="981">
        <f t="shared" si="6"/>
        <v>0</v>
      </c>
      <c r="R27" s="981">
        <f t="shared" si="7"/>
        <v>0</v>
      </c>
      <c r="S27" s="980"/>
      <c r="T27" s="981">
        <f t="shared" si="5"/>
        <v>0</v>
      </c>
      <c r="U27" s="981">
        <f t="shared" si="8"/>
        <v>0</v>
      </c>
    </row>
    <row r="28" spans="1:21" x14ac:dyDescent="0.25">
      <c r="A28" s="81"/>
      <c r="C28" s="1294">
        <f t="shared" si="9"/>
        <v>13</v>
      </c>
      <c r="D28" s="173"/>
      <c r="E28" s="371">
        <f>E27*(1+'A1'!$O$50)</f>
        <v>95.725290630681457</v>
      </c>
      <c r="F28" s="371">
        <f>F27*(1+'A1'!$O$50)</f>
        <v>0</v>
      </c>
      <c r="G28" s="1"/>
      <c r="H28" s="961">
        <f t="shared" si="0"/>
        <v>1201.2809769349269</v>
      </c>
      <c r="I28" s="961">
        <f t="shared" si="1"/>
        <v>0</v>
      </c>
      <c r="K28" s="979">
        <f t="shared" si="10"/>
        <v>1</v>
      </c>
      <c r="L28" s="979">
        <f t="shared" si="11"/>
        <v>1</v>
      </c>
      <c r="M28" s="980"/>
      <c r="N28" s="979">
        <f t="shared" si="3"/>
        <v>0</v>
      </c>
      <c r="O28" s="979">
        <f t="shared" si="4"/>
        <v>0</v>
      </c>
      <c r="P28" s="980"/>
      <c r="Q28" s="981">
        <f t="shared" si="6"/>
        <v>0</v>
      </c>
      <c r="R28" s="981">
        <f t="shared" si="7"/>
        <v>0</v>
      </c>
      <c r="S28" s="980"/>
      <c r="T28" s="981">
        <f t="shared" si="5"/>
        <v>0</v>
      </c>
      <c r="U28" s="981">
        <f t="shared" si="8"/>
        <v>0</v>
      </c>
    </row>
    <row r="29" spans="1:21" x14ac:dyDescent="0.25">
      <c r="A29" s="81"/>
      <c r="C29" s="1294">
        <f t="shared" si="9"/>
        <v>14</v>
      </c>
      <c r="D29" s="173"/>
      <c r="E29" s="371">
        <f>E28*(1+'A1'!$O$50)</f>
        <v>98.597049349601903</v>
      </c>
      <c r="F29" s="371">
        <f>F28*(1+'A1'!$O$50)</f>
        <v>0</v>
      </c>
      <c r="G29" s="1"/>
      <c r="H29" s="961">
        <f t="shared" si="0"/>
        <v>1299.8780262845289</v>
      </c>
      <c r="I29" s="961">
        <f t="shared" si="1"/>
        <v>0</v>
      </c>
      <c r="K29" s="979">
        <f t="shared" si="10"/>
        <v>1</v>
      </c>
      <c r="L29" s="979">
        <f t="shared" si="11"/>
        <v>1</v>
      </c>
      <c r="M29" s="980"/>
      <c r="N29" s="979">
        <f t="shared" si="3"/>
        <v>0</v>
      </c>
      <c r="O29" s="979">
        <f t="shared" si="4"/>
        <v>0</v>
      </c>
      <c r="P29" s="980"/>
      <c r="Q29" s="981">
        <f t="shared" si="6"/>
        <v>0</v>
      </c>
      <c r="R29" s="981">
        <f t="shared" si="7"/>
        <v>0</v>
      </c>
      <c r="S29" s="980"/>
      <c r="T29" s="981">
        <f t="shared" si="5"/>
        <v>0</v>
      </c>
      <c r="U29" s="981">
        <f t="shared" si="8"/>
        <v>0</v>
      </c>
    </row>
    <row r="30" spans="1:21" x14ac:dyDescent="0.25">
      <c r="A30" s="81"/>
      <c r="C30" s="1294">
        <f t="shared" si="9"/>
        <v>15</v>
      </c>
      <c r="D30" s="173"/>
      <c r="E30" s="371">
        <f>E29*(1+'A1'!$O$50)</f>
        <v>101.55496083008997</v>
      </c>
      <c r="F30" s="371">
        <f>F29*(1+'A1'!$O$50)</f>
        <v>0</v>
      </c>
      <c r="G30" s="1"/>
      <c r="H30" s="961">
        <f t="shared" si="0"/>
        <v>1401.432987114619</v>
      </c>
      <c r="I30" s="961">
        <f t="shared" si="1"/>
        <v>0</v>
      </c>
      <c r="K30" s="979">
        <f t="shared" si="10"/>
        <v>1</v>
      </c>
      <c r="L30" s="979">
        <f t="shared" si="11"/>
        <v>1</v>
      </c>
      <c r="M30" s="980"/>
      <c r="N30" s="979">
        <f t="shared" si="3"/>
        <v>0</v>
      </c>
      <c r="O30" s="979">
        <f t="shared" si="4"/>
        <v>0</v>
      </c>
      <c r="P30" s="980"/>
      <c r="Q30" s="981">
        <f t="shared" si="6"/>
        <v>0</v>
      </c>
      <c r="R30" s="981">
        <f t="shared" si="7"/>
        <v>0</v>
      </c>
      <c r="S30" s="980"/>
      <c r="T30" s="981">
        <f t="shared" si="5"/>
        <v>0</v>
      </c>
      <c r="U30" s="981">
        <f t="shared" si="8"/>
        <v>0</v>
      </c>
    </row>
    <row r="31" spans="1:21" x14ac:dyDescent="0.25">
      <c r="A31" s="81"/>
    </row>
  </sheetData>
  <mergeCells count="1">
    <mergeCell ref="T2:U2"/>
  </mergeCells>
  <conditionalFormatting sqref="F11">
    <cfRule type="expression" dxfId="43" priority="124">
      <formula>#REF!=0</formula>
    </cfRule>
  </conditionalFormatting>
  <printOptions horizontalCentered="1"/>
  <pageMargins left="0.7" right="0.7" top="0.5" bottom="0.5" header="0.3" footer="0.3"/>
  <pageSetup scale="79" orientation="landscape" r:id="rId1"/>
  <ignoredErrors>
    <ignoredError sqref="A3:E3 A5:E9 A4:E4 A2:E2 G2:H2 F3:H3 F5:H8 F4:H4 I2:K2 I3:K3 I5:K13 I4:K4 F13:H13 F10 F9 H9 F11 H11:H12 I16:K31 I15:K15 L15:N15 I14:K14 S14:T14 S15:T15 L2:N2 L3:N3 L5:N13 L4:N4 L16:N31 L14:N14 O15:P15 O2:Q2 O3:Q3 O5:Q13 O4:Q4 O16:Q31 O14:P14 R2:S2 R3:T3 R5:T13 R4:T4 R16:T31 U14 U15 U3 U5:U13 U16:U31 A13:E13 A10 C10:E10 A15:D15 A14:D14 A11:D11 A31:E31 A16:D21 A22:D22 A23:D30 F31:H31 G16:H21 A12:D12 G15:H15 G14:H14 G22:H30" unlockedFormula="1"/>
    <ignoredError sqref="U4" numberStoredAsText="1" unlockedFormula="1"/>
  </ignoredErrors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theme="9" tint="-0.249977111117893"/>
    <pageSetUpPr fitToPage="1"/>
  </sheetPr>
  <dimension ref="A1:AG62"/>
  <sheetViews>
    <sheetView showGridLines="0" view="pageBreakPreview" zoomScale="80" zoomScaleNormal="132" zoomScaleSheetLayoutView="80" workbookViewId="0">
      <pane xSplit="6" ySplit="7" topLeftCell="G8" activePane="bottomRight" state="frozenSplit"/>
      <selection activeCell="J12" sqref="J12"/>
      <selection pane="topRight" activeCell="J12" sqref="J12"/>
      <selection pane="bottomLeft" activeCell="J12" sqref="J12"/>
      <selection pane="bottomRight" activeCell="G8" sqref="G8"/>
    </sheetView>
  </sheetViews>
  <sheetFormatPr defaultColWidth="9.42578125" defaultRowHeight="15" x14ac:dyDescent="0.25"/>
  <cols>
    <col min="1" max="1" width="1.5703125" style="1" customWidth="1"/>
    <col min="2" max="5" width="3" style="1" customWidth="1"/>
    <col min="6" max="6" width="18.42578125" style="1" customWidth="1"/>
    <col min="7" max="7" width="1.5703125" style="1" customWidth="1"/>
    <col min="8" max="9" width="6" style="1" customWidth="1"/>
    <col min="10" max="14" width="11.5703125" style="1" customWidth="1"/>
    <col min="15" max="15" width="8.5703125" style="1" customWidth="1"/>
    <col min="16" max="20" width="9.5703125" style="1" customWidth="1"/>
    <col min="21" max="21" width="9.42578125" style="1"/>
    <col min="22" max="23" width="6.42578125" style="1" customWidth="1"/>
    <col min="24" max="28" width="8.140625" style="1" customWidth="1"/>
    <col min="29" max="16384" width="9.42578125" style="1"/>
  </cols>
  <sheetData>
    <row r="1" spans="1:28" ht="6" customHeight="1" thickBot="1" x14ac:dyDescent="0.3">
      <c r="B1" s="85"/>
      <c r="C1" s="86"/>
      <c r="D1" s="85"/>
      <c r="E1" s="85"/>
      <c r="F1" s="85"/>
      <c r="G1" s="85"/>
      <c r="H1" s="85"/>
      <c r="I1" s="85"/>
      <c r="J1" s="85"/>
      <c r="K1" s="85"/>
      <c r="L1" s="85"/>
      <c r="M1" s="85"/>
      <c r="N1" s="85"/>
      <c r="O1" s="85"/>
      <c r="P1" s="85"/>
      <c r="Q1" s="85"/>
      <c r="R1" s="85"/>
      <c r="S1" s="85"/>
      <c r="T1" s="85"/>
    </row>
    <row r="2" spans="1:28" ht="16.5" thickTop="1" x14ac:dyDescent="0.25">
      <c r="B2" s="110" t="str">
        <f>MainOutline!B2</f>
        <v>WB Santa Cruz</v>
      </c>
      <c r="C2" s="111"/>
      <c r="D2" s="111"/>
      <c r="E2" s="111"/>
      <c r="F2" s="111"/>
      <c r="G2" s="111"/>
      <c r="H2" s="111"/>
      <c r="I2" s="111"/>
      <c r="J2" s="508" t="str">
        <f>'A1'!$C$90</f>
        <v>Acquisition of an existing facility</v>
      </c>
      <c r="K2" s="111"/>
      <c r="L2" s="111"/>
      <c r="M2" s="111"/>
      <c r="N2" s="1409"/>
      <c r="O2" s="1409"/>
      <c r="P2" s="111"/>
      <c r="Q2" s="111"/>
      <c r="R2" s="111"/>
      <c r="S2" s="111"/>
      <c r="T2" s="1409">
        <f>A3</f>
        <v>18</v>
      </c>
    </row>
    <row r="3" spans="1:28" ht="15.75" x14ac:dyDescent="0.25">
      <c r="A3" s="123">
        <f>MainOutline!B33</f>
        <v>18</v>
      </c>
      <c r="B3" s="102" t="str">
        <f>MainOutline!C33</f>
        <v>Appendix A1</v>
      </c>
      <c r="C3" s="89"/>
      <c r="D3" s="89"/>
      <c r="E3" s="89"/>
      <c r="F3" s="89"/>
      <c r="G3" s="89"/>
      <c r="H3" s="89"/>
      <c r="I3" s="89"/>
      <c r="J3" s="89"/>
      <c r="K3" s="89"/>
      <c r="L3" s="89"/>
      <c r="M3" s="89"/>
      <c r="N3" s="89"/>
      <c r="O3" s="89"/>
      <c r="P3" s="89"/>
      <c r="Q3" s="89"/>
      <c r="R3" s="89"/>
      <c r="S3" s="89"/>
      <c r="T3" s="89"/>
    </row>
    <row r="4" spans="1:28" ht="16.5" thickBot="1" x14ac:dyDescent="0.3">
      <c r="B4" s="104" t="s">
        <v>10</v>
      </c>
      <c r="C4" s="97"/>
      <c r="D4" s="97"/>
      <c r="E4" s="97"/>
      <c r="F4" s="97"/>
      <c r="G4" s="97"/>
      <c r="H4" s="97"/>
      <c r="I4" s="97"/>
      <c r="J4" s="97"/>
      <c r="K4" s="97"/>
      <c r="L4" s="97"/>
      <c r="M4" s="97"/>
      <c r="N4" s="138"/>
      <c r="O4" s="138"/>
      <c r="P4" s="97"/>
      <c r="Q4" s="97"/>
      <c r="R4" s="97"/>
      <c r="S4" s="97"/>
      <c r="T4" s="138" t="s">
        <v>19</v>
      </c>
    </row>
    <row r="5" spans="1:28" ht="15.75" thickTop="1" x14ac:dyDescent="0.25">
      <c r="A5" s="123">
        <f>IF('A1'!$B$84=1,1,0)</f>
        <v>0</v>
      </c>
    </row>
    <row r="6" spans="1:28" ht="16.5" x14ac:dyDescent="0.35">
      <c r="H6" s="680" t="s">
        <v>274</v>
      </c>
      <c r="I6" s="680" t="s">
        <v>73</v>
      </c>
      <c r="J6" s="681" t="s">
        <v>375</v>
      </c>
      <c r="K6" s="682"/>
      <c r="L6" s="682"/>
      <c r="M6" s="682"/>
      <c r="N6" s="682"/>
      <c r="P6" s="681" t="s">
        <v>374</v>
      </c>
      <c r="Q6" s="682"/>
      <c r="R6" s="682"/>
      <c r="S6" s="682"/>
      <c r="T6" s="682"/>
    </row>
    <row r="7" spans="1:28" s="173" customFormat="1" ht="15.75" thickBot="1" x14ac:dyDescent="0.3">
      <c r="H7" s="683" t="s">
        <v>343</v>
      </c>
      <c r="I7" s="683" t="s">
        <v>343</v>
      </c>
      <c r="J7" s="683" t="s">
        <v>116</v>
      </c>
      <c r="K7" s="683" t="s">
        <v>90</v>
      </c>
      <c r="L7" s="683" t="s">
        <v>91</v>
      </c>
      <c r="M7" s="683" t="s">
        <v>92</v>
      </c>
      <c r="N7" s="683" t="s">
        <v>93</v>
      </c>
      <c r="P7" s="684">
        <v>1</v>
      </c>
      <c r="Q7" s="684">
        <v>2</v>
      </c>
      <c r="R7" s="684">
        <v>3</v>
      </c>
      <c r="S7" s="684">
        <v>4</v>
      </c>
      <c r="T7" s="685">
        <v>5</v>
      </c>
    </row>
    <row r="9" spans="1:28" x14ac:dyDescent="0.25">
      <c r="B9" s="1" t="s">
        <v>234</v>
      </c>
      <c r="J9" s="13">
        <f>ApndxB1!AC9</f>
        <v>59.160381718422364</v>
      </c>
      <c r="K9" s="13">
        <f>ApndxB1!AD9</f>
        <v>61.224800000000037</v>
      </c>
      <c r="L9" s="13">
        <f>ApndxB1!AE9</f>
        <v>63.061544000000033</v>
      </c>
      <c r="M9" s="13">
        <f>ApndxB1!AF9</f>
        <v>64.95339032000004</v>
      </c>
      <c r="N9" s="13">
        <f>ApndxB1!AG9</f>
        <v>66.901992029600038</v>
      </c>
      <c r="P9" s="13">
        <f>'B1'!AE20</f>
        <v>59.160381718422364</v>
      </c>
      <c r="Q9" s="13">
        <f>'B1'!AF20</f>
        <v>61.224800000000037</v>
      </c>
      <c r="R9" s="13">
        <f>'B1'!AG20</f>
        <v>63.061544000000033</v>
      </c>
      <c r="S9" s="13">
        <f>'B1'!AH20</f>
        <v>64.95339032000004</v>
      </c>
      <c r="T9" s="13">
        <f>'B1'!AI20</f>
        <v>66.901992029600038</v>
      </c>
      <c r="W9" s="1564"/>
    </row>
    <row r="10" spans="1:28" x14ac:dyDescent="0.25">
      <c r="B10" s="1" t="s">
        <v>229</v>
      </c>
      <c r="J10" s="13">
        <f>ApndxB1!AC10</f>
        <v>9163.2354854031037</v>
      </c>
      <c r="K10" s="13">
        <f>ApndxB1!AD10</f>
        <v>9482.9891838241674</v>
      </c>
      <c r="L10" s="13">
        <f>ApndxB1!AE10</f>
        <v>9767.4788593388912</v>
      </c>
      <c r="M10" s="13">
        <f>ApndxB1!AF10</f>
        <v>10060.503225119059</v>
      </c>
      <c r="N10" s="13">
        <f>ApndxB1!AG10</f>
        <v>10362.31832187263</v>
      </c>
      <c r="P10" s="13">
        <f>'B1'!AE41</f>
        <v>9163.2354854031037</v>
      </c>
      <c r="Q10" s="13">
        <f>'B1'!AF41</f>
        <v>9482.9891838241674</v>
      </c>
      <c r="R10" s="13">
        <f>'B1'!AG41</f>
        <v>9767.4788593388912</v>
      </c>
      <c r="S10" s="13">
        <f>'B1'!AH41</f>
        <v>10060.503225119059</v>
      </c>
      <c r="T10" s="13">
        <f>'B1'!AI41</f>
        <v>10362.31832187263</v>
      </c>
      <c r="W10" s="1564">
        <f>J10/2847-1</f>
        <v>2.2185583018626986</v>
      </c>
    </row>
    <row r="12" spans="1:28" x14ac:dyDescent="0.25">
      <c r="B12" s="1" t="s">
        <v>32</v>
      </c>
    </row>
    <row r="13" spans="1:28" x14ac:dyDescent="0.25">
      <c r="C13" s="82" t="str">
        <f>'A1'!E8</f>
        <v>Hemo Dialysis</v>
      </c>
      <c r="J13" s="381">
        <f>ApndxB1!AC13</f>
        <v>0</v>
      </c>
      <c r="K13" s="381">
        <f>ApndxB1!AD13</f>
        <v>0</v>
      </c>
      <c r="L13" s="13">
        <f>ApndxB1!AE13</f>
        <v>0</v>
      </c>
      <c r="M13" s="13">
        <f>ApndxB1!AF13</f>
        <v>0</v>
      </c>
      <c r="N13" s="13">
        <f>ApndxB1!AG13</f>
        <v>0</v>
      </c>
      <c r="P13" s="381">
        <f>IF(ISNUMBER(J13/'B1'!AE26),J13/'B1'!AE26*1000,0)</f>
        <v>0</v>
      </c>
      <c r="Q13" s="381">
        <f>IF(ISNUMBER(K13/'B1'!AF26),K13/'B1'!AF26*1000,0)</f>
        <v>0</v>
      </c>
      <c r="R13" s="381">
        <f>IF(ISNUMBER(L13/'B1'!AG26),L13/'B1'!AG26*1000,0)</f>
        <v>0</v>
      </c>
      <c r="S13" s="381">
        <f>IF(ISNUMBER(M13/'B1'!AH26),M13/'B1'!AH26*1000,0)</f>
        <v>0</v>
      </c>
      <c r="T13" s="381">
        <f>IF(ISNUMBER(N13/'B1'!AI26),N13/'B1'!AI26*1000,0)</f>
        <v>0</v>
      </c>
      <c r="V13" s="13">
        <f>P13*(1-'A1'!$I$10)</f>
        <v>0</v>
      </c>
      <c r="X13" s="225"/>
      <c r="Y13" s="225"/>
      <c r="Z13" s="225"/>
      <c r="AA13" s="225"/>
      <c r="AB13" s="225"/>
    </row>
    <row r="14" spans="1:28" x14ac:dyDescent="0.25">
      <c r="C14" s="82" t="str">
        <f>'A1'!G8</f>
        <v>Home Dialysis</v>
      </c>
      <c r="J14" s="381">
        <f>ApndxB1!AC14</f>
        <v>3569.5028347216726</v>
      </c>
      <c r="K14" s="381">
        <f>ApndxB1!AD14</f>
        <v>3731.0022639371573</v>
      </c>
      <c r="L14" s="13">
        <f>ApndxB1!AE14</f>
        <v>3881.3616551738246</v>
      </c>
      <c r="M14" s="13">
        <f>ApndxB1!AF14</f>
        <v>4037.7805298773301</v>
      </c>
      <c r="N14" s="13">
        <f>ApndxB1!AG14</f>
        <v>4200.5030852313857</v>
      </c>
      <c r="P14" s="381">
        <f>IF(ISNUMBER(J14/'B1'!AE31),J14/'B1'!AE31*1000,0)</f>
        <v>389.54612051691095</v>
      </c>
      <c r="Q14" s="381">
        <f>IF(ISNUMBER(K14/'B1'!AF31),K14/'B1'!AF31*1000,0)</f>
        <v>393.44158172208006</v>
      </c>
      <c r="R14" s="381">
        <f>IF(ISNUMBER(L14/'B1'!AG31),L14/'B1'!AG31*1000,0)</f>
        <v>397.37599753930084</v>
      </c>
      <c r="S14" s="381">
        <f>IF(ISNUMBER(M14/'B1'!AH31),M14/'B1'!AH31*1000,0)</f>
        <v>401.34975751469386</v>
      </c>
      <c r="T14" s="381">
        <f>IF(ISNUMBER(N14/'B1'!AI31),N14/'B1'!AI31*1000,0)</f>
        <v>405.36325508984078</v>
      </c>
      <c r="V14" s="13">
        <f>P14*(1-'A1'!$I$10)</f>
        <v>385.65065931174183</v>
      </c>
      <c r="X14" s="225">
        <f>Q14/P14-1</f>
        <v>1.0000000000000009E-2</v>
      </c>
      <c r="Y14" s="225">
        <f>R14/Q14-1</f>
        <v>1.0000000000000009E-2</v>
      </c>
      <c r="Z14" s="225">
        <f>S14/R14-1</f>
        <v>1.0000000000000009E-2</v>
      </c>
      <c r="AA14" s="225">
        <f>T14/S14-1</f>
        <v>1.0000000000000009E-2</v>
      </c>
      <c r="AB14" s="225"/>
    </row>
    <row r="15" spans="1:28" ht="17.25" x14ac:dyDescent="0.4">
      <c r="C15" s="82" t="str">
        <f>'A1'!C68</f>
        <v>Acute Care</v>
      </c>
      <c r="J15" s="560">
        <f>ApndxB1!AC15</f>
        <v>0</v>
      </c>
      <c r="K15" s="560">
        <f>ApndxB1!AD15</f>
        <v>0</v>
      </c>
      <c r="L15" s="558">
        <f>ApndxB1!AE15</f>
        <v>0</v>
      </c>
      <c r="M15" s="558">
        <f>ApndxB1!AF15</f>
        <v>0</v>
      </c>
      <c r="N15" s="558">
        <f>ApndxB1!AG15</f>
        <v>0</v>
      </c>
      <c r="O15" s="558"/>
      <c r="P15" s="560">
        <f>IF(ISNUMBER(J15/'B1'!AE39),J15/'B1'!AE39*1000,0)</f>
        <v>0</v>
      </c>
      <c r="Q15" s="560">
        <f>IF(ISNUMBER(K15/'B1'!AF39),K15/'B1'!AF39*1000,0)</f>
        <v>0</v>
      </c>
      <c r="R15" s="560">
        <f>IF(ISNUMBER(L15/'B1'!AG39),L15/'B1'!AG39*1000,0)</f>
        <v>0</v>
      </c>
      <c r="S15" s="560">
        <f>IF(ISNUMBER(M15/'B1'!AH39),M15/'B1'!AH39*1000,0)</f>
        <v>0</v>
      </c>
      <c r="T15" s="560">
        <f>IF(ISNUMBER(N15/'B1'!AI39),N15/'B1'!AI39*1000,0)</f>
        <v>0</v>
      </c>
    </row>
    <row r="16" spans="1:28" x14ac:dyDescent="0.25">
      <c r="J16" s="381">
        <f>SUM(J13:J15)</f>
        <v>3569.5028347216726</v>
      </c>
      <c r="K16" s="381">
        <f>SUM(K13:K15)</f>
        <v>3731.0022639371573</v>
      </c>
      <c r="L16" s="381">
        <f>SUM(L13:L15)</f>
        <v>3881.3616551738246</v>
      </c>
      <c r="M16" s="381">
        <f>SUM(M13:M15)</f>
        <v>4037.7805298773301</v>
      </c>
      <c r="N16" s="381">
        <f>SUM(N13:N15)</f>
        <v>4200.5030852313857</v>
      </c>
      <c r="P16" s="13">
        <f>J16/J$10*1000</f>
        <v>389.54612051691095</v>
      </c>
      <c r="Q16" s="13">
        <f>K16/K$10*1000</f>
        <v>393.44158172208006</v>
      </c>
      <c r="R16" s="13">
        <f>L16/L$10*1000</f>
        <v>397.37599753930084</v>
      </c>
      <c r="S16" s="13">
        <f>M16/M$10*1000</f>
        <v>401.34975751469386</v>
      </c>
      <c r="T16" s="13">
        <f>N16/N$10*1000</f>
        <v>405.36325508984078</v>
      </c>
    </row>
    <row r="18" spans="2:33" x14ac:dyDescent="0.25">
      <c r="C18" s="1" t="s">
        <v>127</v>
      </c>
      <c r="J18" s="13">
        <f>ApndxB1!AC18</f>
        <v>-35.695028347216727</v>
      </c>
      <c r="K18" s="13">
        <f>ApndxB1!AD18</f>
        <v>-37.310022639371574</v>
      </c>
      <c r="L18" s="13">
        <f>ApndxB1!AE18</f>
        <v>-38.813616551738249</v>
      </c>
      <c r="M18" s="13">
        <f>ApndxB1!AF18</f>
        <v>-40.377805298773303</v>
      </c>
      <c r="N18" s="13">
        <f>ApndxB1!AG18</f>
        <v>-42.005030852313858</v>
      </c>
      <c r="P18" s="13">
        <f>J18/J$10*1000</f>
        <v>-3.8954612051691098</v>
      </c>
      <c r="Q18" s="13">
        <f>K18/K$10*1000</f>
        <v>-3.9344158172208008</v>
      </c>
      <c r="R18" s="13">
        <f>L18/L$10*1000</f>
        <v>-3.9737599753930088</v>
      </c>
      <c r="S18" s="13">
        <f>M18/M$10*1000</f>
        <v>-4.0134975751469391</v>
      </c>
      <c r="T18" s="13">
        <f>N18/N$10*1000</f>
        <v>-4.0536325508984081</v>
      </c>
    </row>
    <row r="19" spans="2:33" x14ac:dyDescent="0.25">
      <c r="B19" s="390" t="s">
        <v>128</v>
      </c>
      <c r="C19" s="390"/>
      <c r="D19" s="390"/>
      <c r="E19" s="390"/>
      <c r="F19" s="390"/>
      <c r="G19" s="390"/>
      <c r="H19" s="686"/>
      <c r="I19" s="686"/>
      <c r="J19" s="686">
        <f>J16+J18</f>
        <v>3533.807806374456</v>
      </c>
      <c r="K19" s="686">
        <f>K16+K18</f>
        <v>3693.6922412977856</v>
      </c>
      <c r="L19" s="686">
        <f>L16+L18</f>
        <v>3842.5480386220866</v>
      </c>
      <c r="M19" s="686">
        <f>M16+M18</f>
        <v>3997.4027245785569</v>
      </c>
      <c r="N19" s="686">
        <f>N16+N18</f>
        <v>4158.4980543790716</v>
      </c>
      <c r="P19" s="686">
        <f>J19/ApndxA1!J$10*1000</f>
        <v>385.65065931174183</v>
      </c>
      <c r="Q19" s="686">
        <f>K19/ApndxA1!K$10*1000</f>
        <v>389.50716590485922</v>
      </c>
      <c r="R19" s="686">
        <f>L19/ApndxA1!L$10*1000</f>
        <v>393.40223756390793</v>
      </c>
      <c r="S19" s="686">
        <f>M19/ApndxA1!M$10*1000</f>
        <v>397.33625993954695</v>
      </c>
      <c r="T19" s="686">
        <f>N19/ApndxA1!N$10*1000</f>
        <v>401.30962253894239</v>
      </c>
    </row>
    <row r="21" spans="2:33" x14ac:dyDescent="0.25">
      <c r="B21" s="1" t="s">
        <v>158</v>
      </c>
    </row>
    <row r="22" spans="2:33" x14ac:dyDescent="0.25">
      <c r="C22" s="82" t="s">
        <v>160</v>
      </c>
      <c r="H22" s="381">
        <f>ApndxB5!$T10*$A$5</f>
        <v>0</v>
      </c>
      <c r="I22" s="381">
        <f>ApndxB6!$AF10*$A$5</f>
        <v>0</v>
      </c>
      <c r="J22" s="381">
        <f>ApndxB1!AC22</f>
        <v>970.15440716815681</v>
      </c>
      <c r="K22" s="381">
        <f>ApndxB1!AD22</f>
        <v>1026.411283161299</v>
      </c>
      <c r="L22" s="13">
        <f>ApndxB1!AE22</f>
        <v>1082.0861141867119</v>
      </c>
      <c r="M22" s="13">
        <f>ApndxB1!AF22</f>
        <v>1140.9465339379994</v>
      </c>
      <c r="N22" s="13">
        <f>ApndxB1!AG22</f>
        <v>1203.1803945140596</v>
      </c>
      <c r="P22" s="13">
        <f t="shared" ref="P22:T25" si="0">J22/J$10*1000</f>
        <v>105.8746562514516</v>
      </c>
      <c r="Q22" s="13">
        <f t="shared" si="0"/>
        <v>108.23710364577072</v>
      </c>
      <c r="R22" s="13">
        <f t="shared" si="0"/>
        <v>110.78458727884593</v>
      </c>
      <c r="S22" s="13">
        <f t="shared" si="0"/>
        <v>113.40849542091341</v>
      </c>
      <c r="T22" s="13">
        <f t="shared" si="0"/>
        <v>116.11112080724291</v>
      </c>
      <c r="X22" s="1564"/>
      <c r="Y22" s="1564"/>
      <c r="Z22" s="1564"/>
      <c r="AA22" s="1564"/>
      <c r="AB22" s="1564"/>
    </row>
    <row r="23" spans="2:33" x14ac:dyDescent="0.25">
      <c r="C23" s="82" t="str">
        <f>'C7'!D13</f>
        <v>Pharmacy</v>
      </c>
      <c r="H23" s="381">
        <v>0</v>
      </c>
      <c r="I23" s="381">
        <v>0</v>
      </c>
      <c r="J23" s="381">
        <f>ApndxB1!AC23</f>
        <v>357.25753213856962</v>
      </c>
      <c r="K23" s="381">
        <f>ApndxB1!AD23</f>
        <v>384.5131003395972</v>
      </c>
      <c r="L23" s="13">
        <f>ApndxB1!AE23</f>
        <v>411.89043308377649</v>
      </c>
      <c r="M23" s="13">
        <f>ApndxB1!AF23</f>
        <v>441.21703191934148</v>
      </c>
      <c r="N23" s="13">
        <f>ApndxB1!AG23</f>
        <v>472.63168459199858</v>
      </c>
      <c r="P23" s="13">
        <f t="shared" si="0"/>
        <v>38.988142638882898</v>
      </c>
      <c r="Q23" s="13">
        <f t="shared" si="0"/>
        <v>40.547668344438215</v>
      </c>
      <c r="R23" s="13">
        <f t="shared" si="0"/>
        <v>42.16957507821575</v>
      </c>
      <c r="S23" s="13">
        <f t="shared" si="0"/>
        <v>43.856358081344389</v>
      </c>
      <c r="T23" s="13">
        <f t="shared" si="0"/>
        <v>45.610612404598164</v>
      </c>
      <c r="X23" s="381"/>
      <c r="Y23" s="381"/>
      <c r="Z23" s="381"/>
      <c r="AA23" s="381"/>
      <c r="AB23" s="381"/>
      <c r="AE23" s="1564"/>
      <c r="AF23" s="1564"/>
      <c r="AG23" s="1564"/>
    </row>
    <row r="24" spans="2:33" x14ac:dyDescent="0.25">
      <c r="C24" s="82" t="str">
        <f>'C7'!D16</f>
        <v>Dialysis Supplies</v>
      </c>
      <c r="H24" s="381">
        <v>0</v>
      </c>
      <c r="I24" s="381">
        <v>0</v>
      </c>
      <c r="J24" s="381">
        <f>ApndxB1!AC24</f>
        <v>1086.2601282728219</v>
      </c>
      <c r="K24" s="381">
        <f>ApndxB1!AD24</f>
        <v>1169.1321025401503</v>
      </c>
      <c r="L24" s="13">
        <f>ApndxB1!AE24</f>
        <v>1252.374308241009</v>
      </c>
      <c r="M24" s="13">
        <f>ApndxB1!AF24</f>
        <v>1341.5433589877691</v>
      </c>
      <c r="N24" s="13">
        <f>ApndxB1!AG24</f>
        <v>1437.0612461476985</v>
      </c>
      <c r="P24" s="13">
        <f t="shared" si="0"/>
        <v>118.54547774126486</v>
      </c>
      <c r="Q24" s="13">
        <f t="shared" si="0"/>
        <v>123.28729685091542</v>
      </c>
      <c r="R24" s="13">
        <f t="shared" si="0"/>
        <v>128.21878872495205</v>
      </c>
      <c r="S24" s="13">
        <f t="shared" si="0"/>
        <v>133.34754027395016</v>
      </c>
      <c r="T24" s="13">
        <f t="shared" si="0"/>
        <v>138.6814418849082</v>
      </c>
    </row>
    <row r="25" spans="2:33" ht="15" customHeight="1" x14ac:dyDescent="0.4">
      <c r="C25" s="82" t="str">
        <f>'C7'!D19</f>
        <v>Lab Expense</v>
      </c>
      <c r="H25" s="560">
        <v>0</v>
      </c>
      <c r="I25" s="560">
        <v>0</v>
      </c>
      <c r="J25" s="560">
        <f>ApndxB1!AC25</f>
        <v>45.62052269890264</v>
      </c>
      <c r="K25" s="560">
        <f>ApndxB1!AD25</f>
        <v>49.100962314390387</v>
      </c>
      <c r="L25" s="558">
        <f>ApndxB1!AE25</f>
        <v>52.596950831174965</v>
      </c>
      <c r="M25" s="558">
        <f>ApndxB1!AF25</f>
        <v>56.341853730354643</v>
      </c>
      <c r="N25" s="558">
        <f>ApndxB1!AG25</f>
        <v>60.353393715955882</v>
      </c>
      <c r="P25" s="558">
        <f t="shared" si="0"/>
        <v>4.978647855506436</v>
      </c>
      <c r="Q25" s="558">
        <f t="shared" si="0"/>
        <v>5.1777937697266925</v>
      </c>
      <c r="R25" s="558">
        <f t="shared" si="0"/>
        <v>5.3849055205157583</v>
      </c>
      <c r="S25" s="558">
        <f t="shared" si="0"/>
        <v>5.6003017413363914</v>
      </c>
      <c r="T25" s="558">
        <f t="shared" si="0"/>
        <v>5.824313810989846</v>
      </c>
    </row>
    <row r="26" spans="2:33" x14ac:dyDescent="0.25">
      <c r="H26" s="381">
        <f t="shared" ref="H26:N26" si="1">SUM(H22:H25)</f>
        <v>0</v>
      </c>
      <c r="I26" s="381">
        <f t="shared" si="1"/>
        <v>0</v>
      </c>
      <c r="J26" s="381">
        <f t="shared" si="1"/>
        <v>2459.2925902784514</v>
      </c>
      <c r="K26" s="381">
        <f t="shared" si="1"/>
        <v>2629.1574483554373</v>
      </c>
      <c r="L26" s="381">
        <f t="shared" si="1"/>
        <v>2798.9478063426727</v>
      </c>
      <c r="M26" s="381">
        <f t="shared" si="1"/>
        <v>2980.0487785754644</v>
      </c>
      <c r="N26" s="381">
        <f t="shared" si="1"/>
        <v>3173.2267189697127</v>
      </c>
      <c r="P26" s="381">
        <f>ApndxA1!J26/ApndxA1!J$10*1000</f>
        <v>268.38692448710583</v>
      </c>
      <c r="Q26" s="381">
        <f>ApndxA1!K26/ApndxA1!K$10*1000</f>
        <v>277.2498626108511</v>
      </c>
      <c r="R26" s="381">
        <f>ApndxA1!L26/ApndxA1!L$10*1000</f>
        <v>286.55785660252951</v>
      </c>
      <c r="S26" s="381">
        <f>ApndxA1!M26/ApndxA1!M$10*1000</f>
        <v>296.21269551754432</v>
      </c>
      <c r="T26" s="381">
        <f>ApndxA1!N26/ApndxA1!N$10*1000</f>
        <v>306.22748890773914</v>
      </c>
    </row>
    <row r="28" spans="2:33" x14ac:dyDescent="0.25">
      <c r="B28" s="1" t="s">
        <v>37</v>
      </c>
      <c r="H28" s="381">
        <f t="shared" ref="H28:N28" si="2">H19-H26</f>
        <v>0</v>
      </c>
      <c r="I28" s="381">
        <f t="shared" si="2"/>
        <v>0</v>
      </c>
      <c r="J28" s="381">
        <f t="shared" si="2"/>
        <v>1074.5152160960047</v>
      </c>
      <c r="K28" s="381">
        <f t="shared" si="2"/>
        <v>1064.5347929423483</v>
      </c>
      <c r="L28" s="381">
        <f t="shared" si="2"/>
        <v>1043.6002322794138</v>
      </c>
      <c r="M28" s="381">
        <f t="shared" si="2"/>
        <v>1017.3539460030925</v>
      </c>
      <c r="N28" s="381">
        <f t="shared" si="2"/>
        <v>985.27133540935893</v>
      </c>
      <c r="P28" s="13">
        <f>J28/J$10*1000</f>
        <v>117.26373482463605</v>
      </c>
      <c r="Q28" s="13">
        <f>K28/K$10*1000</f>
        <v>112.25730329400814</v>
      </c>
      <c r="R28" s="13">
        <f>L28/L$10*1000</f>
        <v>106.84438096137835</v>
      </c>
      <c r="S28" s="13">
        <f>M28/M$10*1000</f>
        <v>101.12356442200264</v>
      </c>
      <c r="T28" s="13">
        <f>N28/N$10*1000</f>
        <v>95.082133631203234</v>
      </c>
    </row>
    <row r="30" spans="2:33" x14ac:dyDescent="0.25">
      <c r="B30" s="1" t="s">
        <v>161</v>
      </c>
    </row>
    <row r="31" spans="2:33" x14ac:dyDescent="0.25">
      <c r="C31" s="82" t="s">
        <v>167</v>
      </c>
      <c r="H31" s="381">
        <f>(ApndxB5!$T11+ApndxB5!$T12)*$A$5</f>
        <v>0</v>
      </c>
      <c r="I31" s="381">
        <f>SUM(ApndxB6!AF11:AF13)*$A$5</f>
        <v>0</v>
      </c>
      <c r="J31" s="381">
        <f>ApndxB1!AC31</f>
        <v>218.66744999999995</v>
      </c>
      <c r="K31" s="381">
        <f>ApndxB1!AD31</f>
        <v>224.13413624999993</v>
      </c>
      <c r="L31" s="381">
        <f>ApndxB1!AE31</f>
        <v>229.73748965624992</v>
      </c>
      <c r="M31" s="381">
        <f>ApndxB1!AF31</f>
        <v>235.48092689765616</v>
      </c>
      <c r="N31" s="381">
        <f>ApndxB1!AG31</f>
        <v>241.36795007009749</v>
      </c>
      <c r="P31" s="13">
        <f t="shared" ref="P31:T36" si="3">J31/J$10*1000</f>
        <v>23.863563295774068</v>
      </c>
      <c r="Q31" s="13">
        <f t="shared" si="3"/>
        <v>23.635388789889376</v>
      </c>
      <c r="R31" s="13">
        <f t="shared" si="3"/>
        <v>23.52065389285108</v>
      </c>
      <c r="S31" s="13">
        <f t="shared" si="3"/>
        <v>23.406475961332383</v>
      </c>
      <c r="T31" s="13">
        <f t="shared" si="3"/>
        <v>23.292852291617169</v>
      </c>
      <c r="X31" s="25"/>
      <c r="Y31" s="25"/>
      <c r="Z31" s="25"/>
      <c r="AA31" s="25"/>
      <c r="AB31" s="82"/>
    </row>
    <row r="32" spans="2:33" x14ac:dyDescent="0.25">
      <c r="C32" s="82" t="s">
        <v>162</v>
      </c>
      <c r="H32" s="381">
        <v>0</v>
      </c>
      <c r="I32" s="381">
        <v>0</v>
      </c>
      <c r="J32" s="381">
        <f>ApndxB1!AC32</f>
        <v>353.38078063744564</v>
      </c>
      <c r="K32" s="381">
        <f>ApndxB1!AD32</f>
        <v>369.36922412977856</v>
      </c>
      <c r="L32" s="381">
        <f>ApndxB1!AE32</f>
        <v>384.25480386220869</v>
      </c>
      <c r="M32" s="381">
        <f>ApndxB1!AF32</f>
        <v>399.74027245785572</v>
      </c>
      <c r="N32" s="381">
        <f>ApndxB1!AG32</f>
        <v>415.84980543790721</v>
      </c>
      <c r="P32" s="13">
        <f t="shared" si="3"/>
        <v>38.565065931174189</v>
      </c>
      <c r="Q32" s="13">
        <f t="shared" si="3"/>
        <v>38.950716590485918</v>
      </c>
      <c r="R32" s="13">
        <f t="shared" si="3"/>
        <v>39.340223756390792</v>
      </c>
      <c r="S32" s="13">
        <f t="shared" si="3"/>
        <v>39.733625993954696</v>
      </c>
      <c r="T32" s="13">
        <f t="shared" si="3"/>
        <v>40.130962253894239</v>
      </c>
      <c r="V32" s="82"/>
      <c r="X32" s="25"/>
      <c r="Y32" s="25"/>
      <c r="Z32" s="25"/>
      <c r="AA32" s="25"/>
      <c r="AB32" s="82"/>
    </row>
    <row r="33" spans="2:28" x14ac:dyDescent="0.25">
      <c r="C33" s="82" t="s">
        <v>233</v>
      </c>
      <c r="H33" s="381">
        <v>0</v>
      </c>
      <c r="I33" s="381">
        <v>0</v>
      </c>
      <c r="J33" s="381">
        <f>ApndxB1!AC33</f>
        <v>53.333369999999974</v>
      </c>
      <c r="K33" s="381">
        <f>ApndxB1!AD33</f>
        <v>54.329675891845788</v>
      </c>
      <c r="L33" s="381">
        <f>ApndxB1!AE33</f>
        <v>55.959566168601164</v>
      </c>
      <c r="M33" s="381">
        <f>ApndxB1!AF33</f>
        <v>57.638353153659203</v>
      </c>
      <c r="N33" s="381">
        <f>ApndxB1!AG33</f>
        <v>59.36750374826898</v>
      </c>
      <c r="P33" s="13">
        <f t="shared" si="3"/>
        <v>5.8203644427734327</v>
      </c>
      <c r="Q33" s="13">
        <f t="shared" si="3"/>
        <v>5.7291719771778205</v>
      </c>
      <c r="R33" s="13">
        <f t="shared" si="3"/>
        <v>5.7291719771778213</v>
      </c>
      <c r="S33" s="13">
        <f t="shared" si="3"/>
        <v>5.7291719771778213</v>
      </c>
      <c r="T33" s="13">
        <f t="shared" si="3"/>
        <v>5.7291719771778213</v>
      </c>
      <c r="U33" s="76"/>
      <c r="X33" s="25"/>
      <c r="Y33" s="25"/>
      <c r="Z33" s="25"/>
      <c r="AA33" s="25"/>
      <c r="AB33" s="82"/>
    </row>
    <row r="34" spans="2:28" x14ac:dyDescent="0.25">
      <c r="C34" s="82" t="s">
        <v>275</v>
      </c>
      <c r="H34" s="381">
        <v>0</v>
      </c>
      <c r="I34" s="381">
        <v>0</v>
      </c>
      <c r="J34" s="381">
        <f>ApndxB1!AC34</f>
        <v>35.338078063744561</v>
      </c>
      <c r="K34" s="381">
        <f>ApndxB1!AD34</f>
        <v>36.936922412977857</v>
      </c>
      <c r="L34" s="381">
        <f>ApndxB1!AE34</f>
        <v>38.425480386220869</v>
      </c>
      <c r="M34" s="381">
        <f>ApndxB1!AF34</f>
        <v>39.974027245785571</v>
      </c>
      <c r="N34" s="381">
        <f>ApndxB1!AG34</f>
        <v>41.584980543790714</v>
      </c>
      <c r="P34" s="13">
        <f t="shared" si="3"/>
        <v>3.8565065931174187</v>
      </c>
      <c r="Q34" s="13">
        <f t="shared" si="3"/>
        <v>3.8950716590485928</v>
      </c>
      <c r="R34" s="13">
        <f t="shared" si="3"/>
        <v>3.9340223756390795</v>
      </c>
      <c r="S34" s="13">
        <f t="shared" si="3"/>
        <v>3.97336259939547</v>
      </c>
      <c r="T34" s="13">
        <f t="shared" si="3"/>
        <v>4.0130962253894236</v>
      </c>
      <c r="X34" s="25"/>
      <c r="Y34" s="25"/>
      <c r="Z34" s="25"/>
      <c r="AA34" s="25"/>
      <c r="AB34" s="82"/>
    </row>
    <row r="35" spans="2:28" ht="17.25" x14ac:dyDescent="0.4">
      <c r="C35" s="82" t="s">
        <v>163</v>
      </c>
      <c r="H35" s="560">
        <v>0</v>
      </c>
      <c r="I35" s="560">
        <v>0</v>
      </c>
      <c r="J35" s="560">
        <f>ApndxB1!AC35</f>
        <v>12.71645142857143</v>
      </c>
      <c r="K35" s="560">
        <f>ApndxB1!AD35</f>
        <v>123.71645142857143</v>
      </c>
      <c r="L35" s="560">
        <f>ApndxB1!AE35</f>
        <v>113.48829142857143</v>
      </c>
      <c r="M35" s="560">
        <f>ApndxB1!AF35</f>
        <v>113.48829142857143</v>
      </c>
      <c r="N35" s="560">
        <f>ApndxB1!AG35</f>
        <v>113.48829142857143</v>
      </c>
      <c r="P35" s="558">
        <f t="shared" si="3"/>
        <v>1.3877687034048778</v>
      </c>
      <c r="Q35" s="558">
        <f t="shared" si="3"/>
        <v>13.04614494758717</v>
      </c>
      <c r="R35" s="558">
        <f t="shared" si="3"/>
        <v>11.618995348022985</v>
      </c>
      <c r="S35" s="558">
        <f t="shared" si="3"/>
        <v>11.280578007789305</v>
      </c>
      <c r="T35" s="558">
        <f t="shared" si="3"/>
        <v>10.952017483290588</v>
      </c>
      <c r="X35" s="25"/>
      <c r="Y35" s="1423"/>
      <c r="Z35" s="25"/>
      <c r="AA35" s="81"/>
      <c r="AB35" s="82"/>
    </row>
    <row r="36" spans="2:28" x14ac:dyDescent="0.25">
      <c r="H36" s="13">
        <f t="shared" ref="H36:N36" si="4">SUM(H31:H35)</f>
        <v>0</v>
      </c>
      <c r="I36" s="13">
        <f t="shared" si="4"/>
        <v>0</v>
      </c>
      <c r="J36" s="13">
        <f t="shared" si="4"/>
        <v>673.43613012976152</v>
      </c>
      <c r="K36" s="13">
        <f t="shared" si="4"/>
        <v>808.48641011317363</v>
      </c>
      <c r="L36" s="13">
        <f t="shared" si="4"/>
        <v>821.86563150185214</v>
      </c>
      <c r="M36" s="13">
        <f t="shared" si="4"/>
        <v>846.32187118352806</v>
      </c>
      <c r="N36" s="13">
        <f t="shared" si="4"/>
        <v>871.65853122863587</v>
      </c>
      <c r="O36" s="13"/>
      <c r="P36" s="13">
        <f t="shared" si="3"/>
        <v>73.493268966243988</v>
      </c>
      <c r="Q36" s="13">
        <f t="shared" si="3"/>
        <v>85.256493964188877</v>
      </c>
      <c r="R36" s="13">
        <f t="shared" si="3"/>
        <v>84.143067350081765</v>
      </c>
      <c r="S36" s="13">
        <f t="shared" si="3"/>
        <v>84.12321453964968</v>
      </c>
      <c r="T36" s="13">
        <f t="shared" si="3"/>
        <v>84.11810023136924</v>
      </c>
    </row>
    <row r="38" spans="2:28" x14ac:dyDescent="0.25">
      <c r="B38" s="1" t="s">
        <v>164</v>
      </c>
      <c r="H38" s="381">
        <f t="shared" ref="H38:N38" si="5">H28-H36</f>
        <v>0</v>
      </c>
      <c r="I38" s="381">
        <f t="shared" si="5"/>
        <v>0</v>
      </c>
      <c r="J38" s="381">
        <f t="shared" si="5"/>
        <v>401.07908596624316</v>
      </c>
      <c r="K38" s="381">
        <f t="shared" si="5"/>
        <v>256.04838282917467</v>
      </c>
      <c r="L38" s="381">
        <f t="shared" si="5"/>
        <v>221.7346007775617</v>
      </c>
      <c r="M38" s="381">
        <f t="shared" si="5"/>
        <v>171.0320748195644</v>
      </c>
      <c r="N38" s="381">
        <f t="shared" si="5"/>
        <v>113.61280418072306</v>
      </c>
      <c r="P38" s="13">
        <f>J38/J$10*1000</f>
        <v>43.770465858392058</v>
      </c>
      <c r="Q38" s="13">
        <f>K38/K$10*1000</f>
        <v>27.000809329819255</v>
      </c>
      <c r="R38" s="13">
        <f>L38/L$10*1000</f>
        <v>22.701313611296595</v>
      </c>
      <c r="S38" s="13">
        <f>M38/M$10*1000</f>
        <v>17.000349882352964</v>
      </c>
      <c r="T38" s="13">
        <f>N38/N$10*1000</f>
        <v>10.964033399833975</v>
      </c>
    </row>
    <row r="39" spans="2:28" x14ac:dyDescent="0.25">
      <c r="H39" s="381"/>
      <c r="J39" s="381"/>
      <c r="K39" s="381"/>
      <c r="L39" s="381"/>
      <c r="M39" s="381"/>
      <c r="N39" s="381"/>
      <c r="P39" s="381"/>
      <c r="Q39" s="381"/>
      <c r="R39" s="381"/>
      <c r="S39" s="381"/>
      <c r="T39" s="381"/>
    </row>
    <row r="40" spans="2:28" x14ac:dyDescent="0.25">
      <c r="C40" s="1" t="s">
        <v>165</v>
      </c>
      <c r="H40" s="381">
        <v>0</v>
      </c>
      <c r="I40" s="381">
        <v>0</v>
      </c>
      <c r="J40" s="381">
        <f>ApndxB1!AC40</f>
        <v>0</v>
      </c>
      <c r="K40" s="381">
        <f>ApndxB1!AD40</f>
        <v>0</v>
      </c>
      <c r="L40" s="381">
        <f>ApndxB1!AE40</f>
        <v>0</v>
      </c>
      <c r="M40" s="381">
        <f>ApndxB1!AF40</f>
        <v>0</v>
      </c>
      <c r="N40" s="381">
        <f>ApndxB1!AG40</f>
        <v>0</v>
      </c>
      <c r="P40" s="13">
        <f>J40/J$10*1000</f>
        <v>0</v>
      </c>
      <c r="Q40" s="13">
        <f>K40/K$10*1000</f>
        <v>0</v>
      </c>
      <c r="R40" s="13">
        <f>L40/L$10*1000</f>
        <v>0</v>
      </c>
      <c r="S40" s="13">
        <f>M40/M$10*1000</f>
        <v>0</v>
      </c>
      <c r="T40" s="13">
        <f>N40/N$10*1000</f>
        <v>0</v>
      </c>
    </row>
    <row r="42" spans="2:28" ht="15.75" thickBot="1" x14ac:dyDescent="0.3">
      <c r="B42" s="687" t="s">
        <v>166</v>
      </c>
      <c r="C42" s="687"/>
      <c r="D42" s="687"/>
      <c r="E42" s="687"/>
      <c r="F42" s="687"/>
      <c r="G42" s="687"/>
      <c r="H42" s="688">
        <f t="shared" ref="H42:N42" si="6">H38-H40</f>
        <v>0</v>
      </c>
      <c r="I42" s="688">
        <f t="shared" si="6"/>
        <v>0</v>
      </c>
      <c r="J42" s="688">
        <f t="shared" si="6"/>
        <v>401.07908596624316</v>
      </c>
      <c r="K42" s="688">
        <f t="shared" si="6"/>
        <v>256.04838282917467</v>
      </c>
      <c r="L42" s="688">
        <f t="shared" si="6"/>
        <v>221.7346007775617</v>
      </c>
      <c r="M42" s="688">
        <f t="shared" si="6"/>
        <v>171.0320748195644</v>
      </c>
      <c r="N42" s="689">
        <f t="shared" si="6"/>
        <v>113.61280418072306</v>
      </c>
      <c r="P42" s="688">
        <f t="shared" ref="P42:T44" si="7">J42/J$10*1000</f>
        <v>43.770465858392058</v>
      </c>
      <c r="Q42" s="688">
        <f t="shared" si="7"/>
        <v>27.000809329819255</v>
      </c>
      <c r="R42" s="688">
        <f t="shared" si="7"/>
        <v>22.701313611296595</v>
      </c>
      <c r="S42" s="688">
        <f t="shared" si="7"/>
        <v>17.000349882352964</v>
      </c>
      <c r="T42" s="688">
        <f t="shared" si="7"/>
        <v>10.964033399833975</v>
      </c>
    </row>
    <row r="43" spans="2:28" s="516" customFormat="1" ht="15.75" thickTop="1" x14ac:dyDescent="0.25">
      <c r="C43" s="516" t="s">
        <v>589</v>
      </c>
      <c r="H43" s="518">
        <f>H42*'A1'!$P$63</f>
        <v>0</v>
      </c>
      <c r="I43" s="518">
        <f>I42*'A1'!$P$63</f>
        <v>0</v>
      </c>
      <c r="J43" s="518">
        <f>J42*'A1'!$P$63</f>
        <v>0</v>
      </c>
      <c r="K43" s="518">
        <f>K42*'A1'!$P$63</f>
        <v>0</v>
      </c>
      <c r="L43" s="518">
        <f>L42*'A1'!$P$63</f>
        <v>0</v>
      </c>
      <c r="M43" s="518">
        <f>M42*'A1'!$P$63</f>
        <v>0</v>
      </c>
      <c r="N43" s="518">
        <f>N42*'A1'!$P$63</f>
        <v>0</v>
      </c>
      <c r="P43" s="518">
        <f t="shared" si="7"/>
        <v>0</v>
      </c>
      <c r="Q43" s="518">
        <f t="shared" si="7"/>
        <v>0</v>
      </c>
      <c r="R43" s="518">
        <f t="shared" si="7"/>
        <v>0</v>
      </c>
      <c r="S43" s="518">
        <f t="shared" si="7"/>
        <v>0</v>
      </c>
      <c r="T43" s="518">
        <f t="shared" si="7"/>
        <v>0</v>
      </c>
      <c r="U43" s="516" t="s">
        <v>584</v>
      </c>
    </row>
    <row r="44" spans="2:28" s="516" customFormat="1" x14ac:dyDescent="0.25">
      <c r="C44" s="516" t="s">
        <v>590</v>
      </c>
      <c r="H44" s="518">
        <f>H42-H43</f>
        <v>0</v>
      </c>
      <c r="I44" s="518">
        <f t="shared" ref="I44:N44" si="8">I42-I43</f>
        <v>0</v>
      </c>
      <c r="J44" s="518">
        <f t="shared" si="8"/>
        <v>401.07908596624316</v>
      </c>
      <c r="K44" s="518">
        <f t="shared" si="8"/>
        <v>256.04838282917467</v>
      </c>
      <c r="L44" s="518">
        <f t="shared" si="8"/>
        <v>221.7346007775617</v>
      </c>
      <c r="M44" s="518">
        <f t="shared" si="8"/>
        <v>171.0320748195644</v>
      </c>
      <c r="N44" s="518">
        <f t="shared" si="8"/>
        <v>113.61280418072306</v>
      </c>
      <c r="P44" s="518">
        <f t="shared" si="7"/>
        <v>43.770465858392058</v>
      </c>
      <c r="Q44" s="518">
        <f t="shared" si="7"/>
        <v>27.000809329819255</v>
      </c>
      <c r="R44" s="518">
        <f t="shared" si="7"/>
        <v>22.701313611296595</v>
      </c>
      <c r="S44" s="518">
        <f t="shared" si="7"/>
        <v>17.000349882352964</v>
      </c>
      <c r="T44" s="518">
        <f t="shared" si="7"/>
        <v>10.964033399833975</v>
      </c>
      <c r="U44" s="516" t="s">
        <v>585</v>
      </c>
    </row>
    <row r="45" spans="2:28" x14ac:dyDescent="0.25">
      <c r="H45" s="381"/>
      <c r="J45" s="381"/>
      <c r="K45" s="381"/>
      <c r="L45" s="381"/>
      <c r="M45" s="381"/>
      <c r="N45" s="381"/>
      <c r="P45" s="381"/>
      <c r="Q45" s="381"/>
      <c r="R45" s="381"/>
      <c r="S45" s="381"/>
      <c r="T45" s="381"/>
      <c r="U45" s="1" t="s">
        <v>586</v>
      </c>
    </row>
    <row r="46" spans="2:28" x14ac:dyDescent="0.25">
      <c r="B46" s="1" t="s">
        <v>38</v>
      </c>
      <c r="H46" s="381">
        <f t="shared" ref="H46:N46" si="9">H38+H35</f>
        <v>0</v>
      </c>
      <c r="I46" s="381">
        <f t="shared" si="9"/>
        <v>0</v>
      </c>
      <c r="J46" s="381">
        <f t="shared" si="9"/>
        <v>413.79553739481457</v>
      </c>
      <c r="K46" s="381">
        <f t="shared" si="9"/>
        <v>379.76483425774609</v>
      </c>
      <c r="L46" s="381">
        <f t="shared" si="9"/>
        <v>335.22289220613311</v>
      </c>
      <c r="M46" s="381">
        <f t="shared" si="9"/>
        <v>284.52036624813582</v>
      </c>
      <c r="N46" s="381">
        <f t="shared" si="9"/>
        <v>227.10109560929448</v>
      </c>
      <c r="P46" s="13">
        <f>J46/J$10*1000</f>
        <v>45.158234561796938</v>
      </c>
      <c r="Q46" s="13">
        <f>K46/K$10*1000</f>
        <v>40.046954277406421</v>
      </c>
      <c r="R46" s="13">
        <f>L46/L$10*1000</f>
        <v>34.320308959319576</v>
      </c>
      <c r="S46" s="13">
        <f>M46/M$10*1000</f>
        <v>28.280927890142266</v>
      </c>
      <c r="T46" s="13">
        <f>N46/N$10*1000</f>
        <v>21.916050883124562</v>
      </c>
    </row>
    <row r="48" spans="2:28" x14ac:dyDescent="0.25">
      <c r="B48" s="1" t="s">
        <v>929</v>
      </c>
      <c r="J48" s="381">
        <f>J26+J36+J40</f>
        <v>3132.7287204082131</v>
      </c>
      <c r="K48" s="381">
        <f>K26+K36+K40</f>
        <v>3437.6438584686111</v>
      </c>
      <c r="L48" s="381">
        <f>L26+L36+L40</f>
        <v>3620.8134378445247</v>
      </c>
      <c r="M48" s="381">
        <f>M26+M36+M40</f>
        <v>3826.3706497589924</v>
      </c>
      <c r="N48" s="381">
        <f>N26+N36+N40</f>
        <v>4044.8852501983483</v>
      </c>
      <c r="S48" s="381"/>
      <c r="T48" s="381"/>
    </row>
    <row r="49" spans="2:20" x14ac:dyDescent="0.25">
      <c r="B49" s="1" t="s">
        <v>192</v>
      </c>
      <c r="J49" s="381">
        <f>J23+J24+J31+J32</f>
        <v>2015.5658910488371</v>
      </c>
      <c r="K49" s="381">
        <f>K23+K24+K31+K32</f>
        <v>2147.1485632595259</v>
      </c>
      <c r="L49" s="381">
        <f>L23+L24+L31+L32</f>
        <v>2278.2570348432441</v>
      </c>
      <c r="M49" s="381">
        <f>M23+M24+M31+M32</f>
        <v>2417.9815902626224</v>
      </c>
      <c r="N49" s="381">
        <f>N23+N24+N31+N32</f>
        <v>2566.910686247702</v>
      </c>
      <c r="P49" s="381">
        <f>P23+P24+P31+P32</f>
        <v>219.96224960709603</v>
      </c>
      <c r="Q49" s="381">
        <f>Q23+Q24+Q31+Q32</f>
        <v>226.42107057572895</v>
      </c>
      <c r="R49" s="381">
        <f>R23+R24+R31+R32</f>
        <v>233.24924145240968</v>
      </c>
      <c r="S49" s="381">
        <f>S23+S24+S31+S32</f>
        <v>240.34400031058161</v>
      </c>
      <c r="T49" s="381">
        <f>T23+T24+T31+T32</f>
        <v>247.71586883501777</v>
      </c>
    </row>
    <row r="51" spans="2:20" x14ac:dyDescent="0.25">
      <c r="B51" s="1" t="s">
        <v>569</v>
      </c>
    </row>
    <row r="52" spans="2:20" x14ac:dyDescent="0.25">
      <c r="C52" s="1" t="s">
        <v>344</v>
      </c>
    </row>
    <row r="53" spans="2:20" x14ac:dyDescent="0.25">
      <c r="C53" s="82" t="str">
        <f>C34</f>
        <v>Bad Debt Expense</v>
      </c>
    </row>
    <row r="54" spans="2:20" x14ac:dyDescent="0.25">
      <c r="C54" s="82" t="str">
        <f>C35</f>
        <v>Depreciation</v>
      </c>
    </row>
    <row r="56" spans="2:20" x14ac:dyDescent="0.25">
      <c r="J56" s="381">
        <f>SUM(J23:J25)</f>
        <v>1489.1381831102942</v>
      </c>
      <c r="K56" s="381">
        <f>SUM(K23:K25)</f>
        <v>1602.746165194138</v>
      </c>
      <c r="L56" s="381">
        <f>SUM(L23:L25)</f>
        <v>1716.8616921559606</v>
      </c>
      <c r="M56" s="381">
        <f>SUM(M23:M25)</f>
        <v>1839.1022446374652</v>
      </c>
      <c r="N56" s="381">
        <f>SUM(N23:N25)</f>
        <v>1970.0463244556531</v>
      </c>
    </row>
    <row r="57" spans="2:20" x14ac:dyDescent="0.25">
      <c r="K57" s="381">
        <f>K56-J56</f>
        <v>113.60798208384381</v>
      </c>
      <c r="L57" s="381">
        <f>L56-K56</f>
        <v>114.11552696182252</v>
      </c>
      <c r="M57" s="381">
        <f>M56-L56</f>
        <v>122.24055248150466</v>
      </c>
      <c r="N57" s="381">
        <f>N56-M56</f>
        <v>130.9440798181879</v>
      </c>
    </row>
    <row r="61" spans="2:20" x14ac:dyDescent="0.25">
      <c r="H61" s="76">
        <v>0.05</v>
      </c>
      <c r="J61" s="82">
        <f>-$H$61*J16</f>
        <v>-178.47514173608363</v>
      </c>
      <c r="K61" s="82">
        <f>-$H$61*K16</f>
        <v>-186.55011319685786</v>
      </c>
      <c r="L61" s="82">
        <f>-$H$61*L16</f>
        <v>-194.06808275869125</v>
      </c>
      <c r="M61" s="82">
        <f>-$H$61*M16</f>
        <v>-201.88902649386651</v>
      </c>
      <c r="N61" s="82">
        <f>-$H$61*N16</f>
        <v>-210.0251542615693</v>
      </c>
    </row>
    <row r="62" spans="2:20" x14ac:dyDescent="0.25">
      <c r="J62" s="82">
        <f>J42+J61</f>
        <v>222.60394423015953</v>
      </c>
      <c r="K62" s="82">
        <f>K42+K61</f>
        <v>69.498269632316806</v>
      </c>
      <c r="L62" s="82">
        <f>L42+L61</f>
        <v>27.666518018870448</v>
      </c>
      <c r="M62" s="82">
        <f>M42+M61</f>
        <v>-30.85695167430211</v>
      </c>
      <c r="N62" s="82">
        <f>N42+N61</f>
        <v>-96.412350080846238</v>
      </c>
    </row>
  </sheetData>
  <conditionalFormatting sqref="H22:I40 H43:I46">
    <cfRule type="expression" dxfId="42" priority="3">
      <formula>$A$5=0</formula>
    </cfRule>
  </conditionalFormatting>
  <conditionalFormatting sqref="H6:I7">
    <cfRule type="expression" dxfId="41" priority="2">
      <formula>$A$5=0</formula>
    </cfRule>
  </conditionalFormatting>
  <conditionalFormatting sqref="H42:I42">
    <cfRule type="expression" dxfId="40" priority="1">
      <formula>$A$5=0</formula>
    </cfRule>
  </conditionalFormatting>
  <printOptions horizontalCentered="1"/>
  <pageMargins left="0.7" right="0.7" top="0.75" bottom="0.75" header="0.3" footer="0.3"/>
  <pageSetup scale="65" orientation="landscape" r:id="rId1"/>
  <ignoredErrors>
    <ignoredError sqref="A2:T3 A5:T34 A4:S4 A49:T55 A48 C48:I48 O48:T48 A58:T60 A56:I56 O56:T56 A57:J57 O57:T57 A61:G61 I61 O61:T61 A36:T47 A35:I35 O35:T35" unlockedFormula="1"/>
    <ignoredError sqref="T4" numberStoredAsText="1" unlockedFormula="1"/>
  </ignoredErrors>
  <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theme="9" tint="-0.249977111117893"/>
    <pageSetUpPr fitToPage="1"/>
  </sheetPr>
  <dimension ref="A1:W45"/>
  <sheetViews>
    <sheetView showGridLines="0" view="pageBreakPreview" zoomScale="70" zoomScaleNormal="110" zoomScaleSheetLayoutView="70" workbookViewId="0">
      <pane xSplit="6" ySplit="7" topLeftCell="G8" activePane="bottomRight" state="frozenSplit"/>
      <selection activeCell="J9" sqref="J9"/>
      <selection pane="topRight" activeCell="J9" sqref="J9"/>
      <selection pane="bottomLeft" activeCell="J9" sqref="J9"/>
      <selection pane="bottomRight" activeCell="G8" sqref="G8"/>
    </sheetView>
  </sheetViews>
  <sheetFormatPr defaultColWidth="9.42578125" defaultRowHeight="15" x14ac:dyDescent="0.25"/>
  <cols>
    <col min="1" max="1" width="1.5703125" style="1" customWidth="1"/>
    <col min="2" max="5" width="3" style="1" customWidth="1"/>
    <col min="6" max="6" width="18.42578125" style="1" customWidth="1"/>
    <col min="7" max="9" width="12.42578125" style="1" customWidth="1"/>
    <col min="10" max="14" width="11.5703125" style="1" customWidth="1"/>
    <col min="15" max="15" width="9.42578125" style="1"/>
    <col min="16" max="16" width="11.42578125" style="1" customWidth="1"/>
    <col min="17" max="17" width="12.5703125" style="1" customWidth="1"/>
    <col min="18" max="20" width="10.5703125" style="1" customWidth="1"/>
    <col min="21" max="21" width="13.42578125" style="1" bestFit="1" customWidth="1"/>
    <col min="22" max="16384" width="9.42578125" style="1"/>
  </cols>
  <sheetData>
    <row r="1" spans="1:22" ht="6" customHeight="1" thickBot="1" x14ac:dyDescent="0.3">
      <c r="B1" s="85"/>
      <c r="C1" s="86"/>
      <c r="D1" s="85"/>
      <c r="E1" s="85"/>
      <c r="F1" s="85"/>
      <c r="G1" s="85"/>
      <c r="H1" s="85"/>
      <c r="I1" s="85"/>
      <c r="J1" s="85"/>
      <c r="K1" s="85"/>
      <c r="L1" s="85"/>
      <c r="M1" s="85"/>
      <c r="N1" s="85"/>
    </row>
    <row r="2" spans="1:22" ht="16.5" thickTop="1" x14ac:dyDescent="0.25">
      <c r="B2" s="110" t="str">
        <f>MainOutline!B2</f>
        <v>WB Santa Cruz</v>
      </c>
      <c r="C2" s="111"/>
      <c r="D2" s="111"/>
      <c r="E2" s="111"/>
      <c r="F2" s="111"/>
      <c r="G2" s="111"/>
      <c r="H2" s="111"/>
      <c r="I2" s="111"/>
      <c r="J2" s="508" t="str">
        <f>'A1'!$C$90</f>
        <v>Acquisition of an existing facility</v>
      </c>
      <c r="K2" s="111"/>
      <c r="L2" s="111"/>
      <c r="M2" s="111"/>
      <c r="N2" s="1409">
        <f>$A3</f>
        <v>19</v>
      </c>
    </row>
    <row r="3" spans="1:22" ht="15.75" x14ac:dyDescent="0.25">
      <c r="A3" s="123">
        <f>MainOutline!B34</f>
        <v>19</v>
      </c>
      <c r="B3" s="102" t="str">
        <f>MainOutline!C34</f>
        <v>Appendix A2</v>
      </c>
      <c r="C3" s="89"/>
      <c r="D3" s="89"/>
      <c r="E3" s="89"/>
      <c r="F3" s="89"/>
      <c r="G3" s="89"/>
      <c r="H3" s="89"/>
      <c r="I3" s="89"/>
      <c r="J3" s="89"/>
      <c r="K3" s="89"/>
      <c r="L3" s="89"/>
      <c r="M3" s="89"/>
      <c r="N3" s="89"/>
    </row>
    <row r="4" spans="1:22" ht="16.5" thickBot="1" x14ac:dyDescent="0.3">
      <c r="B4" s="104" t="s">
        <v>373</v>
      </c>
      <c r="C4" s="97"/>
      <c r="D4" s="97"/>
      <c r="E4" s="97"/>
      <c r="F4" s="97"/>
      <c r="G4" s="97"/>
      <c r="H4" s="97"/>
      <c r="I4" s="97"/>
      <c r="J4" s="97"/>
      <c r="K4" s="97"/>
      <c r="L4" s="97"/>
      <c r="M4" s="97"/>
      <c r="N4" s="388" t="str">
        <f>ApndxA1!T4</f>
        <v>($000)</v>
      </c>
    </row>
    <row r="5" spans="1:22" ht="15.75" thickTop="1" x14ac:dyDescent="0.25">
      <c r="A5" s="123">
        <f>IF('A1'!$B$84=1,1,0)</f>
        <v>0</v>
      </c>
      <c r="H5" s="1116">
        <f>'A1'!Q37</f>
        <v>1</v>
      </c>
      <c r="I5" s="1116">
        <f>'A1'!Q38</f>
        <v>0</v>
      </c>
      <c r="J5" s="1116"/>
      <c r="P5" s="1" t="s">
        <v>532</v>
      </c>
      <c r="U5" s="1">
        <f>H5</f>
        <v>1</v>
      </c>
      <c r="V5" s="1">
        <f>I5</f>
        <v>0</v>
      </c>
    </row>
    <row r="6" spans="1:22" ht="16.5" x14ac:dyDescent="0.35">
      <c r="G6" s="690" t="s">
        <v>484</v>
      </c>
      <c r="H6" s="690" t="s">
        <v>274</v>
      </c>
      <c r="I6" s="690" t="s">
        <v>73</v>
      </c>
      <c r="J6" s="681" t="s">
        <v>375</v>
      </c>
      <c r="K6" s="682"/>
      <c r="L6" s="682"/>
      <c r="M6" s="682"/>
      <c r="N6" s="682"/>
      <c r="P6" s="1" t="s">
        <v>274</v>
      </c>
      <c r="Q6" s="1" t="s">
        <v>73</v>
      </c>
      <c r="R6" s="173" t="s">
        <v>533</v>
      </c>
      <c r="S6" s="173" t="s">
        <v>1099</v>
      </c>
      <c r="T6" s="173"/>
    </row>
    <row r="7" spans="1:22" s="173" customFormat="1" ht="15.75" thickBot="1" x14ac:dyDescent="0.3">
      <c r="G7" s="691" t="s">
        <v>485</v>
      </c>
      <c r="H7" s="691" t="s">
        <v>343</v>
      </c>
      <c r="I7" s="691" t="s">
        <v>343</v>
      </c>
      <c r="J7" s="683" t="s">
        <v>116</v>
      </c>
      <c r="K7" s="683" t="s">
        <v>90</v>
      </c>
      <c r="L7" s="683" t="s">
        <v>91</v>
      </c>
      <c r="M7" s="683" t="s">
        <v>92</v>
      </c>
      <c r="N7" s="683" t="s">
        <v>93</v>
      </c>
      <c r="P7" s="173" t="s">
        <v>534</v>
      </c>
      <c r="Q7" s="173" t="s">
        <v>534</v>
      </c>
      <c r="R7" s="173" t="s">
        <v>534</v>
      </c>
      <c r="S7" s="173" t="s">
        <v>1100</v>
      </c>
    </row>
    <row r="8" spans="1:22" x14ac:dyDescent="0.25">
      <c r="B8" s="1" t="s">
        <v>168</v>
      </c>
    </row>
    <row r="9" spans="1:22" x14ac:dyDescent="0.25">
      <c r="C9" s="1" t="s">
        <v>42</v>
      </c>
      <c r="G9" s="13">
        <f>ApndxA3!G32</f>
        <v>639.82006616561944</v>
      </c>
      <c r="H9" s="13">
        <f>ApndxA3!H32*$A$5</f>
        <v>0</v>
      </c>
      <c r="I9" s="13">
        <f>ApndxA3!I32*$A$5</f>
        <v>0</v>
      </c>
      <c r="J9" s="13">
        <f>ApndxA3!J32</f>
        <v>391.25153362245516</v>
      </c>
      <c r="K9" s="13">
        <f>ApndxA3!K32</f>
        <v>446.11592588000491</v>
      </c>
      <c r="L9" s="13">
        <f>ApndxA3!L32</f>
        <v>438.41564330199412</v>
      </c>
      <c r="M9" s="13">
        <f>ApndxA3!M32</f>
        <v>464.11029479130252</v>
      </c>
      <c r="N9" s="13">
        <f>ApndxA3!N32</f>
        <v>491.42461984622207</v>
      </c>
      <c r="P9" s="13">
        <f>ApndxB5!T19</f>
        <v>0</v>
      </c>
      <c r="Q9" s="381">
        <f>ApndxB6!AF19</f>
        <v>0</v>
      </c>
      <c r="R9" s="13">
        <f>ApndxB3!AC9</f>
        <v>391.25153362245516</v>
      </c>
      <c r="U9" s="13">
        <f t="shared" ref="U9:V13" si="0">H9</f>
        <v>0</v>
      </c>
      <c r="V9" s="13">
        <f t="shared" si="0"/>
        <v>0</v>
      </c>
    </row>
    <row r="10" spans="1:22" x14ac:dyDescent="0.25">
      <c r="C10" s="1" t="s">
        <v>169</v>
      </c>
      <c r="G10" s="13">
        <f>'A5'!U13</f>
        <v>0</v>
      </c>
      <c r="H10" s="13">
        <v>0</v>
      </c>
      <c r="I10" s="13">
        <v>0</v>
      </c>
      <c r="J10" s="13">
        <f>ApndxB3!AC10</f>
        <v>580.89991337662298</v>
      </c>
      <c r="K10" s="13">
        <f>ApndxB3!AD10</f>
        <v>594.04109980867736</v>
      </c>
      <c r="L10" s="13">
        <f>ApndxB3!AE10</f>
        <v>619.41700930848253</v>
      </c>
      <c r="M10" s="13">
        <f>ApndxB3!AF10</f>
        <v>644.37951478361458</v>
      </c>
      <c r="N10" s="13">
        <f>ApndxB3!AG10</f>
        <v>670.34800922939405</v>
      </c>
      <c r="P10" s="13">
        <v>0</v>
      </c>
      <c r="R10" s="13">
        <f>ApndxB3!AC10</f>
        <v>580.89991337662298</v>
      </c>
      <c r="S10" s="381">
        <f>J10-G10</f>
        <v>580.89991337662298</v>
      </c>
      <c r="T10" s="381"/>
      <c r="U10" s="13">
        <f t="shared" si="0"/>
        <v>0</v>
      </c>
      <c r="V10" s="13">
        <f t="shared" si="0"/>
        <v>0</v>
      </c>
    </row>
    <row r="11" spans="1:22" x14ac:dyDescent="0.25">
      <c r="C11" s="1" t="s">
        <v>170</v>
      </c>
      <c r="G11" s="13">
        <f>'A5'!U14</f>
        <v>0</v>
      </c>
      <c r="H11" s="13">
        <v>0</v>
      </c>
      <c r="I11" s="13">
        <v>0</v>
      </c>
      <c r="J11" s="13">
        <f>ApndxB3!AC11</f>
        <v>89.281654378588115</v>
      </c>
      <c r="K11" s="13">
        <f>ApndxB3!AD11</f>
        <v>92.687351951218048</v>
      </c>
      <c r="L11" s="13">
        <f>ApndxB3!AE11</f>
        <v>99.513962086896953</v>
      </c>
      <c r="M11" s="13">
        <f>ApndxB3!AF11</f>
        <v>106.59935618748403</v>
      </c>
      <c r="N11" s="13">
        <f>ApndxB3!AG11</f>
        <v>114.18923034803294</v>
      </c>
      <c r="P11" s="13">
        <v>0</v>
      </c>
      <c r="Q11" s="381"/>
      <c r="R11" s="13">
        <f>ApndxB3!AC11</f>
        <v>89.281654378588115</v>
      </c>
      <c r="S11" s="381">
        <f>J11-G11</f>
        <v>89.281654378588115</v>
      </c>
      <c r="T11" s="381"/>
      <c r="U11" s="13">
        <f t="shared" si="0"/>
        <v>0</v>
      </c>
      <c r="V11" s="13">
        <f t="shared" si="0"/>
        <v>0</v>
      </c>
    </row>
    <row r="12" spans="1:22" x14ac:dyDescent="0.25">
      <c r="C12" s="1" t="s">
        <v>171</v>
      </c>
      <c r="G12" s="13">
        <f>'A5'!U15</f>
        <v>23.874359999999999</v>
      </c>
      <c r="H12" s="13">
        <f>ApndxB5!T20*$A$5</f>
        <v>0</v>
      </c>
      <c r="I12" s="13">
        <f>ApndxB6!AF20*$A$5</f>
        <v>0</v>
      </c>
      <c r="J12" s="13">
        <f>ApndxB3!AC12</f>
        <v>21.157908571428568</v>
      </c>
      <c r="K12" s="13">
        <f>ApndxB3!AD12</f>
        <v>152.44145714285716</v>
      </c>
      <c r="L12" s="13">
        <f>ApndxB3!AE12</f>
        <v>38.953165714285717</v>
      </c>
      <c r="M12" s="13">
        <f>ApndxB3!AF12</f>
        <v>-74.535125714285698</v>
      </c>
      <c r="N12" s="13">
        <f>ApndxB3!AG12</f>
        <v>-188.02341714285711</v>
      </c>
      <c r="P12" s="13">
        <f>ApndxB5!T20</f>
        <v>23.874359999999999</v>
      </c>
      <c r="Q12" s="381">
        <f>ApndxB6!AF20</f>
        <v>0</v>
      </c>
      <c r="R12" s="13">
        <f>ApndxB3!AC12</f>
        <v>21.157908571428568</v>
      </c>
      <c r="U12" s="13">
        <f t="shared" si="0"/>
        <v>0</v>
      </c>
      <c r="V12" s="13">
        <f t="shared" si="0"/>
        <v>0</v>
      </c>
    </row>
    <row r="13" spans="1:22" x14ac:dyDescent="0.25">
      <c r="C13" s="1" t="s">
        <v>172</v>
      </c>
      <c r="G13" s="13">
        <f>'A5'!U16</f>
        <v>0</v>
      </c>
      <c r="H13" s="13">
        <v>0</v>
      </c>
      <c r="I13" s="13"/>
      <c r="J13" s="13"/>
      <c r="K13" s="13"/>
      <c r="L13" s="13"/>
      <c r="M13" s="13"/>
      <c r="N13" s="13"/>
      <c r="P13" s="13"/>
      <c r="Q13" s="381"/>
      <c r="R13" s="13">
        <f>ApndxB3!AC13</f>
        <v>0</v>
      </c>
      <c r="U13" s="13">
        <f t="shared" si="0"/>
        <v>0</v>
      </c>
      <c r="V13" s="13">
        <f t="shared" si="0"/>
        <v>0</v>
      </c>
    </row>
    <row r="14" spans="1:22" ht="15.75" thickBot="1" x14ac:dyDescent="0.3">
      <c r="B14" s="687" t="s">
        <v>43</v>
      </c>
      <c r="C14" s="687"/>
      <c r="D14" s="687"/>
      <c r="E14" s="687"/>
      <c r="F14" s="687"/>
      <c r="G14" s="689">
        <f t="shared" ref="G14:R14" si="1">SUM(G9:G13)</f>
        <v>663.69442616561946</v>
      </c>
      <c r="H14" s="689">
        <f t="shared" si="1"/>
        <v>0</v>
      </c>
      <c r="I14" s="689">
        <f t="shared" si="1"/>
        <v>0</v>
      </c>
      <c r="J14" s="689">
        <f t="shared" si="1"/>
        <v>1082.591009949095</v>
      </c>
      <c r="K14" s="689">
        <f t="shared" si="1"/>
        <v>1285.2858347827575</v>
      </c>
      <c r="L14" s="689">
        <f t="shared" si="1"/>
        <v>1196.2997804116592</v>
      </c>
      <c r="M14" s="689">
        <f t="shared" si="1"/>
        <v>1140.5540400481157</v>
      </c>
      <c r="N14" s="689">
        <f t="shared" si="1"/>
        <v>1087.9384422807918</v>
      </c>
      <c r="P14" s="689">
        <f t="shared" si="1"/>
        <v>23.874359999999999</v>
      </c>
      <c r="Q14" s="689">
        <f t="shared" si="1"/>
        <v>0</v>
      </c>
      <c r="R14" s="689">
        <f t="shared" si="1"/>
        <v>1082.591009949095</v>
      </c>
      <c r="U14" s="13"/>
      <c r="V14" s="13"/>
    </row>
    <row r="15" spans="1:22" ht="15.75" thickTop="1" x14ac:dyDescent="0.25">
      <c r="J15" s="13"/>
      <c r="K15" s="13"/>
      <c r="L15" s="13"/>
      <c r="M15" s="13"/>
      <c r="N15" s="13"/>
      <c r="P15" s="13"/>
      <c r="Q15" s="381"/>
      <c r="U15" s="13"/>
      <c r="V15" s="13"/>
    </row>
    <row r="16" spans="1:22" x14ac:dyDescent="0.25">
      <c r="B16" s="1" t="s">
        <v>173</v>
      </c>
      <c r="J16" s="13"/>
      <c r="K16" s="13"/>
      <c r="L16" s="13"/>
      <c r="M16" s="13"/>
      <c r="N16" s="13"/>
      <c r="P16" s="13"/>
      <c r="Q16" s="381"/>
      <c r="T16" s="1" t="s">
        <v>1106</v>
      </c>
      <c r="U16" s="13"/>
      <c r="V16" s="13"/>
    </row>
    <row r="17" spans="2:23" x14ac:dyDescent="0.25">
      <c r="C17" s="1" t="s">
        <v>174</v>
      </c>
      <c r="G17" s="13">
        <f>'A5'!U20</f>
        <v>0</v>
      </c>
      <c r="H17" s="13">
        <f>ApndxB5!T24*$A$5</f>
        <v>0</v>
      </c>
      <c r="I17" s="13">
        <f>ApndxB6!AF24*$A$5</f>
        <v>0</v>
      </c>
      <c r="J17" s="13">
        <f>ApndxB3!AC17</f>
        <v>331.32589989843899</v>
      </c>
      <c r="K17" s="13">
        <f>ApndxB3!AD17</f>
        <v>342.14091405274218</v>
      </c>
      <c r="L17" s="13">
        <f>ApndxB3!AE17</f>
        <v>363.73196696735096</v>
      </c>
      <c r="M17" s="13">
        <f>ApndxB3!AF17</f>
        <v>385.99221576212608</v>
      </c>
      <c r="N17" s="13">
        <f>ApndxB3!AG17</f>
        <v>409.71717341180749</v>
      </c>
      <c r="P17" s="13">
        <f>ApndxB5!T24</f>
        <v>0</v>
      </c>
      <c r="Q17" s="381">
        <f>ApndxB6!AF24</f>
        <v>0</v>
      </c>
      <c r="R17" s="13">
        <f>ApndxB3!AC17</f>
        <v>331.32589989843899</v>
      </c>
      <c r="S17" s="381">
        <f>J17-T17</f>
        <v>331.32589989843899</v>
      </c>
      <c r="T17" s="381">
        <f>IF(AcqType=1,ApndxA2!W17,'A5'!U20)</f>
        <v>0</v>
      </c>
      <c r="U17" s="13">
        <f>H17</f>
        <v>0</v>
      </c>
      <c r="V17" s="13">
        <f>I17</f>
        <v>0</v>
      </c>
      <c r="W17" s="1">
        <f>IF(V5&gt;0,V17,U17)</f>
        <v>0</v>
      </c>
    </row>
    <row r="18" spans="2:23" ht="17.25" x14ac:dyDescent="0.4">
      <c r="C18" s="1" t="s">
        <v>59</v>
      </c>
      <c r="G18" s="558">
        <f>IF(AcqType=2,'A1'!V59,0)</f>
        <v>0</v>
      </c>
      <c r="H18" s="558">
        <f>(G18+ApndxA3!H23)*A5</f>
        <v>0</v>
      </c>
      <c r="I18" s="558">
        <f>ApndxB6!AF25*$A$5</f>
        <v>0</v>
      </c>
      <c r="J18" s="558">
        <f>ApndxB3!AC18</f>
        <v>0</v>
      </c>
      <c r="K18" s="558">
        <f>ApndxB3!AD18</f>
        <v>0</v>
      </c>
      <c r="L18" s="558">
        <f>ApndxB3!AE18</f>
        <v>0</v>
      </c>
      <c r="M18" s="558">
        <f>ApndxB3!AF18</f>
        <v>0</v>
      </c>
      <c r="N18" s="558">
        <f>ApndxB3!AG18</f>
        <v>0</v>
      </c>
      <c r="P18" s="558">
        <f>ApndxB5!T25</f>
        <v>0</v>
      </c>
      <c r="Q18" s="560">
        <f>ApndxB6!AF25</f>
        <v>0</v>
      </c>
      <c r="R18" s="558">
        <f>ApndxB3!AC18</f>
        <v>0</v>
      </c>
      <c r="U18" s="13">
        <f>H18</f>
        <v>0</v>
      </c>
      <c r="V18" s="13">
        <f>I18</f>
        <v>0</v>
      </c>
    </row>
    <row r="19" spans="2:23" x14ac:dyDescent="0.25">
      <c r="D19" s="1" t="s">
        <v>13</v>
      </c>
      <c r="G19" s="13">
        <f t="shared" ref="G19:N19" si="2">SUM(G17:G18)</f>
        <v>0</v>
      </c>
      <c r="H19" s="13">
        <f t="shared" si="2"/>
        <v>0</v>
      </c>
      <c r="I19" s="13">
        <f t="shared" si="2"/>
        <v>0</v>
      </c>
      <c r="J19" s="13">
        <f t="shared" si="2"/>
        <v>331.32589989843899</v>
      </c>
      <c r="K19" s="13">
        <f t="shared" si="2"/>
        <v>342.14091405274218</v>
      </c>
      <c r="L19" s="13">
        <f t="shared" si="2"/>
        <v>363.73196696735096</v>
      </c>
      <c r="M19" s="13">
        <f t="shared" si="2"/>
        <v>385.99221576212608</v>
      </c>
      <c r="N19" s="13">
        <f t="shared" si="2"/>
        <v>409.71717341180749</v>
      </c>
      <c r="P19" s="13">
        <f>SUM(P17:P18)</f>
        <v>0</v>
      </c>
      <c r="Q19" s="13">
        <f>SUM(Q17:Q18)</f>
        <v>0</v>
      </c>
      <c r="R19" s="13">
        <f>ApndxB3!AC19</f>
        <v>331.32589989843899</v>
      </c>
      <c r="U19" s="13"/>
      <c r="V19" s="13"/>
    </row>
    <row r="20" spans="2:23" x14ac:dyDescent="0.25">
      <c r="H20" s="13"/>
      <c r="I20" s="13"/>
      <c r="J20" s="13"/>
      <c r="K20" s="13"/>
      <c r="L20" s="13"/>
      <c r="M20" s="13"/>
      <c r="N20" s="13"/>
      <c r="P20" s="13"/>
      <c r="Q20" s="381"/>
      <c r="U20" s="13"/>
      <c r="V20" s="13"/>
    </row>
    <row r="21" spans="2:23" x14ac:dyDescent="0.25">
      <c r="B21" s="1" t="s">
        <v>176</v>
      </c>
      <c r="H21" s="13"/>
      <c r="I21" s="13"/>
      <c r="J21" s="13"/>
      <c r="K21" s="13"/>
      <c r="L21" s="13"/>
      <c r="M21" s="13"/>
      <c r="N21" s="13"/>
      <c r="P21" s="13"/>
      <c r="Q21" s="381"/>
      <c r="U21" s="13"/>
      <c r="V21" s="13"/>
    </row>
    <row r="22" spans="2:23" x14ac:dyDescent="0.25">
      <c r="C22" s="1" t="s">
        <v>1085</v>
      </c>
      <c r="G22" s="13">
        <f>IF('A5'!M4=1,'A5'!P26,'A5'!U24)</f>
        <v>23.874359999999999</v>
      </c>
      <c r="H22" s="13">
        <f>G22*$A$5</f>
        <v>0</v>
      </c>
      <c r="I22" s="13">
        <f>H22*$A$5</f>
        <v>0</v>
      </c>
      <c r="J22" s="13">
        <f>G22</f>
        <v>23.874359999999999</v>
      </c>
      <c r="K22" s="13">
        <f>J22</f>
        <v>23.874359999999999</v>
      </c>
      <c r="L22" s="13">
        <f>K22</f>
        <v>23.874359999999999</v>
      </c>
      <c r="M22" s="13">
        <f>L22</f>
        <v>23.874359999999999</v>
      </c>
      <c r="N22" s="13">
        <f>M22</f>
        <v>23.874359999999999</v>
      </c>
      <c r="P22" s="13"/>
      <c r="Q22" s="381"/>
      <c r="U22" s="13">
        <f t="shared" ref="U22:V25" si="3">H22</f>
        <v>0</v>
      </c>
      <c r="V22" s="13">
        <f t="shared" si="3"/>
        <v>0</v>
      </c>
    </row>
    <row r="23" spans="2:23" x14ac:dyDescent="0.25">
      <c r="C23" s="1" t="s">
        <v>511</v>
      </c>
      <c r="G23" s="13">
        <f>G34</f>
        <v>0</v>
      </c>
      <c r="H23" s="13">
        <f>H34*$A$5</f>
        <v>0</v>
      </c>
      <c r="I23" s="13">
        <f>I34*$A$5</f>
        <v>0</v>
      </c>
      <c r="J23" s="13">
        <f>J34</f>
        <v>0</v>
      </c>
      <c r="K23" s="13">
        <f>K34</f>
        <v>0</v>
      </c>
      <c r="L23" s="13">
        <f>L34</f>
        <v>0</v>
      </c>
      <c r="M23" s="13">
        <f>M34</f>
        <v>0</v>
      </c>
      <c r="N23" s="13">
        <f>N34</f>
        <v>0</v>
      </c>
      <c r="P23" s="13"/>
      <c r="Q23" s="381"/>
      <c r="R23" s="13">
        <f>ApndxB3!AC23</f>
        <v>0</v>
      </c>
      <c r="U23" s="13">
        <f t="shared" si="3"/>
        <v>0</v>
      </c>
      <c r="V23" s="13">
        <f t="shared" si="3"/>
        <v>0</v>
      </c>
    </row>
    <row r="24" spans="2:23" ht="17.25" x14ac:dyDescent="0.4">
      <c r="C24" s="1" t="s">
        <v>11</v>
      </c>
      <c r="G24" s="558">
        <f>G40</f>
        <v>639.82006616561944</v>
      </c>
      <c r="H24" s="558">
        <f t="shared" ref="H24:N24" si="4">H40</f>
        <v>0</v>
      </c>
      <c r="I24" s="558">
        <f t="shared" si="4"/>
        <v>0</v>
      </c>
      <c r="J24" s="558">
        <f t="shared" si="4"/>
        <v>727.39075005065581</v>
      </c>
      <c r="K24" s="558">
        <f t="shared" si="4"/>
        <v>919.27056073001529</v>
      </c>
      <c r="L24" s="558">
        <f t="shared" si="4"/>
        <v>808.69345344430837</v>
      </c>
      <c r="M24" s="558">
        <f t="shared" si="4"/>
        <v>730.68746428598934</v>
      </c>
      <c r="N24" s="558">
        <f t="shared" si="4"/>
        <v>654.34690886898443</v>
      </c>
      <c r="P24" s="13"/>
      <c r="Q24" s="381"/>
      <c r="R24" s="13">
        <f>ApndxB3!AC24</f>
        <v>727.39075005065581</v>
      </c>
      <c r="U24" s="13">
        <f t="shared" si="3"/>
        <v>0</v>
      </c>
      <c r="V24" s="13">
        <f t="shared" si="3"/>
        <v>0</v>
      </c>
    </row>
    <row r="25" spans="2:23" x14ac:dyDescent="0.25">
      <c r="D25" s="1" t="s">
        <v>13</v>
      </c>
      <c r="G25" s="13">
        <f t="shared" ref="G25:N25" si="5">SUM(G22:G24)</f>
        <v>663.69442616561946</v>
      </c>
      <c r="H25" s="13">
        <f t="shared" si="5"/>
        <v>0</v>
      </c>
      <c r="I25" s="13">
        <f t="shared" si="5"/>
        <v>0</v>
      </c>
      <c r="J25" s="13">
        <f t="shared" si="5"/>
        <v>751.26511005065584</v>
      </c>
      <c r="K25" s="13">
        <f t="shared" si="5"/>
        <v>943.14492073001531</v>
      </c>
      <c r="L25" s="13">
        <f t="shared" si="5"/>
        <v>832.5678134443084</v>
      </c>
      <c r="M25" s="13">
        <f t="shared" si="5"/>
        <v>754.56182428598936</v>
      </c>
      <c r="N25" s="13">
        <f t="shared" si="5"/>
        <v>678.22126886898445</v>
      </c>
      <c r="P25" s="13">
        <f>ApndxB5!T26</f>
        <v>0</v>
      </c>
      <c r="Q25" s="381">
        <f>ApndxB6!AF26</f>
        <v>0</v>
      </c>
      <c r="R25" s="13">
        <f>ApndxB3!AC25</f>
        <v>751.26511005065584</v>
      </c>
      <c r="U25" s="13">
        <f t="shared" si="3"/>
        <v>0</v>
      </c>
      <c r="V25" s="13">
        <f t="shared" si="3"/>
        <v>0</v>
      </c>
    </row>
    <row r="26" spans="2:23" x14ac:dyDescent="0.25">
      <c r="G26" s="13"/>
      <c r="H26" s="13"/>
      <c r="I26" s="13"/>
      <c r="J26" s="13"/>
      <c r="K26" s="13"/>
      <c r="L26" s="13"/>
      <c r="M26" s="13"/>
      <c r="N26" s="13"/>
      <c r="P26" s="13"/>
      <c r="Q26" s="381"/>
    </row>
    <row r="27" spans="2:23" ht="15.75" thickBot="1" x14ac:dyDescent="0.3">
      <c r="B27" s="687" t="s">
        <v>181</v>
      </c>
      <c r="C27" s="687"/>
      <c r="D27" s="687"/>
      <c r="E27" s="687"/>
      <c r="F27" s="687"/>
      <c r="G27" s="689">
        <f t="shared" ref="G27:N27" si="6">G19+G25</f>
        <v>663.69442616561946</v>
      </c>
      <c r="H27" s="689">
        <f t="shared" si="6"/>
        <v>0</v>
      </c>
      <c r="I27" s="689">
        <f t="shared" si="6"/>
        <v>0</v>
      </c>
      <c r="J27" s="689">
        <f t="shared" si="6"/>
        <v>1082.5910099490948</v>
      </c>
      <c r="K27" s="689">
        <f t="shared" si="6"/>
        <v>1285.2858347827575</v>
      </c>
      <c r="L27" s="689">
        <f t="shared" si="6"/>
        <v>1196.2997804116594</v>
      </c>
      <c r="M27" s="689">
        <f t="shared" si="6"/>
        <v>1140.5540400481154</v>
      </c>
      <c r="N27" s="689">
        <f t="shared" si="6"/>
        <v>1087.9384422807921</v>
      </c>
      <c r="P27" s="689">
        <f>P19+P25</f>
        <v>0</v>
      </c>
      <c r="Q27" s="689">
        <f>Q19+Q25</f>
        <v>0</v>
      </c>
      <c r="R27" s="689">
        <f>R19+R25</f>
        <v>1082.5910099490948</v>
      </c>
    </row>
    <row r="28" spans="2:23" ht="15.75" thickTop="1" x14ac:dyDescent="0.25">
      <c r="G28" s="13">
        <f>G14-G27</f>
        <v>0</v>
      </c>
      <c r="H28" s="13">
        <f>H14-H27</f>
        <v>0</v>
      </c>
      <c r="I28" s="13">
        <f>(I14-I27)*A5</f>
        <v>0</v>
      </c>
      <c r="J28" s="13">
        <f>J14-J27</f>
        <v>0</v>
      </c>
      <c r="K28" s="13">
        <f>K14-K27</f>
        <v>0</v>
      </c>
      <c r="L28" s="13">
        <f>L14-L27</f>
        <v>0</v>
      </c>
      <c r="M28" s="13">
        <f>M14-M27</f>
        <v>0</v>
      </c>
      <c r="N28" s="13">
        <f>N14-N27</f>
        <v>0</v>
      </c>
      <c r="P28" s="13">
        <f>P14-P27</f>
        <v>23.874359999999999</v>
      </c>
      <c r="Q28" s="13">
        <f>Q14-Q27</f>
        <v>0</v>
      </c>
      <c r="R28" s="13">
        <f>R14-R27</f>
        <v>0</v>
      </c>
    </row>
    <row r="30" spans="2:23" x14ac:dyDescent="0.25">
      <c r="B30" s="106" t="s">
        <v>592</v>
      </c>
      <c r="J30" s="381"/>
    </row>
    <row r="31" spans="2:23" x14ac:dyDescent="0.25">
      <c r="C31" s="1" t="s">
        <v>177</v>
      </c>
      <c r="G31" s="13"/>
      <c r="H31" s="13">
        <f>G34*$A$5</f>
        <v>0</v>
      </c>
      <c r="I31" s="13">
        <f>IF($I$5=0,0,H34*$A$5)</f>
        <v>0</v>
      </c>
      <c r="J31" s="13">
        <f>IF($A$5=0,G34,IF($I$5=0,H34,I34))</f>
        <v>0</v>
      </c>
      <c r="K31" s="13">
        <f>J34</f>
        <v>0</v>
      </c>
      <c r="L31" s="13">
        <f>K34</f>
        <v>0</v>
      </c>
      <c r="M31" s="13">
        <f>L34</f>
        <v>0</v>
      </c>
      <c r="N31" s="13">
        <f>M34</f>
        <v>0</v>
      </c>
      <c r="P31" s="1" t="s">
        <v>423</v>
      </c>
      <c r="Q31" s="1" t="s">
        <v>424</v>
      </c>
      <c r="R31" s="1" t="s">
        <v>416</v>
      </c>
      <c r="S31" s="173" t="s">
        <v>416</v>
      </c>
      <c r="T31" s="173"/>
    </row>
    <row r="32" spans="2:23" x14ac:dyDescent="0.25">
      <c r="C32" s="1" t="s">
        <v>178</v>
      </c>
      <c r="D32" s="1" t="s">
        <v>588</v>
      </c>
      <c r="G32" s="13"/>
      <c r="H32" s="13">
        <f>ApndxA1!H43</f>
        <v>0</v>
      </c>
      <c r="I32" s="13">
        <f>ApndxA1!I43</f>
        <v>0</v>
      </c>
      <c r="J32" s="13">
        <f>ApndxA1!J43</f>
        <v>0</v>
      </c>
      <c r="K32" s="13">
        <f>ApndxA1!K43</f>
        <v>0</v>
      </c>
      <c r="L32" s="13">
        <f>ApndxA1!L43</f>
        <v>0</v>
      </c>
      <c r="M32" s="13">
        <f>ApndxA1!M43</f>
        <v>0</v>
      </c>
      <c r="N32" s="13">
        <f>ApndxA1!N43</f>
        <v>0</v>
      </c>
      <c r="P32" s="81">
        <f>SUM(G28:N28)</f>
        <v>0</v>
      </c>
      <c r="Q32" s="81">
        <f>SUM(ApndxB3!G28:AG28)</f>
        <v>0</v>
      </c>
      <c r="R32" s="81">
        <f>P32+Q32</f>
        <v>0</v>
      </c>
      <c r="S32" s="692">
        <f>ROUND(R32,0)</f>
        <v>0</v>
      </c>
      <c r="T32" s="81"/>
    </row>
    <row r="33" spans="2:20" x14ac:dyDescent="0.25">
      <c r="C33" s="1" t="s">
        <v>179</v>
      </c>
      <c r="D33" s="1" t="s">
        <v>591</v>
      </c>
      <c r="G33" s="13"/>
      <c r="H33" s="13">
        <v>0</v>
      </c>
      <c r="I33" s="13">
        <v>0</v>
      </c>
      <c r="J33" s="13">
        <f>-'D2'!H38</f>
        <v>0</v>
      </c>
      <c r="K33" s="13">
        <f>-'D2'!I38</f>
        <v>0</v>
      </c>
      <c r="L33" s="13">
        <f>-'D2'!J38</f>
        <v>0</v>
      </c>
      <c r="M33" s="13">
        <f>-'D2'!K38</f>
        <v>0</v>
      </c>
      <c r="N33" s="13">
        <f>-'D2'!L38</f>
        <v>0</v>
      </c>
      <c r="O33" s="13"/>
      <c r="P33" s="13"/>
    </row>
    <row r="34" spans="2:20" x14ac:dyDescent="0.25">
      <c r="C34" s="390" t="s">
        <v>199</v>
      </c>
      <c r="D34" s="390"/>
      <c r="E34" s="390"/>
      <c r="F34" s="390"/>
      <c r="G34" s="693">
        <f>'A1'!V61</f>
        <v>0</v>
      </c>
      <c r="H34" s="693">
        <f>SUM(H31:H33)</f>
        <v>0</v>
      </c>
      <c r="I34" s="693">
        <f t="shared" ref="I34:N34" si="7">SUM(I31:I33)</f>
        <v>0</v>
      </c>
      <c r="J34" s="693">
        <f t="shared" si="7"/>
        <v>0</v>
      </c>
      <c r="K34" s="693">
        <f t="shared" si="7"/>
        <v>0</v>
      </c>
      <c r="L34" s="693">
        <f t="shared" si="7"/>
        <v>0</v>
      </c>
      <c r="M34" s="693">
        <f t="shared" si="7"/>
        <v>0</v>
      </c>
      <c r="N34" s="693">
        <f t="shared" si="7"/>
        <v>0</v>
      </c>
      <c r="P34" s="13">
        <f>ApndxB3!AC34</f>
        <v>0</v>
      </c>
      <c r="Q34" s="13">
        <f>ApndxB3!AD34</f>
        <v>0</v>
      </c>
      <c r="R34" s="13">
        <f>ApndxB3!AE34</f>
        <v>0</v>
      </c>
      <c r="S34" s="13">
        <f>ApndxB3!AF34</f>
        <v>0</v>
      </c>
      <c r="T34" s="13"/>
    </row>
    <row r="36" spans="2:20" x14ac:dyDescent="0.25">
      <c r="B36" s="106" t="s">
        <v>593</v>
      </c>
      <c r="J36" s="381"/>
    </row>
    <row r="37" spans="2:20" x14ac:dyDescent="0.25">
      <c r="C37" s="1" t="str">
        <f>C31</f>
        <v>Beginning Balance</v>
      </c>
      <c r="G37" s="13"/>
      <c r="H37" s="13">
        <f>G40*$A$5</f>
        <v>0</v>
      </c>
      <c r="I37" s="13">
        <f>IF($I$5=0,0,H40*$A$5)</f>
        <v>0</v>
      </c>
      <c r="J37" s="13">
        <f>IF($A$5=0,G40,IF($I$5=0,H40,I40))</f>
        <v>639.82006616561944</v>
      </c>
      <c r="K37" s="13">
        <f>J40</f>
        <v>727.39075005065581</v>
      </c>
      <c r="L37" s="13">
        <f>K40</f>
        <v>919.27056073001529</v>
      </c>
      <c r="M37" s="13">
        <f>L40</f>
        <v>808.69345344430837</v>
      </c>
      <c r="N37" s="13">
        <f>M40</f>
        <v>730.68746428598934</v>
      </c>
    </row>
    <row r="38" spans="2:20" x14ac:dyDescent="0.25">
      <c r="C38" s="1" t="s">
        <v>178</v>
      </c>
      <c r="D38" s="1" t="str">
        <f>D32</f>
        <v>Increase</v>
      </c>
      <c r="G38" s="13"/>
      <c r="H38" s="13">
        <f>ApndxA1!H44</f>
        <v>0</v>
      </c>
      <c r="I38" s="13">
        <f>ApndxA1!I44</f>
        <v>0</v>
      </c>
      <c r="J38" s="13">
        <f>ApndxA1!J44</f>
        <v>401.07908596624316</v>
      </c>
      <c r="K38" s="13">
        <f>ApndxA1!K44</f>
        <v>256.04838282917467</v>
      </c>
      <c r="L38" s="13">
        <f>ApndxA1!L44</f>
        <v>221.7346007775617</v>
      </c>
      <c r="M38" s="13">
        <f>ApndxA1!M44</f>
        <v>171.0320748195644</v>
      </c>
      <c r="N38" s="13">
        <f>ApndxA1!N44</f>
        <v>113.61280418072306</v>
      </c>
    </row>
    <row r="39" spans="2:20" x14ac:dyDescent="0.25">
      <c r="C39" s="1" t="s">
        <v>179</v>
      </c>
      <c r="D39" s="1" t="str">
        <f>D33</f>
        <v>Payouts</v>
      </c>
      <c r="G39" s="13"/>
      <c r="H39" s="13">
        <v>0</v>
      </c>
      <c r="I39" s="13">
        <v>0</v>
      </c>
      <c r="J39" s="13">
        <f>ApndxA3!J24</f>
        <v>-313.50840208120678</v>
      </c>
      <c r="K39" s="13">
        <f>ApndxA3!K24</f>
        <v>-64.168572149815191</v>
      </c>
      <c r="L39" s="13">
        <f>ApndxA3!L24</f>
        <v>-332.31170806326861</v>
      </c>
      <c r="M39" s="13">
        <f>ApndxA3!M24</f>
        <v>-249.03806397788344</v>
      </c>
      <c r="N39" s="13">
        <f>ApndxA3!N24</f>
        <v>-189.95335959772797</v>
      </c>
    </row>
    <row r="40" spans="2:20" x14ac:dyDescent="0.25">
      <c r="C40" s="390" t="str">
        <f>C34</f>
        <v>Ending Balance</v>
      </c>
      <c r="D40" s="390"/>
      <c r="E40" s="390"/>
      <c r="F40" s="390"/>
      <c r="G40" s="693">
        <f>'A1'!V60</f>
        <v>639.82006616561944</v>
      </c>
      <c r="H40" s="693">
        <f t="shared" ref="H40:N40" si="8">SUM(H37:H39)</f>
        <v>0</v>
      </c>
      <c r="I40" s="693">
        <f t="shared" si="8"/>
        <v>0</v>
      </c>
      <c r="J40" s="693">
        <f t="shared" si="8"/>
        <v>727.39075005065581</v>
      </c>
      <c r="K40" s="693">
        <f t="shared" si="8"/>
        <v>919.27056073001529</v>
      </c>
      <c r="L40" s="693">
        <f t="shared" si="8"/>
        <v>808.69345344430837</v>
      </c>
      <c r="M40" s="693">
        <f t="shared" si="8"/>
        <v>730.68746428598934</v>
      </c>
      <c r="N40" s="693">
        <f t="shared" si="8"/>
        <v>654.34690886898443</v>
      </c>
    </row>
    <row r="44" spans="2:20" x14ac:dyDescent="0.25">
      <c r="G44" s="381">
        <f>G14</f>
        <v>663.69442616561946</v>
      </c>
      <c r="H44" s="381">
        <f>H14</f>
        <v>0</v>
      </c>
      <c r="I44" s="381">
        <f t="shared" ref="I44:N44" si="9">I14</f>
        <v>0</v>
      </c>
      <c r="J44" s="381">
        <f t="shared" si="9"/>
        <v>1082.591009949095</v>
      </c>
      <c r="K44" s="381">
        <f t="shared" si="9"/>
        <v>1285.2858347827575</v>
      </c>
      <c r="L44" s="381">
        <f t="shared" si="9"/>
        <v>1196.2997804116592</v>
      </c>
      <c r="M44" s="381">
        <f t="shared" si="9"/>
        <v>1140.5540400481157</v>
      </c>
      <c r="N44" s="381">
        <f t="shared" si="9"/>
        <v>1087.9384422807918</v>
      </c>
    </row>
    <row r="45" spans="2:20" x14ac:dyDescent="0.25">
      <c r="G45" s="381">
        <f>G27</f>
        <v>663.69442616561946</v>
      </c>
      <c r="H45" s="381">
        <f>H27</f>
        <v>0</v>
      </c>
      <c r="I45" s="381">
        <f t="shared" ref="I45:N45" si="10">I27</f>
        <v>0</v>
      </c>
      <c r="J45" s="381">
        <f t="shared" si="10"/>
        <v>1082.5910099490948</v>
      </c>
      <c r="K45" s="381">
        <f t="shared" si="10"/>
        <v>1285.2858347827575</v>
      </c>
      <c r="L45" s="381">
        <f t="shared" si="10"/>
        <v>1196.2997804116594</v>
      </c>
      <c r="M45" s="381">
        <f t="shared" si="10"/>
        <v>1140.5540400481154</v>
      </c>
      <c r="N45" s="381">
        <f t="shared" si="10"/>
        <v>1087.9384422807921</v>
      </c>
    </row>
  </sheetData>
  <conditionalFormatting sqref="I8 I10:I17 H27:I28">
    <cfRule type="expression" dxfId="39" priority="16">
      <formula>$A$5=0</formula>
    </cfRule>
  </conditionalFormatting>
  <conditionalFormatting sqref="I9">
    <cfRule type="expression" dxfId="38" priority="15">
      <formula>$A$5=0</formula>
    </cfRule>
  </conditionalFormatting>
  <conditionalFormatting sqref="I6:I7">
    <cfRule type="expression" dxfId="37" priority="14">
      <formula>$A$5=0</formula>
    </cfRule>
  </conditionalFormatting>
  <conditionalFormatting sqref="H6:H7">
    <cfRule type="expression" dxfId="36" priority="13">
      <formula>$A$5=0</formula>
    </cfRule>
  </conditionalFormatting>
  <conditionalFormatting sqref="H9:H17">
    <cfRule type="expression" dxfId="35" priority="12">
      <formula>$A$5=0</formula>
    </cfRule>
  </conditionalFormatting>
  <conditionalFormatting sqref="I31:I33">
    <cfRule type="expression" dxfId="34" priority="4">
      <formula>$A$5=0</formula>
    </cfRule>
  </conditionalFormatting>
  <conditionalFormatting sqref="H34:I34">
    <cfRule type="expression" dxfId="33" priority="9">
      <formula>$A$5=0</formula>
    </cfRule>
  </conditionalFormatting>
  <conditionalFormatting sqref="H40:I40">
    <cfRule type="expression" dxfId="32" priority="7">
      <formula>$A$5=0</formula>
    </cfRule>
  </conditionalFormatting>
  <conditionalFormatting sqref="I18:I26">
    <cfRule type="expression" dxfId="31" priority="6">
      <formula>$A$5=0</formula>
    </cfRule>
  </conditionalFormatting>
  <conditionalFormatting sqref="H18:H26">
    <cfRule type="expression" dxfId="30" priority="5">
      <formula>$A$5=0</formula>
    </cfRule>
  </conditionalFormatting>
  <conditionalFormatting sqref="H31:H33">
    <cfRule type="expression" dxfId="29" priority="3">
      <formula>$A$5=0</formula>
    </cfRule>
  </conditionalFormatting>
  <conditionalFormatting sqref="I37:I39">
    <cfRule type="expression" dxfId="28" priority="2">
      <formula>$A$5=0</formula>
    </cfRule>
  </conditionalFormatting>
  <conditionalFormatting sqref="H37:H39">
    <cfRule type="expression" dxfId="27" priority="1">
      <formula>$A$5=0</formula>
    </cfRule>
  </conditionalFormatting>
  <printOptions horizontalCentered="1"/>
  <pageMargins left="0.7" right="0.7" top="0.75" bottom="0.75" header="0.3" footer="0.3"/>
  <pageSetup scale="79" orientation="landscape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>
    <tabColor theme="9" tint="-0.249977111117893"/>
    <pageSetUpPr fitToPage="1"/>
  </sheetPr>
  <dimension ref="A1:Q42"/>
  <sheetViews>
    <sheetView showGridLines="0" view="pageBreakPreview" zoomScale="110" zoomScaleNormal="110" zoomScaleSheetLayoutView="110" workbookViewId="0">
      <pane xSplit="6" ySplit="7" topLeftCell="G8" activePane="bottomRight" state="frozenSplit"/>
      <selection activeCell="J9" sqref="J9"/>
      <selection pane="topRight" activeCell="J9" sqref="J9"/>
      <selection pane="bottomLeft" activeCell="J9" sqref="J9"/>
      <selection pane="bottomRight" activeCell="G8" sqref="G8"/>
    </sheetView>
  </sheetViews>
  <sheetFormatPr defaultColWidth="9.42578125" defaultRowHeight="15" x14ac:dyDescent="0.25"/>
  <cols>
    <col min="1" max="1" width="1.5703125" style="1" customWidth="1"/>
    <col min="2" max="5" width="3" style="1" customWidth="1"/>
    <col min="6" max="6" width="18.42578125" style="1" customWidth="1"/>
    <col min="7" max="7" width="12.5703125" style="1" customWidth="1"/>
    <col min="8" max="14" width="11.5703125" style="1" customWidth="1"/>
    <col min="15" max="16384" width="9.42578125" style="1"/>
  </cols>
  <sheetData>
    <row r="1" spans="1:17" ht="6" customHeight="1" thickBot="1" x14ac:dyDescent="0.3">
      <c r="B1" s="85"/>
      <c r="C1" s="86"/>
      <c r="D1" s="85"/>
      <c r="E1" s="85"/>
      <c r="F1" s="85"/>
      <c r="G1" s="85"/>
      <c r="H1" s="85"/>
      <c r="I1" s="85"/>
      <c r="J1" s="85"/>
      <c r="K1" s="85"/>
      <c r="L1" s="85"/>
      <c r="M1" s="85"/>
      <c r="N1" s="85"/>
    </row>
    <row r="2" spans="1:17" ht="16.5" thickTop="1" x14ac:dyDescent="0.25">
      <c r="B2" s="110" t="str">
        <f>MainOutline!B2</f>
        <v>WB Santa Cruz</v>
      </c>
      <c r="C2" s="111"/>
      <c r="D2" s="111"/>
      <c r="E2" s="111"/>
      <c r="F2" s="111"/>
      <c r="G2" s="111"/>
      <c r="H2" s="111"/>
      <c r="I2" s="111"/>
      <c r="J2" s="508" t="str">
        <f>'A1'!$C$90</f>
        <v>Acquisition of an existing facility</v>
      </c>
      <c r="K2" s="111"/>
      <c r="L2" s="111"/>
      <c r="M2" s="111"/>
      <c r="N2" s="1409">
        <f>$A3</f>
        <v>20</v>
      </c>
    </row>
    <row r="3" spans="1:17" ht="15.75" x14ac:dyDescent="0.25">
      <c r="A3" s="123">
        <f>MainOutline!B35</f>
        <v>20</v>
      </c>
      <c r="B3" s="102" t="str">
        <f>MainOutline!C35</f>
        <v>Appendix A3</v>
      </c>
      <c r="C3" s="89"/>
      <c r="D3" s="89"/>
      <c r="E3" s="89"/>
      <c r="F3" s="89"/>
      <c r="G3" s="89"/>
      <c r="H3" s="89"/>
      <c r="I3" s="89"/>
      <c r="J3" s="89"/>
      <c r="K3" s="89"/>
      <c r="L3" s="89"/>
      <c r="M3" s="89"/>
      <c r="N3" s="89"/>
    </row>
    <row r="4" spans="1:17" ht="16.5" thickBot="1" x14ac:dyDescent="0.3">
      <c r="B4" s="104" t="s">
        <v>372</v>
      </c>
      <c r="C4" s="97"/>
      <c r="D4" s="97"/>
      <c r="E4" s="97"/>
      <c r="F4" s="97"/>
      <c r="G4" s="97"/>
      <c r="H4" s="97"/>
      <c r="I4" s="97"/>
      <c r="J4" s="97"/>
      <c r="K4" s="97"/>
      <c r="L4" s="97"/>
      <c r="M4" s="97"/>
      <c r="N4" s="388" t="str">
        <f>ApndxA1!T4</f>
        <v>($000)</v>
      </c>
    </row>
    <row r="5" spans="1:17" ht="15.75" thickTop="1" x14ac:dyDescent="0.25">
      <c r="A5" s="123">
        <f>IF('A1'!$B$84=1,1,0)</f>
        <v>0</v>
      </c>
      <c r="I5" s="123">
        <f>'A1'!Q38</f>
        <v>0</v>
      </c>
    </row>
    <row r="6" spans="1:17" x14ac:dyDescent="0.25">
      <c r="G6" s="690" t="s">
        <v>484</v>
      </c>
      <c r="H6" s="694" t="s">
        <v>274</v>
      </c>
      <c r="I6" s="694" t="s">
        <v>73</v>
      </c>
      <c r="J6" s="695" t="s">
        <v>375</v>
      </c>
      <c r="K6" s="695"/>
      <c r="L6" s="695"/>
      <c r="M6" s="695"/>
      <c r="N6" s="695"/>
    </row>
    <row r="7" spans="1:17" s="173" customFormat="1" ht="15.75" thickBot="1" x14ac:dyDescent="0.3">
      <c r="G7" s="691" t="s">
        <v>485</v>
      </c>
      <c r="H7" s="696" t="s">
        <v>343</v>
      </c>
      <c r="I7" s="696" t="s">
        <v>343</v>
      </c>
      <c r="J7" s="697" t="s">
        <v>116</v>
      </c>
      <c r="K7" s="697" t="s">
        <v>90</v>
      </c>
      <c r="L7" s="697" t="s">
        <v>91</v>
      </c>
      <c r="M7" s="697" t="s">
        <v>92</v>
      </c>
      <c r="N7" s="697" t="s">
        <v>93</v>
      </c>
    </row>
    <row r="9" spans="1:17" x14ac:dyDescent="0.25">
      <c r="B9" s="1" t="s">
        <v>45</v>
      </c>
    </row>
    <row r="10" spans="1:17" x14ac:dyDescent="0.25">
      <c r="C10" s="1" t="s">
        <v>487</v>
      </c>
      <c r="G10" s="13">
        <v>0</v>
      </c>
      <c r="H10" s="13">
        <f>ApndxA1!H42*$A$5</f>
        <v>0</v>
      </c>
      <c r="I10" s="13">
        <f>ApndxA1!I42*$A$5</f>
        <v>0</v>
      </c>
      <c r="J10" s="13">
        <f>ApndxA1!J42</f>
        <v>401.07908596624316</v>
      </c>
      <c r="K10" s="13">
        <f>ApndxA1!K42</f>
        <v>256.04838282917467</v>
      </c>
      <c r="L10" s="13">
        <f>ApndxA1!L42</f>
        <v>221.7346007775617</v>
      </c>
      <c r="M10" s="13">
        <f>ApndxA1!M42</f>
        <v>171.0320748195644</v>
      </c>
      <c r="N10" s="13">
        <f>ApndxA1!N42</f>
        <v>113.61280418072306</v>
      </c>
      <c r="O10" s="13"/>
      <c r="P10" s="13">
        <f>ApndxB4!AC10</f>
        <v>401.07908596624316</v>
      </c>
    </row>
    <row r="11" spans="1:17" x14ac:dyDescent="0.25">
      <c r="C11" s="1" t="s">
        <v>178</v>
      </c>
      <c r="D11" s="1" t="s">
        <v>163</v>
      </c>
      <c r="G11" s="13">
        <v>0</v>
      </c>
      <c r="H11" s="13">
        <v>0</v>
      </c>
      <c r="I11" s="13">
        <v>0</v>
      </c>
      <c r="J11" s="13">
        <f>ApndxA1!J35</f>
        <v>12.71645142857143</v>
      </c>
      <c r="K11" s="13">
        <f>ApndxA1!K35</f>
        <v>123.71645142857143</v>
      </c>
      <c r="L11" s="13">
        <f>ApndxA1!L35</f>
        <v>113.48829142857143</v>
      </c>
      <c r="M11" s="13">
        <f>ApndxA1!M35</f>
        <v>113.48829142857143</v>
      </c>
      <c r="N11" s="13">
        <f>ApndxA1!N35</f>
        <v>113.48829142857143</v>
      </c>
      <c r="O11" s="13"/>
      <c r="P11" s="13">
        <f>ApndxB4!AC11</f>
        <v>12.71645142857143</v>
      </c>
    </row>
    <row r="12" spans="1:17" x14ac:dyDescent="0.25">
      <c r="C12" s="1" t="s">
        <v>179</v>
      </c>
      <c r="D12" s="1" t="s">
        <v>182</v>
      </c>
      <c r="G12" s="13">
        <v>0</v>
      </c>
      <c r="H12" s="13">
        <v>0</v>
      </c>
      <c r="I12" s="13">
        <v>0</v>
      </c>
      <c r="J12" s="13">
        <f>ApndxB4!AC12</f>
        <v>-580.89991337662298</v>
      </c>
      <c r="K12" s="13">
        <f>ApndxB4!AD12</f>
        <v>-13.141186432054383</v>
      </c>
      <c r="L12" s="13">
        <f>ApndxB4!AE12</f>
        <v>-25.375909499805175</v>
      </c>
      <c r="M12" s="13">
        <f>ApndxB4!AF12</f>
        <v>-24.962505475132048</v>
      </c>
      <c r="N12" s="13">
        <f>ApndxB4!AG12</f>
        <v>-25.96849444577947</v>
      </c>
      <c r="O12" s="13"/>
      <c r="P12" s="13">
        <f>ApndxB4!AC12</f>
        <v>-580.89991337662298</v>
      </c>
    </row>
    <row r="13" spans="1:17" x14ac:dyDescent="0.25">
      <c r="C13" s="1" t="s">
        <v>179</v>
      </c>
      <c r="D13" s="1" t="s">
        <v>189</v>
      </c>
      <c r="G13" s="13">
        <v>0</v>
      </c>
      <c r="H13" s="13">
        <v>0</v>
      </c>
      <c r="I13" s="13">
        <v>0</v>
      </c>
      <c r="J13" s="13">
        <f>ApndxB4!AC13</f>
        <v>-89.281654378588129</v>
      </c>
      <c r="K13" s="13">
        <f>ApndxB4!AD13</f>
        <v>-3.4056975726299328</v>
      </c>
      <c r="L13" s="13">
        <f>ApndxB4!AE13</f>
        <v>-6.8266101356789051</v>
      </c>
      <c r="M13" s="13">
        <f>ApndxB4!AF13</f>
        <v>-7.0853941005870809</v>
      </c>
      <c r="N13" s="13">
        <f>ApndxB4!AG13</f>
        <v>-7.5898741605489022</v>
      </c>
      <c r="O13" s="13"/>
      <c r="P13" s="13">
        <f>ApndxB4!AC13</f>
        <v>-89.281654378588129</v>
      </c>
    </row>
    <row r="14" spans="1:17" ht="17.25" x14ac:dyDescent="0.4">
      <c r="C14" s="1" t="s">
        <v>178</v>
      </c>
      <c r="D14" s="1" t="s">
        <v>183</v>
      </c>
      <c r="G14" s="558">
        <v>0</v>
      </c>
      <c r="H14" s="558">
        <f>ApndxB5!T31</f>
        <v>0</v>
      </c>
      <c r="I14" s="558">
        <f>ApndxB6!AF31</f>
        <v>0</v>
      </c>
      <c r="J14" s="558">
        <f>ApndxB4!AC14</f>
        <v>331.32589989843905</v>
      </c>
      <c r="K14" s="558">
        <f>ApndxA2!K17-ApndxA2!J17</f>
        <v>10.815014154303185</v>
      </c>
      <c r="L14" s="558">
        <f>ApndxA2!L17-ApndxA2!K17</f>
        <v>21.591052914608781</v>
      </c>
      <c r="M14" s="558">
        <f>ApndxA2!M17-ApndxA2!L17</f>
        <v>22.260248794775123</v>
      </c>
      <c r="N14" s="558">
        <f>ApndxA2!N17-ApndxA2!M17</f>
        <v>23.724957649681414</v>
      </c>
      <c r="O14" s="13"/>
      <c r="P14" s="13">
        <f>ApndxB4!AC14</f>
        <v>331.32589989843905</v>
      </c>
      <c r="Q14" s="381">
        <f>P14-J14</f>
        <v>0</v>
      </c>
    </row>
    <row r="15" spans="1:17" x14ac:dyDescent="0.25">
      <c r="G15" s="13">
        <f>SUM(G10:G14)</f>
        <v>0</v>
      </c>
      <c r="H15" s="13">
        <f t="shared" ref="H15:N15" si="0">SUM(H10:H14)</f>
        <v>0</v>
      </c>
      <c r="I15" s="13">
        <f t="shared" si="0"/>
        <v>0</v>
      </c>
      <c r="J15" s="13">
        <f t="shared" si="0"/>
        <v>74.939869538042501</v>
      </c>
      <c r="K15" s="13">
        <f t="shared" si="0"/>
        <v>374.03296440736494</v>
      </c>
      <c r="L15" s="13">
        <f t="shared" si="0"/>
        <v>324.61142548525783</v>
      </c>
      <c r="M15" s="13">
        <f t="shared" si="0"/>
        <v>274.73271546719184</v>
      </c>
      <c r="N15" s="13">
        <f t="shared" si="0"/>
        <v>217.26768465264752</v>
      </c>
      <c r="O15" s="13"/>
      <c r="P15" s="13">
        <f>ApndxB4!AC15</f>
        <v>74.939869538042501</v>
      </c>
    </row>
    <row r="16" spans="1:17" x14ac:dyDescent="0.25">
      <c r="G16" s="13"/>
      <c r="H16" s="13"/>
      <c r="I16" s="13"/>
      <c r="J16" s="13"/>
      <c r="K16" s="13"/>
      <c r="L16" s="13"/>
      <c r="M16" s="13"/>
      <c r="N16" s="13"/>
      <c r="O16" s="13"/>
      <c r="P16" s="13"/>
    </row>
    <row r="17" spans="2:17" x14ac:dyDescent="0.25">
      <c r="B17" s="1" t="s">
        <v>184</v>
      </c>
      <c r="G17" s="13"/>
      <c r="H17" s="13"/>
      <c r="I17" s="13"/>
      <c r="J17" s="13"/>
      <c r="K17" s="13"/>
      <c r="L17" s="13"/>
      <c r="M17" s="13"/>
      <c r="N17" s="13"/>
      <c r="O17" s="13"/>
      <c r="P17" s="13"/>
    </row>
    <row r="18" spans="2:17" x14ac:dyDescent="0.25">
      <c r="C18" s="1" t="s">
        <v>185</v>
      </c>
      <c r="G18" s="13">
        <v>0</v>
      </c>
      <c r="H18" s="13">
        <f>ApndxB5!T32*$F$41</f>
        <v>0</v>
      </c>
      <c r="I18" s="13">
        <f>ApndxB6!AF32*$F$41</f>
        <v>0</v>
      </c>
      <c r="J18" s="13">
        <f>ApndxB4!AC18</f>
        <v>-10</v>
      </c>
      <c r="K18" s="13">
        <f>ApndxB4!AD18</f>
        <v>-255</v>
      </c>
      <c r="L18" s="13">
        <f>ApndxB4!AE18</f>
        <v>0</v>
      </c>
      <c r="M18" s="13">
        <f>ApndxB4!AF18</f>
        <v>0</v>
      </c>
      <c r="N18" s="13">
        <f>ApndxB4!AG18</f>
        <v>0</v>
      </c>
      <c r="O18" s="13"/>
      <c r="P18" s="13">
        <f>ApndxB4!AC18</f>
        <v>-10</v>
      </c>
    </row>
    <row r="19" spans="2:17" ht="17.25" x14ac:dyDescent="0.4">
      <c r="C19" s="1" t="s">
        <v>65</v>
      </c>
      <c r="G19" s="558">
        <v>0</v>
      </c>
      <c r="H19" s="558">
        <v>0</v>
      </c>
      <c r="I19" s="558">
        <v>0</v>
      </c>
      <c r="J19" s="558">
        <f>ApndxB4!AC19</f>
        <v>0</v>
      </c>
      <c r="K19" s="558">
        <f>ApndxB4!AD19</f>
        <v>0</v>
      </c>
      <c r="L19" s="558">
        <f>ApndxB4!AE19</f>
        <v>0</v>
      </c>
      <c r="M19" s="558">
        <f>ApndxB4!AF19</f>
        <v>0</v>
      </c>
      <c r="N19" s="558">
        <f>ApndxB4!AG19</f>
        <v>0</v>
      </c>
      <c r="O19" s="13"/>
      <c r="P19" s="13">
        <f>ApndxB4!AC19</f>
        <v>0</v>
      </c>
    </row>
    <row r="20" spans="2:17" x14ac:dyDescent="0.25">
      <c r="G20" s="13">
        <f>SUM(G18:G19)</f>
        <v>0</v>
      </c>
      <c r="H20" s="13">
        <f t="shared" ref="H20:N20" si="1">SUM(H18:H19)</f>
        <v>0</v>
      </c>
      <c r="I20" s="13">
        <f t="shared" si="1"/>
        <v>0</v>
      </c>
      <c r="J20" s="13">
        <f t="shared" si="1"/>
        <v>-10</v>
      </c>
      <c r="K20" s="13">
        <f t="shared" si="1"/>
        <v>-255</v>
      </c>
      <c r="L20" s="13">
        <f t="shared" si="1"/>
        <v>0</v>
      </c>
      <c r="M20" s="13">
        <f t="shared" si="1"/>
        <v>0</v>
      </c>
      <c r="N20" s="13">
        <f t="shared" si="1"/>
        <v>0</v>
      </c>
      <c r="O20" s="13"/>
      <c r="P20" s="13">
        <f>ApndxB4!AC20</f>
        <v>-10</v>
      </c>
    </row>
    <row r="21" spans="2:17" x14ac:dyDescent="0.25">
      <c r="G21" s="13"/>
      <c r="H21" s="13"/>
      <c r="I21" s="13"/>
      <c r="J21" s="13"/>
      <c r="K21" s="13"/>
      <c r="L21" s="13"/>
      <c r="M21" s="13"/>
      <c r="N21" s="13"/>
      <c r="O21" s="13"/>
      <c r="P21" s="13"/>
    </row>
    <row r="22" spans="2:17" x14ac:dyDescent="0.25">
      <c r="B22" s="1" t="s">
        <v>186</v>
      </c>
      <c r="G22" s="13"/>
      <c r="H22" s="13"/>
      <c r="I22" s="13"/>
      <c r="J22" s="13"/>
      <c r="K22" s="13"/>
      <c r="L22" s="13"/>
      <c r="M22" s="13"/>
      <c r="N22" s="13"/>
      <c r="O22" s="13"/>
      <c r="P22" s="13"/>
    </row>
    <row r="23" spans="2:17" x14ac:dyDescent="0.25">
      <c r="C23" s="1" t="s">
        <v>378</v>
      </c>
      <c r="G23" s="13">
        <f>IF(A5=0,'A1'!V59,0)</f>
        <v>0</v>
      </c>
      <c r="H23" s="13">
        <f>IF(AND(A5=1,I5=0),'A1'!V59,0)</f>
        <v>0</v>
      </c>
      <c r="I23" s="13">
        <f>IF(AND(A5=1,I5&gt;0),'A1'!V59,0)</f>
        <v>0</v>
      </c>
      <c r="J23" s="13">
        <f>ApndxB4!AC23</f>
        <v>0</v>
      </c>
      <c r="K23" s="13">
        <f>ApndxB4!AD23</f>
        <v>0</v>
      </c>
      <c r="L23" s="13">
        <f>ApndxB4!AE23</f>
        <v>0</v>
      </c>
      <c r="M23" s="13">
        <f>ApndxB4!AF23</f>
        <v>0</v>
      </c>
      <c r="N23" s="13">
        <f>ApndxB4!AG23</f>
        <v>0</v>
      </c>
      <c r="O23" s="13"/>
      <c r="P23" s="13">
        <f>ApndxB4!AC23</f>
        <v>0</v>
      </c>
    </row>
    <row r="24" spans="2:17" x14ac:dyDescent="0.25">
      <c r="C24" s="1" t="s">
        <v>905</v>
      </c>
      <c r="G24" s="13">
        <v>0</v>
      </c>
      <c r="H24" s="13"/>
      <c r="I24" s="13"/>
      <c r="J24" s="13">
        <f>-'D2'!H37</f>
        <v>-313.50840208120678</v>
      </c>
      <c r="K24" s="13">
        <f>-'D2'!I37</f>
        <v>-64.168572149815191</v>
      </c>
      <c r="L24" s="13">
        <f>-'D2'!J37</f>
        <v>-332.31170806326861</v>
      </c>
      <c r="M24" s="13">
        <f>-'D2'!K37</f>
        <v>-249.03806397788344</v>
      </c>
      <c r="N24" s="13">
        <f>-'D2'!L37</f>
        <v>-189.95335959772797</v>
      </c>
      <c r="O24" s="13"/>
      <c r="P24" s="13"/>
    </row>
    <row r="25" spans="2:17" ht="17.25" x14ac:dyDescent="0.4">
      <c r="C25" s="1" t="s">
        <v>488</v>
      </c>
      <c r="G25" s="558">
        <v>0</v>
      </c>
      <c r="H25" s="558">
        <v>0</v>
      </c>
      <c r="I25" s="558">
        <v>0</v>
      </c>
      <c r="J25" s="558">
        <f>-'D2'!H38</f>
        <v>0</v>
      </c>
      <c r="K25" s="558">
        <f>-'D2'!I38</f>
        <v>0</v>
      </c>
      <c r="L25" s="558">
        <f>-'D2'!J38</f>
        <v>0</v>
      </c>
      <c r="M25" s="558">
        <f>-'D2'!K38</f>
        <v>0</v>
      </c>
      <c r="N25" s="558">
        <f>-'D2'!L38</f>
        <v>0</v>
      </c>
      <c r="O25" s="13"/>
      <c r="P25" s="13">
        <f>ApndxB4!AC25</f>
        <v>0</v>
      </c>
      <c r="Q25" s="1" t="s">
        <v>587</v>
      </c>
    </row>
    <row r="26" spans="2:17" x14ac:dyDescent="0.25">
      <c r="G26" s="13">
        <f t="shared" ref="G26:N26" si="2">SUM(G23:G25)</f>
        <v>0</v>
      </c>
      <c r="H26" s="13">
        <f t="shared" si="2"/>
        <v>0</v>
      </c>
      <c r="I26" s="13">
        <f t="shared" si="2"/>
        <v>0</v>
      </c>
      <c r="J26" s="13">
        <f t="shared" si="2"/>
        <v>-313.50840208120678</v>
      </c>
      <c r="K26" s="13">
        <f t="shared" si="2"/>
        <v>-64.168572149815191</v>
      </c>
      <c r="L26" s="13">
        <f t="shared" si="2"/>
        <v>-332.31170806326861</v>
      </c>
      <c r="M26" s="13">
        <f t="shared" si="2"/>
        <v>-249.03806397788344</v>
      </c>
      <c r="N26" s="13">
        <f t="shared" si="2"/>
        <v>-189.95335959772797</v>
      </c>
      <c r="O26" s="13"/>
      <c r="P26" s="13">
        <f>ApndxB4!AC26</f>
        <v>-313.50840208120678</v>
      </c>
    </row>
    <row r="27" spans="2:17" x14ac:dyDescent="0.25">
      <c r="G27" s="13"/>
      <c r="H27" s="13"/>
      <c r="I27" s="13"/>
      <c r="J27" s="13"/>
      <c r="K27" s="13"/>
      <c r="L27" s="13"/>
      <c r="M27" s="13"/>
      <c r="N27" s="13"/>
      <c r="O27" s="13"/>
      <c r="P27" s="13"/>
    </row>
    <row r="28" spans="2:17" x14ac:dyDescent="0.25">
      <c r="B28" s="1" t="s">
        <v>576</v>
      </c>
      <c r="G28" s="13">
        <f>'A5'!U32</f>
        <v>0</v>
      </c>
      <c r="H28" s="13">
        <f>IF(A5=1,G32,0)</f>
        <v>0</v>
      </c>
      <c r="I28" s="13">
        <f>IF(I5&gt;0,H32,0)</f>
        <v>0</v>
      </c>
      <c r="J28" s="13">
        <f>IF($A$5=0,G32,IF($I$5=0,H32,I32))</f>
        <v>639.82006616561944</v>
      </c>
      <c r="K28" s="13">
        <f>J32</f>
        <v>391.25153362245516</v>
      </c>
      <c r="L28" s="13">
        <f>K32</f>
        <v>446.11592588000491</v>
      </c>
      <c r="M28" s="13">
        <f>L32</f>
        <v>438.41564330199412</v>
      </c>
      <c r="N28" s="13">
        <f>M32</f>
        <v>464.11029479130252</v>
      </c>
      <c r="O28" s="13"/>
      <c r="P28" s="13">
        <f>ApndxB4!AC28</f>
        <v>639.82006616561944</v>
      </c>
    </row>
    <row r="29" spans="2:17" x14ac:dyDescent="0.25">
      <c r="C29" s="1" t="s">
        <v>459</v>
      </c>
      <c r="G29" s="13">
        <f>'A1'!V61</f>
        <v>0</v>
      </c>
      <c r="H29" s="13">
        <v>0</v>
      </c>
      <c r="I29" s="13">
        <v>0</v>
      </c>
      <c r="J29" s="13">
        <v>0</v>
      </c>
      <c r="K29" s="13">
        <v>0</v>
      </c>
      <c r="L29" s="13">
        <v>0</v>
      </c>
      <c r="M29" s="13">
        <v>0</v>
      </c>
      <c r="N29" s="13">
        <v>0</v>
      </c>
      <c r="O29" s="13"/>
      <c r="P29" s="13"/>
    </row>
    <row r="30" spans="2:17" x14ac:dyDescent="0.25">
      <c r="C30" s="1" t="s">
        <v>486</v>
      </c>
      <c r="G30" s="13">
        <f>'A1'!V60</f>
        <v>639.82006616561944</v>
      </c>
      <c r="H30" s="13">
        <v>0</v>
      </c>
      <c r="I30" s="13">
        <v>0</v>
      </c>
      <c r="J30" s="13">
        <v>0</v>
      </c>
      <c r="K30" s="13">
        <v>0</v>
      </c>
      <c r="L30" s="13">
        <v>0</v>
      </c>
      <c r="M30" s="13">
        <v>0</v>
      </c>
      <c r="N30" s="13">
        <v>0</v>
      </c>
      <c r="O30" s="13"/>
      <c r="P30" s="13"/>
    </row>
    <row r="31" spans="2:17" x14ac:dyDescent="0.25">
      <c r="C31" s="1" t="s">
        <v>312</v>
      </c>
      <c r="G31" s="13">
        <f>G15+G20+G26</f>
        <v>0</v>
      </c>
      <c r="H31" s="13">
        <f t="shared" ref="H31:N31" si="3">H15+H20+H26</f>
        <v>0</v>
      </c>
      <c r="I31" s="13">
        <f t="shared" si="3"/>
        <v>0</v>
      </c>
      <c r="J31" s="13">
        <f t="shared" si="3"/>
        <v>-248.56853254316428</v>
      </c>
      <c r="K31" s="13">
        <f t="shared" si="3"/>
        <v>54.864392257549753</v>
      </c>
      <c r="L31" s="13">
        <f t="shared" si="3"/>
        <v>-7.7002825780107855</v>
      </c>
      <c r="M31" s="13">
        <f t="shared" si="3"/>
        <v>25.694651489308399</v>
      </c>
      <c r="N31" s="13">
        <f t="shared" si="3"/>
        <v>27.31432505491955</v>
      </c>
      <c r="O31" s="13"/>
      <c r="P31" s="13">
        <f>ApndxB4!AC29</f>
        <v>-248.56853254316428</v>
      </c>
    </row>
    <row r="32" spans="2:17" ht="15.75" thickBot="1" x14ac:dyDescent="0.3">
      <c r="B32" s="698" t="s">
        <v>187</v>
      </c>
      <c r="C32" s="698"/>
      <c r="D32" s="698"/>
      <c r="E32" s="698"/>
      <c r="F32" s="698"/>
      <c r="G32" s="699">
        <f>SUM(G28:G31)</f>
        <v>639.82006616561944</v>
      </c>
      <c r="H32" s="699">
        <f t="shared" ref="H32:N32" si="4">SUM(H28:H31)</f>
        <v>0</v>
      </c>
      <c r="I32" s="699">
        <f t="shared" si="4"/>
        <v>0</v>
      </c>
      <c r="J32" s="699">
        <f t="shared" si="4"/>
        <v>391.25153362245516</v>
      </c>
      <c r="K32" s="699">
        <f t="shared" si="4"/>
        <v>446.11592588000491</v>
      </c>
      <c r="L32" s="699">
        <f t="shared" si="4"/>
        <v>438.41564330199412</v>
      </c>
      <c r="M32" s="699">
        <f t="shared" si="4"/>
        <v>464.11029479130252</v>
      </c>
      <c r="N32" s="699">
        <f t="shared" si="4"/>
        <v>491.42461984622207</v>
      </c>
      <c r="O32" s="13"/>
      <c r="P32" s="13">
        <f>ApndxB4!AC30</f>
        <v>391.25153362245516</v>
      </c>
    </row>
    <row r="33" spans="2:15" ht="15.75" thickTop="1" x14ac:dyDescent="0.25">
      <c r="J33" s="13"/>
      <c r="K33" s="13"/>
      <c r="L33" s="13"/>
      <c r="M33" s="13"/>
      <c r="N33" s="13"/>
      <c r="O33" s="13"/>
    </row>
    <row r="34" spans="2:15" x14ac:dyDescent="0.25">
      <c r="G34" s="13">
        <f>ApndxA2!G28</f>
        <v>0</v>
      </c>
      <c r="H34" s="13">
        <f>ApndxA2!H28</f>
        <v>0</v>
      </c>
      <c r="I34" s="13">
        <f>ApndxA2!I28</f>
        <v>0</v>
      </c>
      <c r="J34" s="13">
        <f>ApndxA2!J28</f>
        <v>0</v>
      </c>
      <c r="K34" s="13">
        <f>ApndxA2!K28</f>
        <v>0</v>
      </c>
      <c r="L34" s="13">
        <f>ApndxA2!L28</f>
        <v>0</v>
      </c>
      <c r="M34" s="13">
        <f>ApndxA2!M28</f>
        <v>0</v>
      </c>
      <c r="N34" s="13">
        <f>ApndxA2!N28</f>
        <v>0</v>
      </c>
    </row>
    <row r="35" spans="2:15" x14ac:dyDescent="0.25">
      <c r="F35" s="1" t="s">
        <v>932</v>
      </c>
      <c r="J35" s="381">
        <f>SUM(J15,J20,J23)</f>
        <v>64.939869538042501</v>
      </c>
      <c r="K35" s="381">
        <f>SUM(K15,K20,K23)</f>
        <v>119.03296440736494</v>
      </c>
      <c r="L35" s="381">
        <f>SUM(L15,L20,L23)</f>
        <v>324.61142548525783</v>
      </c>
      <c r="M35" s="381">
        <f>SUM(M15,M20,M23)</f>
        <v>274.73271546719184</v>
      </c>
      <c r="N35" s="381">
        <f>SUM(N15,N20,N23)</f>
        <v>217.26768465264752</v>
      </c>
    </row>
    <row r="39" spans="2:15" x14ac:dyDescent="0.25">
      <c r="B39" s="1" t="s">
        <v>957</v>
      </c>
      <c r="F39" s="173">
        <f>IF(SUM('A1'!$AG$9:$AH$9)&gt;0,1,0)</f>
        <v>0</v>
      </c>
    </row>
    <row r="40" spans="2:15" x14ac:dyDescent="0.25">
      <c r="B40" s="1" t="s">
        <v>958</v>
      </c>
      <c r="F40" s="173">
        <f>IF(SUM('A1'!$AI$9:$AJ$9)&gt;0,1,0)</f>
        <v>1</v>
      </c>
    </row>
    <row r="41" spans="2:15" x14ac:dyDescent="0.25">
      <c r="B41" s="1" t="s">
        <v>959</v>
      </c>
      <c r="F41" s="377">
        <f>IF(F39+F40&gt;0,1,0)</f>
        <v>1</v>
      </c>
    </row>
    <row r="42" spans="2:15" x14ac:dyDescent="0.25">
      <c r="B42" s="1" t="s">
        <v>883</v>
      </c>
      <c r="F42" s="173">
        <f>IF('A1'!$AL$67&gt;0,1,0)</f>
        <v>0</v>
      </c>
    </row>
  </sheetData>
  <conditionalFormatting sqref="H10:I31">
    <cfRule type="expression" dxfId="26" priority="3">
      <formula>$A$5=0</formula>
    </cfRule>
  </conditionalFormatting>
  <conditionalFormatting sqref="H32:I32">
    <cfRule type="expression" dxfId="25" priority="2">
      <formula>$A$5=0</formula>
    </cfRule>
  </conditionalFormatting>
  <conditionalFormatting sqref="H6:I7">
    <cfRule type="expression" dxfId="24" priority="1">
      <formula>$A$5=0</formula>
    </cfRule>
  </conditionalFormatting>
  <pageMargins left="0.7" right="0.7" top="0.75" bottom="0.75" header="0.3" footer="0.3"/>
  <pageSetup scale="79" orientation="landscape" r:id="rId1"/>
  <ignoredErrors>
    <ignoredError sqref="A2:N5 G26:P27 Q14 G10:P10 G25:I25 O25:P25 G19:P22 G18 O18:P18 G29:P32 H28:P28 H23:P23 G15:P17 G14:I14 K14:P14 G12:P13 G11:I11 O11:P11" unlockedFormula="1"/>
  </ignoredErrors>
</worksheet>
</file>

<file path=xl/worksheets/sheet3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>
    <tabColor theme="5" tint="0.39997558519241921"/>
  </sheetPr>
  <dimension ref="A1:AN60"/>
  <sheetViews>
    <sheetView showGridLines="0" view="pageBreakPreview" zoomScaleNormal="132" zoomScaleSheetLayoutView="100" workbookViewId="0">
      <pane xSplit="6" ySplit="7" topLeftCell="G8" activePane="bottomRight" state="frozenSplit"/>
      <selection activeCell="J9" sqref="J9"/>
      <selection pane="topRight" activeCell="J9" sqref="J9"/>
      <selection pane="bottomLeft" activeCell="J9" sqref="J9"/>
      <selection pane="bottomRight" activeCell="G8" sqref="G8"/>
    </sheetView>
  </sheetViews>
  <sheetFormatPr defaultColWidth="9.42578125" defaultRowHeight="15" x14ac:dyDescent="0.25"/>
  <cols>
    <col min="1" max="1" width="1.5703125" style="1" customWidth="1"/>
    <col min="2" max="4" width="3" style="1" customWidth="1"/>
    <col min="5" max="5" width="8.42578125" style="1" customWidth="1"/>
    <col min="6" max="6" width="9.5703125" style="1" customWidth="1"/>
    <col min="7" max="18" width="9.42578125" style="1" customWidth="1"/>
    <col min="19" max="19" width="2.42578125" style="1" customWidth="1"/>
    <col min="20" max="27" width="7.5703125" style="1" customWidth="1"/>
    <col min="28" max="28" width="2.42578125" style="1" customWidth="1"/>
    <col min="29" max="33" width="9.5703125" style="1" customWidth="1"/>
    <col min="34" max="16384" width="9.42578125" style="1"/>
  </cols>
  <sheetData>
    <row r="1" spans="1:34" ht="6" customHeight="1" thickBot="1" x14ac:dyDescent="0.3">
      <c r="B1" s="85"/>
      <c r="C1" s="86"/>
      <c r="D1" s="85"/>
      <c r="E1" s="85"/>
      <c r="F1" s="85"/>
      <c r="G1" s="85"/>
      <c r="H1" s="85"/>
      <c r="I1" s="85"/>
      <c r="J1" s="85"/>
      <c r="K1" s="85"/>
      <c r="L1" s="85"/>
      <c r="M1" s="85"/>
      <c r="N1" s="85"/>
      <c r="O1" s="85"/>
      <c r="P1" s="85"/>
      <c r="Q1" s="85"/>
      <c r="R1" s="85"/>
      <c r="S1" s="85"/>
      <c r="T1" s="85"/>
      <c r="U1" s="85"/>
      <c r="V1" s="85"/>
      <c r="W1" s="85"/>
      <c r="X1" s="85"/>
      <c r="Y1" s="85"/>
      <c r="Z1" s="85"/>
      <c r="AA1" s="85"/>
      <c r="AB1" s="85"/>
      <c r="AC1" s="85"/>
      <c r="AD1" s="85"/>
      <c r="AE1" s="85"/>
      <c r="AF1" s="85"/>
      <c r="AG1" s="85"/>
    </row>
    <row r="2" spans="1:34" ht="16.5" thickTop="1" x14ac:dyDescent="0.25">
      <c r="B2" s="110" t="str">
        <f>MainOutline!B2</f>
        <v>WB Santa Cruz</v>
      </c>
      <c r="C2" s="111"/>
      <c r="D2" s="111"/>
      <c r="E2" s="111"/>
      <c r="F2" s="111"/>
      <c r="G2" s="111"/>
      <c r="H2" s="111"/>
      <c r="I2" s="508" t="str">
        <f>'A1'!$C$90</f>
        <v>Acquisition of an existing facility</v>
      </c>
      <c r="J2" s="111"/>
      <c r="K2" s="111"/>
      <c r="L2" s="111"/>
      <c r="M2" s="111"/>
      <c r="N2" s="111"/>
      <c r="O2" s="111"/>
      <c r="P2" s="111"/>
      <c r="Q2" s="111"/>
      <c r="R2" s="1409">
        <f>$A3</f>
        <v>21</v>
      </c>
      <c r="S2" s="111"/>
      <c r="T2" s="111"/>
      <c r="U2" s="111"/>
      <c r="V2" s="508" t="str">
        <f>'A1'!$C$90</f>
        <v>Acquisition of an existing facility</v>
      </c>
      <c r="W2" s="111"/>
      <c r="X2" s="111"/>
      <c r="Y2" s="111"/>
      <c r="Z2" s="111"/>
      <c r="AA2" s="111"/>
      <c r="AB2" s="111"/>
      <c r="AC2" s="111"/>
      <c r="AD2" s="111"/>
      <c r="AE2" s="111"/>
      <c r="AF2" s="111"/>
      <c r="AG2" s="1409">
        <f>$A3+1</f>
        <v>22</v>
      </c>
    </row>
    <row r="3" spans="1:34" ht="15.75" x14ac:dyDescent="0.25">
      <c r="A3" s="123">
        <f>MainOutline!B38</f>
        <v>21</v>
      </c>
      <c r="B3" s="102" t="str">
        <f>MainOutline!C38</f>
        <v>Appendix B1</v>
      </c>
      <c r="C3" s="89"/>
      <c r="D3" s="89"/>
      <c r="E3" s="89"/>
      <c r="F3" s="89"/>
      <c r="G3" s="89"/>
      <c r="H3" s="89"/>
      <c r="I3" s="89"/>
      <c r="J3" s="89"/>
      <c r="K3" s="89"/>
      <c r="L3" s="89"/>
      <c r="M3" s="89"/>
      <c r="N3" s="89"/>
      <c r="O3" s="89"/>
      <c r="P3" s="89"/>
      <c r="Q3" s="89"/>
      <c r="R3" s="89"/>
      <c r="S3" s="89"/>
      <c r="T3" s="89"/>
      <c r="U3" s="89"/>
      <c r="V3" s="89"/>
      <c r="W3" s="89"/>
      <c r="X3" s="89"/>
      <c r="Y3" s="89"/>
      <c r="Z3" s="89"/>
      <c r="AA3" s="89"/>
      <c r="AB3" s="89"/>
      <c r="AC3" s="89"/>
      <c r="AD3" s="89"/>
      <c r="AE3" s="89"/>
      <c r="AF3" s="89"/>
      <c r="AG3" s="89"/>
    </row>
    <row r="4" spans="1:34" ht="16.5" thickBot="1" x14ac:dyDescent="0.3">
      <c r="B4" s="104" t="s">
        <v>324</v>
      </c>
      <c r="C4" s="97"/>
      <c r="D4" s="97"/>
      <c r="E4" s="97"/>
      <c r="F4" s="97"/>
      <c r="G4" s="97"/>
      <c r="H4" s="97"/>
      <c r="I4" s="97"/>
      <c r="J4" s="97"/>
      <c r="K4" s="97"/>
      <c r="L4" s="97"/>
      <c r="M4" s="97"/>
      <c r="N4" s="97"/>
      <c r="O4" s="97"/>
      <c r="P4" s="97"/>
      <c r="Q4" s="97"/>
      <c r="R4" s="138" t="s">
        <v>19</v>
      </c>
      <c r="S4" s="97"/>
      <c r="T4" s="97"/>
      <c r="U4" s="97"/>
      <c r="V4" s="97"/>
      <c r="W4" s="97"/>
      <c r="X4" s="97"/>
      <c r="Y4" s="97"/>
      <c r="Z4" s="97"/>
      <c r="AA4" s="97"/>
      <c r="AB4" s="97"/>
      <c r="AC4" s="97"/>
      <c r="AD4" s="97"/>
      <c r="AE4" s="97"/>
      <c r="AF4" s="97"/>
      <c r="AG4" s="388" t="str">
        <f>R4</f>
        <v>($000)</v>
      </c>
    </row>
    <row r="5" spans="1:34" ht="15.75" thickTop="1" x14ac:dyDescent="0.25"/>
    <row r="6" spans="1:34" ht="17.25" x14ac:dyDescent="0.4">
      <c r="G6" s="681" t="s">
        <v>471</v>
      </c>
      <c r="H6" s="681"/>
      <c r="I6" s="681"/>
      <c r="J6" s="681"/>
      <c r="K6" s="681"/>
      <c r="L6" s="681"/>
      <c r="M6" s="681"/>
      <c r="N6" s="681"/>
      <c r="O6" s="681"/>
      <c r="P6" s="681"/>
      <c r="Q6" s="681"/>
      <c r="R6" s="681"/>
      <c r="T6" s="681" t="s">
        <v>472</v>
      </c>
      <c r="U6" s="700"/>
      <c r="V6" s="700"/>
      <c r="W6" s="700"/>
      <c r="X6" s="700"/>
      <c r="Y6" s="700"/>
      <c r="Z6" s="700"/>
      <c r="AA6" s="700"/>
      <c r="AC6" s="681" t="s">
        <v>133</v>
      </c>
      <c r="AD6" s="700"/>
      <c r="AE6" s="700"/>
      <c r="AF6" s="700"/>
      <c r="AG6" s="700"/>
    </row>
    <row r="7" spans="1:34" s="511" customFormat="1" ht="15.75" thickBot="1" x14ac:dyDescent="0.3">
      <c r="G7" s="701">
        <v>1</v>
      </c>
      <c r="H7" s="701">
        <f>G7+1</f>
        <v>2</v>
      </c>
      <c r="I7" s="701">
        <f t="shared" ref="I7:R7" si="0">H7+1</f>
        <v>3</v>
      </c>
      <c r="J7" s="701">
        <f t="shared" si="0"/>
        <v>4</v>
      </c>
      <c r="K7" s="701">
        <f t="shared" si="0"/>
        <v>5</v>
      </c>
      <c r="L7" s="701">
        <f t="shared" si="0"/>
        <v>6</v>
      </c>
      <c r="M7" s="701">
        <f t="shared" si="0"/>
        <v>7</v>
      </c>
      <c r="N7" s="701">
        <f t="shared" si="0"/>
        <v>8</v>
      </c>
      <c r="O7" s="701">
        <f t="shared" si="0"/>
        <v>9</v>
      </c>
      <c r="P7" s="701">
        <f t="shared" si="0"/>
        <v>10</v>
      </c>
      <c r="Q7" s="701">
        <f t="shared" si="0"/>
        <v>11</v>
      </c>
      <c r="R7" s="701">
        <f t="shared" si="0"/>
        <v>12</v>
      </c>
      <c r="T7" s="702" t="s">
        <v>20</v>
      </c>
      <c r="U7" s="702" t="s">
        <v>21</v>
      </c>
      <c r="V7" s="702" t="s">
        <v>22</v>
      </c>
      <c r="W7" s="702" t="s">
        <v>23</v>
      </c>
      <c r="X7" s="703" t="s">
        <v>24</v>
      </c>
      <c r="Y7" s="702" t="s">
        <v>25</v>
      </c>
      <c r="Z7" s="702" t="s">
        <v>26</v>
      </c>
      <c r="AA7" s="702" t="s">
        <v>27</v>
      </c>
      <c r="AC7" s="702">
        <v>1</v>
      </c>
      <c r="AD7" s="702">
        <v>2</v>
      </c>
      <c r="AE7" s="702">
        <v>3</v>
      </c>
      <c r="AF7" s="702">
        <v>4</v>
      </c>
      <c r="AG7" s="703">
        <v>5</v>
      </c>
      <c r="AH7" s="511" t="s">
        <v>389</v>
      </c>
    </row>
    <row r="9" spans="1:34" x14ac:dyDescent="0.25">
      <c r="B9" s="1" t="s">
        <v>234</v>
      </c>
      <c r="G9" s="13">
        <f>'B1'!I20</f>
        <v>58.189876907367534</v>
      </c>
      <c r="H9" s="13">
        <f>'B1'!J20</f>
        <v>58.285126164843994</v>
      </c>
      <c r="I9" s="13">
        <f>'B1'!K20</f>
        <v>58.475936501080326</v>
      </c>
      <c r="J9" s="13">
        <f>'B1'!L20</f>
        <v>58.667371500705251</v>
      </c>
      <c r="K9" s="13">
        <f>'B1'!M20</f>
        <v>58.859433208704147</v>
      </c>
      <c r="L9" s="13">
        <f>'B1'!N20</f>
        <v>59.052123676757162</v>
      </c>
      <c r="M9" s="13">
        <f>'B1'!O20</f>
        <v>59.245444963261093</v>
      </c>
      <c r="N9" s="13">
        <f>'B1'!P20</f>
        <v>59.439399133351394</v>
      </c>
      <c r="O9" s="13">
        <f>'B1'!Q20</f>
        <v>59.633988258924241</v>
      </c>
      <c r="P9" s="13">
        <f>'B1'!R20</f>
        <v>59.829214418658673</v>
      </c>
      <c r="Q9" s="13">
        <f>'B1'!S20</f>
        <v>60.025079698038752</v>
      </c>
      <c r="R9" s="13">
        <f>'B1'!T20</f>
        <v>60.221586189375877</v>
      </c>
      <c r="T9" s="13">
        <f>'B1'!V20</f>
        <v>58.475936501080326</v>
      </c>
      <c r="U9" s="13">
        <f>'B1'!W20</f>
        <v>59.052123676757162</v>
      </c>
      <c r="V9" s="13">
        <f>'B1'!X20</f>
        <v>59.633988258924241</v>
      </c>
      <c r="W9" s="13">
        <f>'B1'!Y20</f>
        <v>60.221586189375877</v>
      </c>
      <c r="X9" s="13">
        <f>'B1'!Z20</f>
        <v>60.546200000000042</v>
      </c>
      <c r="Y9" s="13">
        <f>'B1'!AA20</f>
        <v>60.998600000000032</v>
      </c>
      <c r="Z9" s="13">
        <f>'B1'!AB20</f>
        <v>61.451000000000036</v>
      </c>
      <c r="AA9" s="13">
        <f>'B1'!AC20</f>
        <v>61.903400000000033</v>
      </c>
      <c r="AC9" s="13">
        <f>'B1'!AE20</f>
        <v>59.160381718422364</v>
      </c>
      <c r="AD9" s="13">
        <f>'B1'!AF20</f>
        <v>61.224800000000037</v>
      </c>
      <c r="AE9" s="13">
        <f>'B1'!AG20</f>
        <v>63.061544000000033</v>
      </c>
      <c r="AF9" s="13">
        <f>'B1'!AH20</f>
        <v>64.95339032000004</v>
      </c>
      <c r="AG9" s="13">
        <f>'B1'!AI20</f>
        <v>66.901992029600038</v>
      </c>
    </row>
    <row r="10" spans="1:34" x14ac:dyDescent="0.25">
      <c r="B10" s="1" t="s">
        <v>229</v>
      </c>
      <c r="G10" s="13">
        <f>'B1'!I41</f>
        <v>751.07632489969433</v>
      </c>
      <c r="H10" s="13">
        <f>'B1'!J41</f>
        <v>752.30573912184036</v>
      </c>
      <c r="I10" s="13">
        <f>'B1'!K41</f>
        <v>754.76859234838025</v>
      </c>
      <c r="J10" s="13">
        <f>'B1'!L41</f>
        <v>757.2395083155053</v>
      </c>
      <c r="K10" s="13">
        <f>'B1'!M41</f>
        <v>759.71851341853039</v>
      </c>
      <c r="L10" s="13">
        <f>'B1'!N41</f>
        <v>762.20563413918171</v>
      </c>
      <c r="M10" s="13">
        <f>'B1'!O41</f>
        <v>764.70089704587929</v>
      </c>
      <c r="N10" s="13">
        <f>'B1'!P41</f>
        <v>767.20432879402154</v>
      </c>
      <c r="O10" s="13">
        <f>'B1'!Q41</f>
        <v>769.7159561262697</v>
      </c>
      <c r="P10" s="13">
        <f>'B1'!R41</f>
        <v>772.23580587283368</v>
      </c>
      <c r="Q10" s="13">
        <f>'B1'!S41</f>
        <v>774.76390495175804</v>
      </c>
      <c r="R10" s="13">
        <f>'B1'!T41</f>
        <v>777.30028036921044</v>
      </c>
      <c r="T10" s="13">
        <f>'B1'!V41</f>
        <v>2258.1506563699149</v>
      </c>
      <c r="U10" s="13">
        <f>'B1'!W41</f>
        <v>2279.1636558732175</v>
      </c>
      <c r="V10" s="13">
        <f>'B1'!X41</f>
        <v>2301.6211819661703</v>
      </c>
      <c r="W10" s="13">
        <f>'B1'!Y41</f>
        <v>2324.2999911938023</v>
      </c>
      <c r="X10" s="13">
        <f>'B1'!Z41</f>
        <v>2344.470540212687</v>
      </c>
      <c r="Y10" s="13">
        <f>'B1'!AA41</f>
        <v>2361.9883773749234</v>
      </c>
      <c r="Z10" s="13">
        <f>'B1'!AB41</f>
        <v>2379.5062145371603</v>
      </c>
      <c r="AA10" s="13">
        <f>'B1'!AC41</f>
        <v>2397.0240516993972</v>
      </c>
      <c r="AC10" s="13">
        <f>'B1'!AE41</f>
        <v>9163.2354854031037</v>
      </c>
      <c r="AD10" s="13">
        <f>'B1'!AF41</f>
        <v>9482.9891838241674</v>
      </c>
      <c r="AE10" s="13">
        <f>'B1'!AG41</f>
        <v>9767.4788593388912</v>
      </c>
      <c r="AF10" s="13">
        <f>'B1'!AH41</f>
        <v>10060.503225119059</v>
      </c>
      <c r="AG10" s="13">
        <f>'B1'!AI41</f>
        <v>10362.31832187263</v>
      </c>
    </row>
    <row r="12" spans="1:34" x14ac:dyDescent="0.25">
      <c r="B12" s="1" t="s">
        <v>32</v>
      </c>
    </row>
    <row r="13" spans="1:34" x14ac:dyDescent="0.25">
      <c r="C13" s="82" t="str">
        <f>'A1'!E8</f>
        <v>Hemo Dialysis</v>
      </c>
      <c r="G13" s="13">
        <f>'C1'!I$38+'C2'!I$38</f>
        <v>0</v>
      </c>
      <c r="H13" s="13">
        <f>'C1'!J$38+'C2'!J$38</f>
        <v>0</v>
      </c>
      <c r="I13" s="13">
        <f>'C1'!K$38+'C2'!K$38</f>
        <v>0</v>
      </c>
      <c r="J13" s="13">
        <f>'C1'!L$38+'C2'!L$38</f>
        <v>0</v>
      </c>
      <c r="K13" s="13">
        <f>'C1'!M$38+'C2'!M$38</f>
        <v>0</v>
      </c>
      <c r="L13" s="13">
        <f>'C1'!N$38+'C2'!N$38</f>
        <v>0</v>
      </c>
      <c r="M13" s="13">
        <f>'C1'!O$38+'C2'!O$38</f>
        <v>0</v>
      </c>
      <c r="N13" s="13">
        <f>'C1'!P$38+'C2'!P$38</f>
        <v>0</v>
      </c>
      <c r="O13" s="13">
        <f>'C1'!Q$38+'C2'!Q$38</f>
        <v>0</v>
      </c>
      <c r="P13" s="13">
        <f>'C1'!R$38+'C2'!R$38</f>
        <v>0</v>
      </c>
      <c r="Q13" s="13">
        <f>'C1'!S$38+'C2'!S$38</f>
        <v>0</v>
      </c>
      <c r="R13" s="13">
        <f>'C1'!T$38+'C2'!T$38</f>
        <v>0</v>
      </c>
      <c r="S13" s="381"/>
      <c r="T13" s="381">
        <f>SUM(G13:I13)</f>
        <v>0</v>
      </c>
      <c r="U13" s="381">
        <f>SUM(J13:L13)</f>
        <v>0</v>
      </c>
      <c r="V13" s="381">
        <f>SUM(M13:O13)</f>
        <v>0</v>
      </c>
      <c r="W13" s="381">
        <f>SUM(P13:R13)</f>
        <v>0</v>
      </c>
      <c r="X13" s="13">
        <f>'C1'!V$38+'C2'!V$38</f>
        <v>0</v>
      </c>
      <c r="Y13" s="13">
        <f>'C1'!W$38+'C2'!W$38</f>
        <v>0</v>
      </c>
      <c r="Z13" s="13">
        <f>'C1'!X$38+'C2'!X$38</f>
        <v>0</v>
      </c>
      <c r="AA13" s="13">
        <f>'C1'!Y$38+'C2'!Y$38</f>
        <v>0</v>
      </c>
      <c r="AB13" s="381"/>
      <c r="AC13" s="381">
        <f>SUM(G13:R13)</f>
        <v>0</v>
      </c>
      <c r="AD13" s="381">
        <f>SUM(X13:AA13)</f>
        <v>0</v>
      </c>
      <c r="AE13" s="13">
        <f>'C1'!AC$38+'C2'!AC$38</f>
        <v>0</v>
      </c>
      <c r="AF13" s="13">
        <f>'C1'!AD$38+'C2'!AD$38</f>
        <v>0</v>
      </c>
      <c r="AG13" s="13">
        <f>'C1'!AE$38+'C2'!AE$38</f>
        <v>0</v>
      </c>
      <c r="AH13" s="13">
        <f>AG13*(1+'A1'!$O$50)</f>
        <v>0</v>
      </c>
    </row>
    <row r="14" spans="1:34" x14ac:dyDescent="0.25">
      <c r="C14" s="82" t="str">
        <f>'A1'!G8</f>
        <v>Home Dialysis</v>
      </c>
      <c r="G14" s="13">
        <f>'C3'!I$38+'C4'!I$38</f>
        <v>292.57886857677488</v>
      </c>
      <c r="H14" s="13">
        <f>'C3'!J$38+'C4'!J$38</f>
        <v>293.05778211752011</v>
      </c>
      <c r="I14" s="13">
        <f>'C3'!K$38+'C4'!K$38</f>
        <v>294.01717703732135</v>
      </c>
      <c r="J14" s="13">
        <f>'C3'!L$38+'C4'!L$38</f>
        <v>294.97971276643824</v>
      </c>
      <c r="K14" s="13">
        <f>'C3'!M$38+'C4'!M$38</f>
        <v>295.94539958706326</v>
      </c>
      <c r="L14" s="13">
        <f>'C3'!N$38+'C4'!N$38</f>
        <v>296.91424781505015</v>
      </c>
      <c r="M14" s="13">
        <f>'C3'!O$38+'C4'!O$38</f>
        <v>297.88626780002403</v>
      </c>
      <c r="N14" s="13">
        <f>'C3'!P$38+'C4'!P$38</f>
        <v>298.86146992549163</v>
      </c>
      <c r="O14" s="13">
        <f>'C3'!Q$38+'C4'!Q$38</f>
        <v>299.83986460895318</v>
      </c>
      <c r="P14" s="13">
        <f>'C3'!R$38+'C4'!R$38</f>
        <v>300.82146230201266</v>
      </c>
      <c r="Q14" s="13">
        <f>'C3'!S$38+'C4'!S$38</f>
        <v>301.80627349049007</v>
      </c>
      <c r="R14" s="13">
        <f>'C3'!T$38+'C4'!T$38</f>
        <v>302.79430869453307</v>
      </c>
      <c r="S14" s="381"/>
      <c r="T14" s="381">
        <f>SUM(G14:I14)</f>
        <v>879.65382773161627</v>
      </c>
      <c r="U14" s="381">
        <f>SUM(J14:L14)</f>
        <v>887.83936016855159</v>
      </c>
      <c r="V14" s="381">
        <f>SUM(M14:O14)</f>
        <v>896.58760233446878</v>
      </c>
      <c r="W14" s="381">
        <f>SUM(P14:R14)</f>
        <v>905.42204448703592</v>
      </c>
      <c r="X14" s="13">
        <f>'C3'!V$38+'C4'!V$38</f>
        <v>922.41219764209882</v>
      </c>
      <c r="Y14" s="13">
        <f>'C3'!W$38+'C4'!W$38</f>
        <v>929.30444320355923</v>
      </c>
      <c r="Z14" s="13">
        <f>'C3'!X$38+'C4'!X$38</f>
        <v>936.19668876501942</v>
      </c>
      <c r="AA14" s="13">
        <f>'C3'!Y$38+'C4'!Y$38</f>
        <v>943.08893432647972</v>
      </c>
      <c r="AB14" s="381"/>
      <c r="AC14" s="381">
        <f>SUM(G14:R14)</f>
        <v>3569.5028347216726</v>
      </c>
      <c r="AD14" s="381">
        <f>SUM(X14:AA14)</f>
        <v>3731.0022639371573</v>
      </c>
      <c r="AE14" s="13">
        <f>'C3'!AC$38+'C4'!AC$38</f>
        <v>3881.3616551738246</v>
      </c>
      <c r="AF14" s="13">
        <f>'C3'!AD$38+'C4'!AD$38</f>
        <v>4037.7805298773301</v>
      </c>
      <c r="AG14" s="13">
        <f>'C3'!AE$38+'C4'!AE$38</f>
        <v>4200.5030852313857</v>
      </c>
      <c r="AH14" s="13">
        <f>AG14*(1+'A1'!$O$50)</f>
        <v>4326.5181777883272</v>
      </c>
    </row>
    <row r="15" spans="1:34" ht="17.25" x14ac:dyDescent="0.4">
      <c r="C15" s="82" t="str">
        <f>'A1'!C68</f>
        <v>Acute Care</v>
      </c>
      <c r="G15" s="558">
        <f>'C5'!I29</f>
        <v>0</v>
      </c>
      <c r="H15" s="558">
        <f>'C5'!J29</f>
        <v>0</v>
      </c>
      <c r="I15" s="558">
        <f>'C5'!K29</f>
        <v>0</v>
      </c>
      <c r="J15" s="558">
        <f>'C5'!L29</f>
        <v>0</v>
      </c>
      <c r="K15" s="558">
        <f>'C5'!M29</f>
        <v>0</v>
      </c>
      <c r="L15" s="558">
        <f>'C5'!N29</f>
        <v>0</v>
      </c>
      <c r="M15" s="558">
        <f>'C5'!O29</f>
        <v>0</v>
      </c>
      <c r="N15" s="558">
        <f>'C5'!P29</f>
        <v>0</v>
      </c>
      <c r="O15" s="558">
        <f>'C5'!Q29</f>
        <v>0</v>
      </c>
      <c r="P15" s="558">
        <f>'C5'!R29</f>
        <v>0</v>
      </c>
      <c r="Q15" s="558">
        <f>'C5'!S29</f>
        <v>0</v>
      </c>
      <c r="R15" s="558">
        <f>'C5'!T29</f>
        <v>0</v>
      </c>
      <c r="T15" s="560">
        <f>SUM(G15:I15)</f>
        <v>0</v>
      </c>
      <c r="U15" s="560">
        <f>SUM(J15:L15)</f>
        <v>0</v>
      </c>
      <c r="V15" s="560">
        <f>SUM(M15:O15)</f>
        <v>0</v>
      </c>
      <c r="W15" s="560">
        <f>SUM(P15:R15)</f>
        <v>0</v>
      </c>
      <c r="X15" s="558">
        <f>'C5'!V29</f>
        <v>0</v>
      </c>
      <c r="Y15" s="558">
        <f>'C5'!W29</f>
        <v>0</v>
      </c>
      <c r="Z15" s="558">
        <f>'C5'!X29</f>
        <v>0</v>
      </c>
      <c r="AA15" s="558">
        <f>'C5'!Y29</f>
        <v>0</v>
      </c>
      <c r="AB15" s="558"/>
      <c r="AC15" s="560">
        <f>SUM(G15:R15)</f>
        <v>0</v>
      </c>
      <c r="AD15" s="560">
        <f>SUM(X15:AA15)</f>
        <v>0</v>
      </c>
      <c r="AE15" s="558">
        <f>'C5'!AC29</f>
        <v>0</v>
      </c>
      <c r="AF15" s="558">
        <f>'C5'!AD29</f>
        <v>0</v>
      </c>
      <c r="AG15" s="558">
        <f>'C5'!AE29</f>
        <v>0</v>
      </c>
      <c r="AH15" s="558">
        <f>AG15*(1+'A1'!$O$50)</f>
        <v>0</v>
      </c>
    </row>
    <row r="16" spans="1:34" x14ac:dyDescent="0.25">
      <c r="G16" s="381">
        <f>SUM(G13:G15)</f>
        <v>292.57886857677488</v>
      </c>
      <c r="H16" s="381">
        <f t="shared" ref="H16:R16" si="1">SUM(H13:H15)</f>
        <v>293.05778211752011</v>
      </c>
      <c r="I16" s="381">
        <f t="shared" si="1"/>
        <v>294.01717703732135</v>
      </c>
      <c r="J16" s="381">
        <f t="shared" si="1"/>
        <v>294.97971276643824</v>
      </c>
      <c r="K16" s="381">
        <f t="shared" si="1"/>
        <v>295.94539958706326</v>
      </c>
      <c r="L16" s="381">
        <f t="shared" si="1"/>
        <v>296.91424781505015</v>
      </c>
      <c r="M16" s="381">
        <f t="shared" si="1"/>
        <v>297.88626780002403</v>
      </c>
      <c r="N16" s="381">
        <f t="shared" si="1"/>
        <v>298.86146992549163</v>
      </c>
      <c r="O16" s="381">
        <f t="shared" si="1"/>
        <v>299.83986460895318</v>
      </c>
      <c r="P16" s="381">
        <f t="shared" si="1"/>
        <v>300.82146230201266</v>
      </c>
      <c r="Q16" s="381">
        <f t="shared" si="1"/>
        <v>301.80627349049007</v>
      </c>
      <c r="R16" s="381">
        <f t="shared" si="1"/>
        <v>302.79430869453307</v>
      </c>
      <c r="T16" s="381">
        <f t="shared" ref="T16:AA16" si="2">SUM(T13:T15)</f>
        <v>879.65382773161627</v>
      </c>
      <c r="U16" s="381">
        <f t="shared" si="2"/>
        <v>887.83936016855159</v>
      </c>
      <c r="V16" s="381">
        <f t="shared" si="2"/>
        <v>896.58760233446878</v>
      </c>
      <c r="W16" s="381">
        <f t="shared" si="2"/>
        <v>905.42204448703592</v>
      </c>
      <c r="X16" s="381">
        <f t="shared" si="2"/>
        <v>922.41219764209882</v>
      </c>
      <c r="Y16" s="381">
        <f t="shared" si="2"/>
        <v>929.30444320355923</v>
      </c>
      <c r="Z16" s="381">
        <f t="shared" si="2"/>
        <v>936.19668876501942</v>
      </c>
      <c r="AA16" s="381">
        <f t="shared" si="2"/>
        <v>943.08893432647972</v>
      </c>
      <c r="AB16" s="1586"/>
      <c r="AC16" s="381">
        <f>SUM(AC13:AC15)</f>
        <v>3569.5028347216726</v>
      </c>
      <c r="AD16" s="381">
        <f>SUM(AD13:AD15)</f>
        <v>3731.0022639371573</v>
      </c>
      <c r="AE16" s="381">
        <f>SUM(AE13:AE15)</f>
        <v>3881.3616551738246</v>
      </c>
      <c r="AF16" s="381">
        <f>SUM(AF13:AF15)</f>
        <v>4037.7805298773301</v>
      </c>
      <c r="AG16" s="381">
        <f>SUM(AG13:AG15)</f>
        <v>4200.5030852313857</v>
      </c>
      <c r="AH16" s="381">
        <f>AG16*(1+'A1'!$O$50)</f>
        <v>4326.5181777883272</v>
      </c>
    </row>
    <row r="18" spans="2:36" x14ac:dyDescent="0.25">
      <c r="C18" s="1" t="s">
        <v>127</v>
      </c>
      <c r="G18" s="13">
        <f>-G16*'A1'!$I$10</f>
        <v>-2.9257886857677486</v>
      </c>
      <c r="H18" s="13">
        <f>-H16*'A1'!$I$10</f>
        <v>-2.9305778211752012</v>
      </c>
      <c r="I18" s="13">
        <f>-I16*'A1'!$I$10</f>
        <v>-2.9401717703732135</v>
      </c>
      <c r="J18" s="13">
        <f>-J16*'A1'!$I$10</f>
        <v>-2.9497971276643824</v>
      </c>
      <c r="K18" s="13">
        <f>-K16*'A1'!$I$10</f>
        <v>-2.9594539958706325</v>
      </c>
      <c r="L18" s="13">
        <f>-L16*'A1'!$I$10</f>
        <v>-2.9691424781505016</v>
      </c>
      <c r="M18" s="13">
        <f>-M16*'A1'!$I$10</f>
        <v>-2.9788626780002403</v>
      </c>
      <c r="N18" s="13">
        <f>-N16*'A1'!$I$10</f>
        <v>-2.9886146992549163</v>
      </c>
      <c r="O18" s="13">
        <f>-O16*'A1'!$I$10</f>
        <v>-2.998398646089532</v>
      </c>
      <c r="P18" s="13">
        <f>-P16*'A1'!$I$10</f>
        <v>-3.0082146230201268</v>
      </c>
      <c r="Q18" s="13">
        <f>-Q16*'A1'!$I$10</f>
        <v>-3.018062734904901</v>
      </c>
      <c r="R18" s="13">
        <f>-R16*'A1'!$I$10</f>
        <v>-3.027943086945331</v>
      </c>
      <c r="T18" s="13">
        <f>-T16*'A1'!$I$10</f>
        <v>-8.7965382773161629</v>
      </c>
      <c r="U18" s="13">
        <f>-U16*'A1'!$I$10</f>
        <v>-8.8783936016855165</v>
      </c>
      <c r="V18" s="13">
        <f>-V16*'A1'!$I$10</f>
        <v>-8.9658760233446877</v>
      </c>
      <c r="W18" s="13">
        <f>-W16*'A1'!$I$10</f>
        <v>-9.05422044487036</v>
      </c>
      <c r="X18" s="13">
        <f>-X16*'A1'!$I$10</f>
        <v>-9.2241219764209887</v>
      </c>
      <c r="Y18" s="13">
        <f>-Y16*'A1'!$I$10</f>
        <v>-9.2930444320355932</v>
      </c>
      <c r="Z18" s="13">
        <f>-Z16*'A1'!$I$10</f>
        <v>-9.361966887650194</v>
      </c>
      <c r="AA18" s="13">
        <f>-AA16*'A1'!$I$10</f>
        <v>-9.4308893432647967</v>
      </c>
      <c r="AC18" s="13">
        <f>-AC16*'A1'!$I$10</f>
        <v>-35.695028347216727</v>
      </c>
      <c r="AD18" s="13">
        <f>-AD16*'A1'!$I$10</f>
        <v>-37.310022639371574</v>
      </c>
      <c r="AE18" s="13">
        <f>-AE16*'A1'!$I$10</f>
        <v>-38.813616551738249</v>
      </c>
      <c r="AF18" s="13">
        <f>-AF16*'A1'!$I$10</f>
        <v>-40.377805298773303</v>
      </c>
      <c r="AG18" s="13">
        <f>-AG16*'A1'!$I$10</f>
        <v>-42.005030852313858</v>
      </c>
      <c r="AH18" s="13">
        <f>AG18*(1+'A1'!$O$50)</f>
        <v>-43.265181777883278</v>
      </c>
    </row>
    <row r="19" spans="2:36" x14ac:dyDescent="0.25">
      <c r="B19" s="390" t="s">
        <v>128</v>
      </c>
      <c r="C19" s="390"/>
      <c r="D19" s="390"/>
      <c r="E19" s="390"/>
      <c r="F19" s="390"/>
      <c r="G19" s="686">
        <f>G16+G18</f>
        <v>289.65307989100711</v>
      </c>
      <c r="H19" s="686">
        <f t="shared" ref="H19:T19" si="3">H16+H18</f>
        <v>290.12720429634493</v>
      </c>
      <c r="I19" s="686">
        <f t="shared" si="3"/>
        <v>291.07700526694811</v>
      </c>
      <c r="J19" s="686">
        <f t="shared" si="3"/>
        <v>292.02991563877384</v>
      </c>
      <c r="K19" s="686">
        <f t="shared" si="3"/>
        <v>292.9859455911926</v>
      </c>
      <c r="L19" s="686">
        <f t="shared" si="3"/>
        <v>293.94510533689964</v>
      </c>
      <c r="M19" s="686">
        <f t="shared" si="3"/>
        <v>294.90740512202376</v>
      </c>
      <c r="N19" s="686">
        <f t="shared" si="3"/>
        <v>295.87285522623671</v>
      </c>
      <c r="O19" s="686">
        <f t="shared" si="3"/>
        <v>296.84146596286365</v>
      </c>
      <c r="P19" s="686">
        <f t="shared" si="3"/>
        <v>297.81324767899252</v>
      </c>
      <c r="Q19" s="686">
        <f t="shared" si="3"/>
        <v>298.78821075558517</v>
      </c>
      <c r="R19" s="686">
        <f t="shared" si="3"/>
        <v>299.76636560758772</v>
      </c>
      <c r="S19" s="390"/>
      <c r="T19" s="686">
        <f t="shared" si="3"/>
        <v>870.85728945430014</v>
      </c>
      <c r="U19" s="686">
        <f t="shared" ref="U19:AA19" si="4">U16+U18</f>
        <v>878.96096656686609</v>
      </c>
      <c r="V19" s="686">
        <f t="shared" si="4"/>
        <v>887.62172631112412</v>
      </c>
      <c r="W19" s="686">
        <f t="shared" si="4"/>
        <v>896.36782404216558</v>
      </c>
      <c r="X19" s="686">
        <f t="shared" si="4"/>
        <v>913.18807566567784</v>
      </c>
      <c r="Y19" s="686">
        <f t="shared" si="4"/>
        <v>920.01139877152366</v>
      </c>
      <c r="Z19" s="686">
        <f t="shared" si="4"/>
        <v>926.83472187736925</v>
      </c>
      <c r="AA19" s="686">
        <f t="shared" si="4"/>
        <v>933.65804498321495</v>
      </c>
      <c r="AB19" s="1588">
        <f>'Historical Actuals'!N44/1000</f>
        <v>2998.5903899999998</v>
      </c>
      <c r="AC19" s="686">
        <f>AC16+AC18</f>
        <v>3533.807806374456</v>
      </c>
      <c r="AD19" s="686">
        <f>AD16+AD18</f>
        <v>3693.6922412977856</v>
      </c>
      <c r="AE19" s="686">
        <f>AE16+AE18</f>
        <v>3842.5480386220866</v>
      </c>
      <c r="AF19" s="686">
        <f>AF16+AF18</f>
        <v>3997.4027245785569</v>
      </c>
      <c r="AG19" s="686">
        <f>AG16+AG18</f>
        <v>4158.4980543790716</v>
      </c>
      <c r="AH19" s="686">
        <f>AG19*(1+'A1'!$O$50)</f>
        <v>4283.2529960104439</v>
      </c>
    </row>
    <row r="21" spans="2:36" x14ac:dyDescent="0.25">
      <c r="B21" s="1" t="s">
        <v>158</v>
      </c>
    </row>
    <row r="22" spans="2:36" x14ac:dyDescent="0.25">
      <c r="C22" s="82" t="s">
        <v>160</v>
      </c>
      <c r="G22" s="13">
        <f>'C8'!I71</f>
        <v>79.813469511555198</v>
      </c>
      <c r="H22" s="13">
        <f>'C8'!J71</f>
        <v>79.914825906674494</v>
      </c>
      <c r="I22" s="13">
        <f>'C8'!K71</f>
        <v>80.117870511375997</v>
      </c>
      <c r="J22" s="13">
        <f>'C8'!L71</f>
        <v>80.321579831277475</v>
      </c>
      <c r="K22" s="13">
        <f>'C8'!M71</f>
        <v>80.525956042483529</v>
      </c>
      <c r="L22" s="13">
        <f>'C8'!N71</f>
        <v>80.731001328222703</v>
      </c>
      <c r="M22" s="13">
        <f>'C8'!O71</f>
        <v>80.936717878871008</v>
      </c>
      <c r="N22" s="13">
        <f>'C8'!P71</f>
        <v>81.143107891974978</v>
      </c>
      <c r="O22" s="13">
        <f>'C8'!Q71</f>
        <v>81.350173572275523</v>
      </c>
      <c r="P22" s="13">
        <f>'C8'!R71</f>
        <v>81.557917131731202</v>
      </c>
      <c r="Q22" s="13">
        <f>'C8'!S71</f>
        <v>81.766340789541957</v>
      </c>
      <c r="R22" s="13">
        <f>'C8'!T71</f>
        <v>81.97544677217283</v>
      </c>
      <c r="T22" s="381">
        <f>SUM(G22:I22)</f>
        <v>239.84616592960569</v>
      </c>
      <c r="U22" s="381">
        <f>SUM(J22:L22)</f>
        <v>241.57853720198369</v>
      </c>
      <c r="V22" s="381">
        <f>SUM(M22:O22)</f>
        <v>243.42999934312149</v>
      </c>
      <c r="W22" s="381">
        <f>SUM(P22:R22)</f>
        <v>245.29970469344599</v>
      </c>
      <c r="X22" s="13">
        <f>'C8'!V71</f>
        <v>254.37150061744103</v>
      </c>
      <c r="Y22" s="13">
        <f>'C8'!W71</f>
        <v>255.85904739936348</v>
      </c>
      <c r="Z22" s="13">
        <f>'C8'!X71</f>
        <v>257.34659418128604</v>
      </c>
      <c r="AA22" s="13">
        <f>'C8'!Y71</f>
        <v>258.83414096320854</v>
      </c>
      <c r="AC22" s="381">
        <f>SUM(G22:R22)</f>
        <v>970.15440716815681</v>
      </c>
      <c r="AD22" s="381">
        <f>SUM(X22:AA22)</f>
        <v>1026.411283161299</v>
      </c>
      <c r="AE22" s="13">
        <f>'C8'!AC71</f>
        <v>1082.0861141867119</v>
      </c>
      <c r="AF22" s="13">
        <f>'C8'!AD71</f>
        <v>1140.9465339379994</v>
      </c>
      <c r="AG22" s="13">
        <f>'C8'!AE71</f>
        <v>1203.1803945140596</v>
      </c>
      <c r="AH22" s="13">
        <f>AG22*(1+'A1'!$O$50)</f>
        <v>1239.2758063494814</v>
      </c>
    </row>
    <row r="23" spans="2:36" x14ac:dyDescent="0.25">
      <c r="C23" s="82" t="str">
        <f>'C7'!D13</f>
        <v>Pharmacy</v>
      </c>
      <c r="G23" s="13">
        <f>'C7'!I75</f>
        <v>29.283070887877244</v>
      </c>
      <c r="H23" s="13">
        <f>'C7'!J75</f>
        <v>29.331003464932543</v>
      </c>
      <c r="I23" s="13">
        <f>'C7'!K75</f>
        <v>29.427025537827511</v>
      </c>
      <c r="J23" s="13">
        <f>'C7'!L75</f>
        <v>29.523361962002479</v>
      </c>
      <c r="K23" s="13">
        <f>'C7'!M75</f>
        <v>29.62001376656174</v>
      </c>
      <c r="L23" s="13">
        <f>'C7'!N75</f>
        <v>29.716981983978613</v>
      </c>
      <c r="M23" s="13">
        <f>'C7'!O75</f>
        <v>29.814267650106451</v>
      </c>
      <c r="N23" s="13">
        <f>'C7'!P75</f>
        <v>29.91187180418973</v>
      </c>
      <c r="O23" s="13">
        <f>'C7'!Q75</f>
        <v>30.009795488875135</v>
      </c>
      <c r="P23" s="13">
        <f>'C7'!R75</f>
        <v>30.108039750222726</v>
      </c>
      <c r="Q23" s="13">
        <f>'C7'!S75</f>
        <v>30.206605637717058</v>
      </c>
      <c r="R23" s="13">
        <f>'C7'!T75</f>
        <v>30.30549420427845</v>
      </c>
      <c r="S23" s="13">
        <f>'C7'!U75</f>
        <v>0</v>
      </c>
      <c r="T23" s="381">
        <f>SUM(G23:I23)</f>
        <v>88.041099890637298</v>
      </c>
      <c r="U23" s="381">
        <f>SUM(J23:L23)</f>
        <v>88.860357712542836</v>
      </c>
      <c r="V23" s="381">
        <f>SUM(M23:O23)</f>
        <v>89.735934943171316</v>
      </c>
      <c r="W23" s="381">
        <f>SUM(P23:R23)</f>
        <v>90.620139592218237</v>
      </c>
      <c r="X23" s="13">
        <f>'C7'!V75</f>
        <v>95.062813907849929</v>
      </c>
      <c r="Y23" s="13">
        <f>'C7'!W75</f>
        <v>95.773121359216162</v>
      </c>
      <c r="Z23" s="13">
        <f>'C7'!X75</f>
        <v>96.483428810582438</v>
      </c>
      <c r="AA23" s="13">
        <f>'C7'!Y75</f>
        <v>97.193736261948686</v>
      </c>
      <c r="AC23" s="381">
        <f>SUM(G23:R23)</f>
        <v>357.25753213856962</v>
      </c>
      <c r="AD23" s="381">
        <f>SUM(X23:AA23)</f>
        <v>384.5131003395972</v>
      </c>
      <c r="AE23" s="13">
        <f>'C7'!AC75</f>
        <v>411.89043308377649</v>
      </c>
      <c r="AF23" s="13">
        <f>'C7'!AD75</f>
        <v>441.21703191934148</v>
      </c>
      <c r="AG23" s="13">
        <f>'C7'!AE75</f>
        <v>472.63168459199858</v>
      </c>
      <c r="AH23" s="13">
        <f>AG23*(1+'A1'!$O$50)</f>
        <v>486.81063512975857</v>
      </c>
      <c r="AI23" s="13">
        <f>'C7'!AD75</f>
        <v>441.21703191934148</v>
      </c>
      <c r="AJ23" s="13">
        <f>'C7'!AE75</f>
        <v>472.63168459199858</v>
      </c>
    </row>
    <row r="24" spans="2:36" x14ac:dyDescent="0.25">
      <c r="C24" s="82" t="str">
        <f>'C7'!D16</f>
        <v>Dialysis Supplies</v>
      </c>
      <c r="G24" s="13">
        <f>'C7'!I76</f>
        <v>89.036701755387725</v>
      </c>
      <c r="H24" s="13">
        <f>'C7'!J76</f>
        <v>89.182443251693911</v>
      </c>
      <c r="I24" s="13">
        <f>'C7'!K76</f>
        <v>89.474403364040697</v>
      </c>
      <c r="J24" s="13">
        <f>'C7'!L76</f>
        <v>89.767319277822082</v>
      </c>
      <c r="K24" s="13">
        <f>'C7'!M76</f>
        <v>90.061194122083208</v>
      </c>
      <c r="L24" s="13">
        <f>'C7'!N76</f>
        <v>90.356031036113023</v>
      </c>
      <c r="M24" s="13">
        <f>'C7'!O76</f>
        <v>90.651833169477541</v>
      </c>
      <c r="N24" s="13">
        <f>'C7'!P76</f>
        <v>90.948603682053715</v>
      </c>
      <c r="O24" s="13">
        <f>'C7'!Q76</f>
        <v>91.246345744063078</v>
      </c>
      <c r="P24" s="13">
        <f>'C7'!R76</f>
        <v>91.545062536105718</v>
      </c>
      <c r="Q24" s="13">
        <f>'C7'!S76</f>
        <v>91.84475724919406</v>
      </c>
      <c r="R24" s="13">
        <f>'C7'!T76</f>
        <v>92.145433084787157</v>
      </c>
      <c r="S24" s="13">
        <f>'C7'!U76</f>
        <v>0</v>
      </c>
      <c r="T24" s="381">
        <f>SUM(G24:I24)</f>
        <v>267.69354837112235</v>
      </c>
      <c r="U24" s="381">
        <f>SUM(J24:L24)</f>
        <v>270.18454443601831</v>
      </c>
      <c r="V24" s="381">
        <f>SUM(M24:O24)</f>
        <v>272.84678259559433</v>
      </c>
      <c r="W24" s="381">
        <f>SUM(P24:R24)</f>
        <v>275.53525287008694</v>
      </c>
      <c r="X24" s="13">
        <f>'C7'!V76</f>
        <v>289.04343544942759</v>
      </c>
      <c r="Y24" s="13">
        <f>'C7'!W76</f>
        <v>291.20316223983423</v>
      </c>
      <c r="Z24" s="13">
        <f>'C7'!X76</f>
        <v>293.36288903024092</v>
      </c>
      <c r="AA24" s="13">
        <f>'C7'!Y76</f>
        <v>295.52261582064762</v>
      </c>
      <c r="AB24" s="1587">
        <f>'Historical Actuals'!N51/1000</f>
        <v>962.28697999999997</v>
      </c>
      <c r="AC24" s="381">
        <f>SUM(G24:R24)</f>
        <v>1086.2601282728219</v>
      </c>
      <c r="AD24" s="381">
        <f>SUM(X24:AA24)</f>
        <v>1169.1321025401503</v>
      </c>
      <c r="AE24" s="13">
        <f>'C7'!AC76</f>
        <v>1252.374308241009</v>
      </c>
      <c r="AF24" s="13">
        <f>'C7'!AD76</f>
        <v>1341.5433589877691</v>
      </c>
      <c r="AG24" s="13">
        <f>'C7'!AE76</f>
        <v>1437.0612461476985</v>
      </c>
      <c r="AH24" s="13">
        <f>AG24*(1+'A1'!$O$50)</f>
        <v>1480.1730835321296</v>
      </c>
    </row>
    <row r="25" spans="2:36" ht="17.25" x14ac:dyDescent="0.4">
      <c r="C25" s="82" t="str">
        <f>'C7'!D19</f>
        <v>Lab Expense</v>
      </c>
      <c r="G25" s="558">
        <f>'C7'!I77</f>
        <v>3.7393445342835174</v>
      </c>
      <c r="H25" s="558">
        <f>'C7'!J77</f>
        <v>3.7454653547641339</v>
      </c>
      <c r="I25" s="558">
        <f>'C7'!K77</f>
        <v>3.7577270336988735</v>
      </c>
      <c r="J25" s="558">
        <f>'C7'!L77</f>
        <v>3.7700288541797371</v>
      </c>
      <c r="K25" s="558">
        <f>'C7'!M77</f>
        <v>3.7823709476197029</v>
      </c>
      <c r="L25" s="558">
        <f>'C7'!N77</f>
        <v>3.7947534458619594</v>
      </c>
      <c r="M25" s="558">
        <f>'C7'!O77</f>
        <v>3.8071764811813136</v>
      </c>
      <c r="N25" s="558">
        <f>'C7'!P77</f>
        <v>3.8196401862856089</v>
      </c>
      <c r="O25" s="558">
        <f>'C7'!Q77</f>
        <v>3.8321446943171371</v>
      </c>
      <c r="P25" s="558">
        <f>'C7'!R77</f>
        <v>3.8446901388540664</v>
      </c>
      <c r="Q25" s="558">
        <f>'C7'!S77</f>
        <v>3.8572766539118613</v>
      </c>
      <c r="R25" s="558">
        <f>'C7'!T77</f>
        <v>3.8699043739447196</v>
      </c>
      <c r="S25" s="558">
        <f>'C7'!U77</f>
        <v>0</v>
      </c>
      <c r="T25" s="560">
        <f>SUM(G25:I25)</f>
        <v>11.242536922746526</v>
      </c>
      <c r="U25" s="560">
        <f>SUM(J25:L25)</f>
        <v>11.347153247661399</v>
      </c>
      <c r="V25" s="560">
        <f>SUM(M25:O25)</f>
        <v>11.458961361784059</v>
      </c>
      <c r="W25" s="560">
        <f>SUM(P25:R25)</f>
        <v>11.571871166710647</v>
      </c>
      <c r="X25" s="558">
        <f>'C7'!V77</f>
        <v>12.139184956421023</v>
      </c>
      <c r="Y25" s="558">
        <f>'C7'!W77</f>
        <v>12.229888704538736</v>
      </c>
      <c r="Z25" s="558">
        <f>'C7'!X77</f>
        <v>12.320592452656454</v>
      </c>
      <c r="AA25" s="558">
        <f>'C7'!Y77</f>
        <v>12.411296200774171</v>
      </c>
      <c r="AB25" s="558"/>
      <c r="AC25" s="560">
        <f>SUM(G25:R25)</f>
        <v>45.62052269890264</v>
      </c>
      <c r="AD25" s="560">
        <f>SUM(X25:AA25)</f>
        <v>49.100962314390387</v>
      </c>
      <c r="AE25" s="558">
        <f>'C7'!AC77</f>
        <v>52.596950831174965</v>
      </c>
      <c r="AF25" s="558">
        <f>'C7'!AD77</f>
        <v>56.341853730354643</v>
      </c>
      <c r="AG25" s="558">
        <f>'C7'!AE77</f>
        <v>60.353393715955882</v>
      </c>
      <c r="AH25" s="558">
        <f>AG25*(1+'A1'!$O$50)</f>
        <v>62.163995527434558</v>
      </c>
    </row>
    <row r="26" spans="2:36" x14ac:dyDescent="0.25">
      <c r="G26" s="381">
        <f t="shared" ref="G26:AG26" si="5">SUM(G22:G25)</f>
        <v>201.87258668910366</v>
      </c>
      <c r="H26" s="381">
        <f t="shared" si="5"/>
        <v>202.17373797806508</v>
      </c>
      <c r="I26" s="381">
        <f t="shared" si="5"/>
        <v>202.77702644694307</v>
      </c>
      <c r="J26" s="381">
        <f t="shared" si="5"/>
        <v>203.38228992528178</v>
      </c>
      <c r="K26" s="381">
        <f t="shared" si="5"/>
        <v>203.9895348787482</v>
      </c>
      <c r="L26" s="381">
        <f t="shared" si="5"/>
        <v>204.59876779417633</v>
      </c>
      <c r="M26" s="381">
        <f t="shared" si="5"/>
        <v>205.20999517963631</v>
      </c>
      <c r="N26" s="381">
        <f t="shared" si="5"/>
        <v>205.82322356450402</v>
      </c>
      <c r="O26" s="381">
        <f t="shared" si="5"/>
        <v>206.43845949953089</v>
      </c>
      <c r="P26" s="381">
        <f t="shared" si="5"/>
        <v>207.05570955691374</v>
      </c>
      <c r="Q26" s="381">
        <f t="shared" si="5"/>
        <v>207.67498033036495</v>
      </c>
      <c r="R26" s="381">
        <f t="shared" si="5"/>
        <v>208.29627843518315</v>
      </c>
      <c r="S26" s="381">
        <f t="shared" si="5"/>
        <v>0</v>
      </c>
      <c r="T26" s="381">
        <f t="shared" si="5"/>
        <v>606.82335111411192</v>
      </c>
      <c r="U26" s="381">
        <f t="shared" si="5"/>
        <v>611.97059259820628</v>
      </c>
      <c r="V26" s="381">
        <f t="shared" si="5"/>
        <v>617.47167824367125</v>
      </c>
      <c r="W26" s="381">
        <f t="shared" si="5"/>
        <v>623.02696832246181</v>
      </c>
      <c r="X26" s="381">
        <f t="shared" si="5"/>
        <v>650.61693493113955</v>
      </c>
      <c r="Y26" s="381">
        <f t="shared" si="5"/>
        <v>655.06521970295262</v>
      </c>
      <c r="Z26" s="381">
        <f t="shared" si="5"/>
        <v>659.5135044747658</v>
      </c>
      <c r="AA26" s="381">
        <f t="shared" si="5"/>
        <v>663.96178924657897</v>
      </c>
      <c r="AB26" s="381"/>
      <c r="AC26" s="381">
        <f t="shared" si="5"/>
        <v>2459.2925902784514</v>
      </c>
      <c r="AD26" s="381">
        <f t="shared" si="5"/>
        <v>2629.1574483554373</v>
      </c>
      <c r="AE26" s="381">
        <f t="shared" si="5"/>
        <v>2798.9478063426727</v>
      </c>
      <c r="AF26" s="381">
        <f t="shared" si="5"/>
        <v>2980.0487785754644</v>
      </c>
      <c r="AG26" s="381">
        <f t="shared" si="5"/>
        <v>3173.2267189697127</v>
      </c>
      <c r="AH26" s="381">
        <f>AG26*(1+'A1'!$O$50)</f>
        <v>3268.423520538804</v>
      </c>
    </row>
    <row r="28" spans="2:36" x14ac:dyDescent="0.25">
      <c r="B28" s="1" t="s">
        <v>37</v>
      </c>
      <c r="G28" s="381">
        <f t="shared" ref="G28:R28" si="6">G19-G26</f>
        <v>87.780493201903454</v>
      </c>
      <c r="H28" s="381">
        <f t="shared" si="6"/>
        <v>87.953466318279851</v>
      </c>
      <c r="I28" s="381">
        <f t="shared" si="6"/>
        <v>88.299978820005038</v>
      </c>
      <c r="J28" s="381">
        <f t="shared" si="6"/>
        <v>88.647625713492062</v>
      </c>
      <c r="K28" s="381">
        <f t="shared" si="6"/>
        <v>88.996410712444401</v>
      </c>
      <c r="L28" s="381">
        <f t="shared" si="6"/>
        <v>89.346337542723319</v>
      </c>
      <c r="M28" s="381">
        <f t="shared" si="6"/>
        <v>89.697409942387452</v>
      </c>
      <c r="N28" s="381">
        <f t="shared" si="6"/>
        <v>90.04963166173269</v>
      </c>
      <c r="O28" s="381">
        <f t="shared" si="6"/>
        <v>90.403006463332758</v>
      </c>
      <c r="P28" s="381">
        <f t="shared" si="6"/>
        <v>90.757538122078785</v>
      </c>
      <c r="Q28" s="381">
        <f t="shared" si="6"/>
        <v>91.113230425220223</v>
      </c>
      <c r="R28" s="381">
        <f t="shared" si="6"/>
        <v>91.470087172404561</v>
      </c>
      <c r="T28" s="381">
        <f t="shared" ref="T28:AA28" si="7">T19-T26</f>
        <v>264.03393834018823</v>
      </c>
      <c r="U28" s="381">
        <f t="shared" si="7"/>
        <v>266.99037396865981</v>
      </c>
      <c r="V28" s="381">
        <f t="shared" si="7"/>
        <v>270.15004806745287</v>
      </c>
      <c r="W28" s="381">
        <f t="shared" si="7"/>
        <v>273.34085571970377</v>
      </c>
      <c r="X28" s="381">
        <f t="shared" si="7"/>
        <v>262.57114073453829</v>
      </c>
      <c r="Y28" s="381">
        <f t="shared" si="7"/>
        <v>264.94617906857104</v>
      </c>
      <c r="Z28" s="381">
        <f t="shared" si="7"/>
        <v>267.32121740260345</v>
      </c>
      <c r="AA28" s="381">
        <f t="shared" si="7"/>
        <v>269.69625573663598</v>
      </c>
      <c r="AC28" s="381">
        <f>AC19-AC26</f>
        <v>1074.5152160960047</v>
      </c>
      <c r="AD28" s="381">
        <f>AD19-AD26</f>
        <v>1064.5347929423483</v>
      </c>
      <c r="AE28" s="381">
        <f>AE19-AE26</f>
        <v>1043.6002322794138</v>
      </c>
      <c r="AF28" s="381">
        <f>AF19-AF26</f>
        <v>1017.3539460030925</v>
      </c>
      <c r="AG28" s="381">
        <f>AG19-AG26</f>
        <v>985.27133540935893</v>
      </c>
      <c r="AH28" s="381">
        <f>AG28*(1+'A1'!$O$50)</f>
        <v>1014.8294754716397</v>
      </c>
    </row>
    <row r="30" spans="2:36" x14ac:dyDescent="0.25">
      <c r="B30" s="1" t="s">
        <v>161</v>
      </c>
    </row>
    <row r="31" spans="2:36" x14ac:dyDescent="0.25">
      <c r="C31" s="82" t="s">
        <v>167</v>
      </c>
      <c r="G31" s="13">
        <f>'C9'!I14</f>
        <v>18.222287499999997</v>
      </c>
      <c r="H31" s="13">
        <f>'C9'!J14</f>
        <v>18.222287499999997</v>
      </c>
      <c r="I31" s="13">
        <f>'C9'!K14</f>
        <v>18.222287499999997</v>
      </c>
      <c r="J31" s="13">
        <f>'C9'!L14</f>
        <v>18.222287499999997</v>
      </c>
      <c r="K31" s="13">
        <f>'C9'!M14</f>
        <v>18.222287499999997</v>
      </c>
      <c r="L31" s="13">
        <f>'C9'!N14</f>
        <v>18.222287499999997</v>
      </c>
      <c r="M31" s="13">
        <f>'C9'!O14</f>
        <v>18.222287499999997</v>
      </c>
      <c r="N31" s="13">
        <f>'C9'!P14</f>
        <v>18.222287499999997</v>
      </c>
      <c r="O31" s="13">
        <f>'C9'!Q14</f>
        <v>18.222287499999997</v>
      </c>
      <c r="P31" s="13">
        <f>'C9'!R14</f>
        <v>18.222287499999997</v>
      </c>
      <c r="Q31" s="13">
        <f>'C9'!S14</f>
        <v>18.222287499999997</v>
      </c>
      <c r="R31" s="13">
        <f>'C9'!T14</f>
        <v>18.222287499999997</v>
      </c>
      <c r="T31" s="381">
        <f>SUM(G31:I31)</f>
        <v>54.666862499999993</v>
      </c>
      <c r="U31" s="381">
        <f>SUM(J31:L31)</f>
        <v>54.666862499999993</v>
      </c>
      <c r="V31" s="381">
        <f>SUM(M31:O31)</f>
        <v>54.666862499999993</v>
      </c>
      <c r="W31" s="381">
        <f>SUM(P31:R31)</f>
        <v>54.666862499999993</v>
      </c>
      <c r="X31" s="381">
        <f>'C9'!V14</f>
        <v>56.033534062499982</v>
      </c>
      <c r="Y31" s="381">
        <f>'C9'!W14</f>
        <v>56.033534062499982</v>
      </c>
      <c r="Z31" s="381">
        <f>'C9'!X14</f>
        <v>56.033534062499982</v>
      </c>
      <c r="AA31" s="381">
        <f>'C9'!Y14</f>
        <v>56.033534062499982</v>
      </c>
      <c r="AC31" s="381">
        <f>SUM(G31:R31)</f>
        <v>218.66744999999995</v>
      </c>
      <c r="AD31" s="381">
        <f>SUM(X31:AA31)</f>
        <v>224.13413624999993</v>
      </c>
      <c r="AE31" s="381">
        <f>'C9'!AC14</f>
        <v>229.73748965624992</v>
      </c>
      <c r="AF31" s="381">
        <f>'C9'!AD14</f>
        <v>235.48092689765616</v>
      </c>
      <c r="AG31" s="381">
        <f>'C9'!AE14</f>
        <v>241.36795007009749</v>
      </c>
      <c r="AH31" s="381">
        <f>AG31*(1+'A1'!$O$50)</f>
        <v>248.60898857220042</v>
      </c>
    </row>
    <row r="32" spans="2:36" x14ac:dyDescent="0.25">
      <c r="C32" s="82" t="s">
        <v>162</v>
      </c>
      <c r="G32" s="381">
        <f>G19*'A1'!$O$23</f>
        <v>28.965307989100712</v>
      </c>
      <c r="H32" s="13">
        <f>H19*'A1'!$O$23</f>
        <v>29.012720429634495</v>
      </c>
      <c r="I32" s="13">
        <f>I19*'A1'!$O$23</f>
        <v>29.107700526694813</v>
      </c>
      <c r="J32" s="13">
        <f>J19*'A1'!$O$23</f>
        <v>29.202991563877386</v>
      </c>
      <c r="K32" s="13">
        <f>K19*'A1'!$O$23</f>
        <v>29.298594559119262</v>
      </c>
      <c r="L32" s="13">
        <f>L19*'A1'!$O$23</f>
        <v>29.394510533689967</v>
      </c>
      <c r="M32" s="13">
        <f>M19*'A1'!$O$23</f>
        <v>29.490740512202379</v>
      </c>
      <c r="N32" s="13">
        <f>N19*'A1'!$O$23</f>
        <v>29.587285522623674</v>
      </c>
      <c r="O32" s="13">
        <f>O19*'A1'!$O$23</f>
        <v>29.684146596286368</v>
      </c>
      <c r="P32" s="13">
        <f>P19*'A1'!$O$23</f>
        <v>29.781324767899253</v>
      </c>
      <c r="Q32" s="13">
        <f>Q19*'A1'!$O$23</f>
        <v>29.87882107555852</v>
      </c>
      <c r="R32" s="13">
        <f>R19*'A1'!$O$23</f>
        <v>29.976636560758774</v>
      </c>
      <c r="S32" s="381">
        <f>S19*'A1'!$O$23</f>
        <v>0</v>
      </c>
      <c r="T32" s="381">
        <f>SUM(G32:I32)</f>
        <v>87.08572894543002</v>
      </c>
      <c r="U32" s="381">
        <f>SUM(J32:L32)</f>
        <v>87.896096656686609</v>
      </c>
      <c r="V32" s="381">
        <f>SUM(M32:O32)</f>
        <v>88.762172631112421</v>
      </c>
      <c r="W32" s="381">
        <f>SUM(P32:R32)</f>
        <v>89.636782404216547</v>
      </c>
      <c r="X32" s="381">
        <f>X19*'A1'!$O$23</f>
        <v>91.318807566567784</v>
      </c>
      <c r="Y32" s="381">
        <f>Y19*'A1'!$O$23</f>
        <v>92.001139877152369</v>
      </c>
      <c r="Z32" s="381">
        <f>Z19*'A1'!$O$23</f>
        <v>92.683472187736925</v>
      </c>
      <c r="AA32" s="381">
        <f>AA19*'A1'!$O$23</f>
        <v>93.365804498321495</v>
      </c>
      <c r="AB32" s="381"/>
      <c r="AC32" s="13">
        <f>SUM(G32:R32)</f>
        <v>353.38078063744564</v>
      </c>
      <c r="AD32" s="13">
        <f>SUM(X32:AA32)</f>
        <v>369.36922412977856</v>
      </c>
      <c r="AE32" s="13">
        <f>AE19*'A1'!$O$23</f>
        <v>384.25480386220869</v>
      </c>
      <c r="AF32" s="13">
        <f>AF19*'A1'!$O$23</f>
        <v>399.74027245785572</v>
      </c>
      <c r="AG32" s="13">
        <f>AG19*'A1'!$O$23</f>
        <v>415.84980543790721</v>
      </c>
      <c r="AH32" s="13">
        <f>AG32*(1+'A1'!$O$50)</f>
        <v>428.32529960104443</v>
      </c>
    </row>
    <row r="33" spans="2:40" x14ac:dyDescent="0.25">
      <c r="C33" s="82" t="s">
        <v>233</v>
      </c>
      <c r="G33" s="381">
        <f>'A1'!O24/1000</f>
        <v>4.444447499999999</v>
      </c>
      <c r="H33" s="381">
        <f>G33</f>
        <v>4.444447499999999</v>
      </c>
      <c r="I33" s="381">
        <f t="shared" ref="I33:S33" si="8">H33</f>
        <v>4.444447499999999</v>
      </c>
      <c r="J33" s="381">
        <f t="shared" si="8"/>
        <v>4.444447499999999</v>
      </c>
      <c r="K33" s="381">
        <f t="shared" si="8"/>
        <v>4.444447499999999</v>
      </c>
      <c r="L33" s="381">
        <f t="shared" si="8"/>
        <v>4.444447499999999</v>
      </c>
      <c r="M33" s="381">
        <f t="shared" si="8"/>
        <v>4.444447499999999</v>
      </c>
      <c r="N33" s="381">
        <f t="shared" si="8"/>
        <v>4.444447499999999</v>
      </c>
      <c r="O33" s="381">
        <f t="shared" si="8"/>
        <v>4.444447499999999</v>
      </c>
      <c r="P33" s="381">
        <f t="shared" si="8"/>
        <v>4.444447499999999</v>
      </c>
      <c r="Q33" s="381">
        <f t="shared" si="8"/>
        <v>4.444447499999999</v>
      </c>
      <c r="R33" s="381">
        <f t="shared" si="8"/>
        <v>4.444447499999999</v>
      </c>
      <c r="S33" s="381">
        <f t="shared" si="8"/>
        <v>4.444447499999999</v>
      </c>
      <c r="T33" s="381">
        <f>SUM(G33:I33)</f>
        <v>13.333342499999997</v>
      </c>
      <c r="U33" s="381">
        <f>SUM(J33:L33)</f>
        <v>13.333342499999997</v>
      </c>
      <c r="V33" s="381">
        <f>SUM(M33:O33)</f>
        <v>13.333342499999997</v>
      </c>
      <c r="W33" s="381">
        <f>SUM(P33:R33)</f>
        <v>13.333342499999997</v>
      </c>
      <c r="X33" s="381">
        <f>W33*(1+$AI33/4)</f>
        <v>13.432236858359593</v>
      </c>
      <c r="Y33" s="381">
        <f>X33*(1+$AI33/4)</f>
        <v>13.531864723273555</v>
      </c>
      <c r="Z33" s="381">
        <f>Y33*(1+$AI33/4)</f>
        <v>13.632231535212647</v>
      </c>
      <c r="AA33" s="381">
        <f>Z33*(1+$AI33/4)</f>
        <v>13.733342774999992</v>
      </c>
      <c r="AB33" s="381"/>
      <c r="AC33" s="381">
        <f>SUM(G33:R33)</f>
        <v>53.333369999999974</v>
      </c>
      <c r="AD33" s="381">
        <f>SUM(X33:AA33)</f>
        <v>54.329675891845788</v>
      </c>
      <c r="AE33" s="1563">
        <f>AD33*(1+$AJ33)</f>
        <v>55.959566168601164</v>
      </c>
      <c r="AF33" s="1563">
        <f>AE33*(1+$AJ33)</f>
        <v>57.638353153659203</v>
      </c>
      <c r="AG33" s="1563">
        <f>AF33*(1+$AJ33)</f>
        <v>59.36750374826898</v>
      </c>
      <c r="AH33" s="1563">
        <f>AG33*(1+'A1'!$O$50)</f>
        <v>61.14852886071705</v>
      </c>
      <c r="AI33" s="1565">
        <f>((1+AJ33)^(1/4)-1)*4</f>
        <v>2.9668287110931502E-2</v>
      </c>
      <c r="AJ33" s="1566">
        <f>'A1'!$R$67</f>
        <v>0.03</v>
      </c>
      <c r="AK33" s="1564"/>
      <c r="AL33" s="1564"/>
      <c r="AM33" s="1564"/>
      <c r="AN33" s="1564"/>
    </row>
    <row r="34" spans="2:40" x14ac:dyDescent="0.25">
      <c r="C34" s="82" t="s">
        <v>275</v>
      </c>
      <c r="G34" s="381">
        <f>G19*'A1'!$O$25</f>
        <v>2.8965307989100713</v>
      </c>
      <c r="H34" s="381">
        <f>H19*'A1'!$O$25</f>
        <v>2.9012720429634493</v>
      </c>
      <c r="I34" s="381">
        <f>I19*'A1'!$O$25</f>
        <v>2.9107700526694811</v>
      </c>
      <c r="J34" s="381">
        <f>J19*'A1'!$O$25</f>
        <v>2.9202991563877383</v>
      </c>
      <c r="K34" s="381">
        <f>K19*'A1'!$O$25</f>
        <v>2.929859455911926</v>
      </c>
      <c r="L34" s="381">
        <f>L19*'A1'!$O$25</f>
        <v>2.9394510533689964</v>
      </c>
      <c r="M34" s="381">
        <f>M19*'A1'!$O$25</f>
        <v>2.9490740512202378</v>
      </c>
      <c r="N34" s="381">
        <f>N19*'A1'!$O$25</f>
        <v>2.9587285522623672</v>
      </c>
      <c r="O34" s="381">
        <f>O19*'A1'!$O$25</f>
        <v>2.9684146596286367</v>
      </c>
      <c r="P34" s="381">
        <f>P19*'A1'!$O$25</f>
        <v>2.9781324767899253</v>
      </c>
      <c r="Q34" s="381">
        <f>Q19*'A1'!$O$25</f>
        <v>2.9878821075558517</v>
      </c>
      <c r="R34" s="381">
        <f>R19*'A1'!$O$25</f>
        <v>2.9976636560758774</v>
      </c>
      <c r="S34" s="381">
        <f>S19*'A1'!$O$25</f>
        <v>0</v>
      </c>
      <c r="T34" s="381">
        <f>SUM(G34:I34)</f>
        <v>8.7085728945430017</v>
      </c>
      <c r="U34" s="381">
        <f>SUM(J34:L34)</f>
        <v>8.7896096656686602</v>
      </c>
      <c r="V34" s="381">
        <f>SUM(M34:O34)</f>
        <v>8.8762172631112417</v>
      </c>
      <c r="W34" s="381">
        <f>SUM(P34:R34)</f>
        <v>8.963678240421654</v>
      </c>
      <c r="X34" s="381">
        <f>X19*'A1'!$O$25</f>
        <v>9.1318807566567788</v>
      </c>
      <c r="Y34" s="381">
        <f>Y19*'A1'!$O$25</f>
        <v>9.2001139877152376</v>
      </c>
      <c r="Z34" s="381">
        <f>Z19*'A1'!$O$25</f>
        <v>9.2683472187736928</v>
      </c>
      <c r="AA34" s="381">
        <f>AA19*'A1'!$O$25</f>
        <v>9.3365804498321499</v>
      </c>
      <c r="AB34" s="381"/>
      <c r="AC34" s="381">
        <f>SUM(G34:R34)</f>
        <v>35.338078063744561</v>
      </c>
      <c r="AD34" s="381">
        <f>SUM(X34:AA34)</f>
        <v>36.936922412977857</v>
      </c>
      <c r="AE34" s="381">
        <f>AE19*'A1'!$O$25</f>
        <v>38.425480386220869</v>
      </c>
      <c r="AF34" s="381">
        <f>AF19*'A1'!$O$25</f>
        <v>39.974027245785571</v>
      </c>
      <c r="AG34" s="381">
        <f>AG19*'A1'!$O$25</f>
        <v>41.584980543790714</v>
      </c>
      <c r="AH34" s="381">
        <f>AG34*(1+'A1'!$O$50)</f>
        <v>42.832529960104438</v>
      </c>
    </row>
    <row r="35" spans="2:40" ht="17.25" x14ac:dyDescent="0.4">
      <c r="C35" s="82" t="s">
        <v>163</v>
      </c>
      <c r="G35" s="558">
        <f>'C10'!H25</f>
        <v>1.0597042857142858</v>
      </c>
      <c r="H35" s="558">
        <f>G35</f>
        <v>1.0597042857142858</v>
      </c>
      <c r="I35" s="558">
        <f t="shared" ref="I35:R35" si="9">H35</f>
        <v>1.0597042857142858</v>
      </c>
      <c r="J35" s="558">
        <f t="shared" si="9"/>
        <v>1.0597042857142858</v>
      </c>
      <c r="K35" s="558">
        <f t="shared" si="9"/>
        <v>1.0597042857142858</v>
      </c>
      <c r="L35" s="558">
        <f t="shared" si="9"/>
        <v>1.0597042857142858</v>
      </c>
      <c r="M35" s="558">
        <f t="shared" si="9"/>
        <v>1.0597042857142858</v>
      </c>
      <c r="N35" s="558">
        <f t="shared" si="9"/>
        <v>1.0597042857142858</v>
      </c>
      <c r="O35" s="558">
        <f t="shared" si="9"/>
        <v>1.0597042857142858</v>
      </c>
      <c r="P35" s="558">
        <f t="shared" si="9"/>
        <v>1.0597042857142858</v>
      </c>
      <c r="Q35" s="558">
        <f t="shared" si="9"/>
        <v>1.0597042857142858</v>
      </c>
      <c r="R35" s="558">
        <f t="shared" si="9"/>
        <v>1.0597042857142858</v>
      </c>
      <c r="S35" s="558"/>
      <c r="T35" s="560">
        <f>SUM(G35:I35)</f>
        <v>3.1791128571428571</v>
      </c>
      <c r="U35" s="560">
        <f>SUM(J35:L35)</f>
        <v>3.1791128571428571</v>
      </c>
      <c r="V35" s="560">
        <f>SUM(M35:O35)</f>
        <v>3.1791128571428571</v>
      </c>
      <c r="W35" s="560">
        <f>SUM(P35:R35)</f>
        <v>3.1791128571428571</v>
      </c>
      <c r="X35" s="558">
        <f>'C10'!I26</f>
        <v>30.929112857142858</v>
      </c>
      <c r="Y35" s="558">
        <f>X35</f>
        <v>30.929112857142858</v>
      </c>
      <c r="Z35" s="558">
        <f>Y35</f>
        <v>30.929112857142858</v>
      </c>
      <c r="AA35" s="558">
        <f>Z35</f>
        <v>30.929112857142858</v>
      </c>
      <c r="AB35" s="704"/>
      <c r="AC35" s="560">
        <f>SUM(G35:R35)</f>
        <v>12.71645142857143</v>
      </c>
      <c r="AD35" s="560">
        <f>SUM(X35:AA35)</f>
        <v>123.71645142857143</v>
      </c>
      <c r="AE35" s="558">
        <f>'C10'!J24</f>
        <v>113.48829142857143</v>
      </c>
      <c r="AF35" s="558">
        <f>'C10'!K24</f>
        <v>113.48829142857143</v>
      </c>
      <c r="AG35" s="558">
        <f>'C10'!L24</f>
        <v>113.48829142857143</v>
      </c>
      <c r="AH35" s="558">
        <f>AG35*(1+'A1'!$O$50)</f>
        <v>116.89294017142858</v>
      </c>
    </row>
    <row r="36" spans="2:40" x14ac:dyDescent="0.25">
      <c r="G36" s="13">
        <f t="shared" ref="G36:R36" si="10">SUM(G31:G35)</f>
        <v>55.588278073725064</v>
      </c>
      <c r="H36" s="13">
        <f t="shared" si="10"/>
        <v>55.640431758312218</v>
      </c>
      <c r="I36" s="13">
        <f t="shared" si="10"/>
        <v>55.744909865078569</v>
      </c>
      <c r="J36" s="13">
        <f t="shared" si="10"/>
        <v>55.849730005979403</v>
      </c>
      <c r="K36" s="13">
        <f t="shared" si="10"/>
        <v>55.954893300745461</v>
      </c>
      <c r="L36" s="13">
        <f t="shared" si="10"/>
        <v>56.060400872773236</v>
      </c>
      <c r="M36" s="13">
        <f t="shared" si="10"/>
        <v>56.166253849136886</v>
      </c>
      <c r="N36" s="13">
        <f t="shared" si="10"/>
        <v>56.272453360600309</v>
      </c>
      <c r="O36" s="13">
        <f t="shared" si="10"/>
        <v>56.379000541629274</v>
      </c>
      <c r="P36" s="13">
        <f t="shared" si="10"/>
        <v>56.485896530403458</v>
      </c>
      <c r="Q36" s="13">
        <f t="shared" si="10"/>
        <v>56.593142468828646</v>
      </c>
      <c r="R36" s="13">
        <f t="shared" si="10"/>
        <v>56.700739502548927</v>
      </c>
      <c r="S36" s="13"/>
      <c r="T36" s="13">
        <f t="shared" ref="T36:AA36" si="11">SUM(T31:T35)</f>
        <v>166.97361969711588</v>
      </c>
      <c r="U36" s="13">
        <f t="shared" si="11"/>
        <v>167.86502417949808</v>
      </c>
      <c r="V36" s="13">
        <f t="shared" si="11"/>
        <v>168.8177077513665</v>
      </c>
      <c r="W36" s="13">
        <f t="shared" si="11"/>
        <v>169.77977850178101</v>
      </c>
      <c r="X36" s="13">
        <f t="shared" si="11"/>
        <v>200.84557210122702</v>
      </c>
      <c r="Y36" s="13">
        <f t="shared" si="11"/>
        <v>201.69576550778399</v>
      </c>
      <c r="Z36" s="13">
        <f t="shared" si="11"/>
        <v>202.54669786136611</v>
      </c>
      <c r="AA36" s="13">
        <f t="shared" si="11"/>
        <v>203.39837464279648</v>
      </c>
      <c r="AB36" s="13"/>
      <c r="AC36" s="13">
        <f>SUM(AC31:AC35)</f>
        <v>673.43613012976152</v>
      </c>
      <c r="AD36" s="13">
        <f>SUM(AD31:AD35)</f>
        <v>808.48641011317363</v>
      </c>
      <c r="AE36" s="13">
        <f>SUM(AE31:AE35)</f>
        <v>821.86563150185214</v>
      </c>
      <c r="AF36" s="13">
        <f>SUM(AF31:AF35)</f>
        <v>846.32187118352806</v>
      </c>
      <c r="AG36" s="13">
        <f>SUM(AG31:AG35)</f>
        <v>871.65853122863587</v>
      </c>
      <c r="AH36" s="13">
        <f>AG36*(1+'A1'!$O$50)</f>
        <v>897.80828716549502</v>
      </c>
    </row>
    <row r="38" spans="2:40" x14ac:dyDescent="0.25">
      <c r="B38" s="1" t="s">
        <v>164</v>
      </c>
      <c r="G38" s="381">
        <f t="shared" ref="G38:R38" si="12">G28-G36</f>
        <v>32.19221512817839</v>
      </c>
      <c r="H38" s="381">
        <f t="shared" si="12"/>
        <v>32.313034559967633</v>
      </c>
      <c r="I38" s="381">
        <f t="shared" si="12"/>
        <v>32.555068954926469</v>
      </c>
      <c r="J38" s="381">
        <f t="shared" si="12"/>
        <v>32.797895707512659</v>
      </c>
      <c r="K38" s="381">
        <f t="shared" si="12"/>
        <v>33.041517411698941</v>
      </c>
      <c r="L38" s="381">
        <f t="shared" si="12"/>
        <v>33.285936669950082</v>
      </c>
      <c r="M38" s="381">
        <f t="shared" si="12"/>
        <v>33.531156093250566</v>
      </c>
      <c r="N38" s="381">
        <f t="shared" si="12"/>
        <v>33.777178301132381</v>
      </c>
      <c r="O38" s="381">
        <f t="shared" si="12"/>
        <v>34.024005921703484</v>
      </c>
      <c r="P38" s="381">
        <f t="shared" si="12"/>
        <v>34.271641591675326</v>
      </c>
      <c r="Q38" s="381">
        <f t="shared" si="12"/>
        <v>34.520087956391578</v>
      </c>
      <c r="R38" s="381">
        <f t="shared" si="12"/>
        <v>34.769347669855634</v>
      </c>
      <c r="T38" s="381">
        <f t="shared" ref="T38:AA38" si="13">T28-T36</f>
        <v>97.06031864307235</v>
      </c>
      <c r="U38" s="381">
        <f t="shared" si="13"/>
        <v>99.125349789161731</v>
      </c>
      <c r="V38" s="381">
        <f t="shared" si="13"/>
        <v>101.33234031608637</v>
      </c>
      <c r="W38" s="381">
        <f t="shared" si="13"/>
        <v>103.56107721792276</v>
      </c>
      <c r="X38" s="381">
        <f t="shared" si="13"/>
        <v>61.725568633311269</v>
      </c>
      <c r="Y38" s="381">
        <f t="shared" si="13"/>
        <v>63.250413560787052</v>
      </c>
      <c r="Z38" s="381">
        <f t="shared" si="13"/>
        <v>64.774519541237339</v>
      </c>
      <c r="AA38" s="381">
        <f t="shared" si="13"/>
        <v>66.297881093839493</v>
      </c>
      <c r="AC38" s="381">
        <f>AC28-AC36</f>
        <v>401.07908596624316</v>
      </c>
      <c r="AD38" s="381">
        <f>AD28-AD36</f>
        <v>256.04838282917467</v>
      </c>
      <c r="AE38" s="381">
        <f>AE28-AE36</f>
        <v>221.7346007775617</v>
      </c>
      <c r="AF38" s="381">
        <f>AF28-AF36</f>
        <v>171.0320748195644</v>
      </c>
      <c r="AG38" s="381">
        <f>AG28-AG36</f>
        <v>113.61280418072306</v>
      </c>
      <c r="AH38" s="381">
        <f>AG38*(1+'A1'!$O$50)</f>
        <v>117.02118830614475</v>
      </c>
      <c r="AI38" s="1">
        <f>60*1.03</f>
        <v>61.800000000000004</v>
      </c>
    </row>
    <row r="39" spans="2:40" x14ac:dyDescent="0.25">
      <c r="G39" s="381"/>
      <c r="H39" s="381"/>
      <c r="I39" s="381"/>
      <c r="J39" s="381"/>
      <c r="K39" s="381"/>
      <c r="L39" s="381"/>
      <c r="M39" s="381"/>
      <c r="N39" s="381"/>
      <c r="O39" s="381"/>
      <c r="P39" s="381"/>
      <c r="Q39" s="381"/>
      <c r="R39" s="381"/>
      <c r="T39" s="381"/>
      <c r="U39" s="381"/>
      <c r="V39" s="381"/>
      <c r="W39" s="381"/>
      <c r="X39" s="381"/>
      <c r="Y39" s="381"/>
      <c r="Z39" s="381"/>
      <c r="AA39" s="381"/>
      <c r="AC39" s="381"/>
      <c r="AD39" s="381"/>
      <c r="AE39" s="381"/>
      <c r="AF39" s="381"/>
      <c r="AG39" s="381"/>
      <c r="AH39" s="381">
        <f>AG39*(1+'A1'!$O$50)</f>
        <v>0</v>
      </c>
      <c r="AI39" s="1">
        <f>AI38*1.03</f>
        <v>63.654000000000003</v>
      </c>
    </row>
    <row r="40" spans="2:40" x14ac:dyDescent="0.25">
      <c r="C40" s="1" t="s">
        <v>165</v>
      </c>
      <c r="G40" s="82">
        <f>$AC40/12</f>
        <v>0</v>
      </c>
      <c r="H40" s="82">
        <f t="shared" ref="H40:R40" si="14">$AC40/12</f>
        <v>0</v>
      </c>
      <c r="I40" s="82">
        <f t="shared" si="14"/>
        <v>0</v>
      </c>
      <c r="J40" s="82">
        <f t="shared" si="14"/>
        <v>0</v>
      </c>
      <c r="K40" s="82">
        <f t="shared" si="14"/>
        <v>0</v>
      </c>
      <c r="L40" s="82">
        <f t="shared" si="14"/>
        <v>0</v>
      </c>
      <c r="M40" s="82">
        <f t="shared" si="14"/>
        <v>0</v>
      </c>
      <c r="N40" s="82">
        <f t="shared" si="14"/>
        <v>0</v>
      </c>
      <c r="O40" s="82">
        <f t="shared" si="14"/>
        <v>0</v>
      </c>
      <c r="P40" s="82">
        <f t="shared" si="14"/>
        <v>0</v>
      </c>
      <c r="Q40" s="82">
        <f t="shared" si="14"/>
        <v>0</v>
      </c>
      <c r="R40" s="82">
        <f t="shared" si="14"/>
        <v>0</v>
      </c>
      <c r="T40" s="381">
        <f>SUM(G40:I40)</f>
        <v>0</v>
      </c>
      <c r="U40" s="381">
        <f>SUM(J40:L40)</f>
        <v>0</v>
      </c>
      <c r="V40" s="381">
        <f>SUM(M40:O40)</f>
        <v>0</v>
      </c>
      <c r="W40" s="381">
        <f>SUM(P40:R40)</f>
        <v>0</v>
      </c>
      <c r="X40" s="13">
        <f>$AD40/4</f>
        <v>0</v>
      </c>
      <c r="Y40" s="13">
        <f>$AD40/4</f>
        <v>0</v>
      </c>
      <c r="Z40" s="13">
        <f>$AD40/4</f>
        <v>0</v>
      </c>
      <c r="AA40" s="13">
        <f>$AD40/4</f>
        <v>0</v>
      </c>
      <c r="AC40" s="381">
        <f>'D3'!F64</f>
        <v>0</v>
      </c>
      <c r="AD40" s="381">
        <f>'D3'!G64</f>
        <v>0</v>
      </c>
      <c r="AE40" s="381">
        <f>'D3'!H64</f>
        <v>0</v>
      </c>
      <c r="AF40" s="381">
        <f>'D3'!I64</f>
        <v>0</v>
      </c>
      <c r="AG40" s="381">
        <f>'D3'!J64</f>
        <v>0</v>
      </c>
      <c r="AH40" s="381">
        <f>AG40*(1+'A1'!$O$50)</f>
        <v>0</v>
      </c>
    </row>
    <row r="42" spans="2:40" ht="15.75" thickBot="1" x14ac:dyDescent="0.3">
      <c r="B42" s="687" t="s">
        <v>166</v>
      </c>
      <c r="C42" s="687"/>
      <c r="D42" s="687"/>
      <c r="E42" s="687"/>
      <c r="F42" s="687"/>
      <c r="G42" s="688">
        <f>G38-G40</f>
        <v>32.19221512817839</v>
      </c>
      <c r="H42" s="688">
        <f t="shared" ref="H42:R42" si="15">H38-H40</f>
        <v>32.313034559967633</v>
      </c>
      <c r="I42" s="688">
        <f t="shared" si="15"/>
        <v>32.555068954926469</v>
      </c>
      <c r="J42" s="688">
        <f t="shared" si="15"/>
        <v>32.797895707512659</v>
      </c>
      <c r="K42" s="688">
        <f t="shared" si="15"/>
        <v>33.041517411698941</v>
      </c>
      <c r="L42" s="688">
        <f t="shared" si="15"/>
        <v>33.285936669950082</v>
      </c>
      <c r="M42" s="688">
        <f t="shared" si="15"/>
        <v>33.531156093250566</v>
      </c>
      <c r="N42" s="688">
        <f t="shared" si="15"/>
        <v>33.777178301132381</v>
      </c>
      <c r="O42" s="688">
        <f t="shared" si="15"/>
        <v>34.024005921703484</v>
      </c>
      <c r="P42" s="688">
        <f t="shared" si="15"/>
        <v>34.271641591675326</v>
      </c>
      <c r="Q42" s="688">
        <f t="shared" si="15"/>
        <v>34.520087956391578</v>
      </c>
      <c r="R42" s="688">
        <f t="shared" si="15"/>
        <v>34.769347669855634</v>
      </c>
      <c r="S42" s="688"/>
      <c r="T42" s="688">
        <f t="shared" ref="T42:AA42" si="16">T38-T40</f>
        <v>97.06031864307235</v>
      </c>
      <c r="U42" s="688">
        <f t="shared" si="16"/>
        <v>99.125349789161731</v>
      </c>
      <c r="V42" s="688">
        <f t="shared" si="16"/>
        <v>101.33234031608637</v>
      </c>
      <c r="W42" s="688">
        <f t="shared" si="16"/>
        <v>103.56107721792276</v>
      </c>
      <c r="X42" s="688">
        <f t="shared" si="16"/>
        <v>61.725568633311269</v>
      </c>
      <c r="Y42" s="688">
        <f t="shared" si="16"/>
        <v>63.250413560787052</v>
      </c>
      <c r="Z42" s="688">
        <f t="shared" si="16"/>
        <v>64.774519541237339</v>
      </c>
      <c r="AA42" s="688">
        <f t="shared" si="16"/>
        <v>66.297881093839493</v>
      </c>
      <c r="AB42" s="688"/>
      <c r="AC42" s="688">
        <f>AC38-AC40</f>
        <v>401.07908596624316</v>
      </c>
      <c r="AD42" s="688">
        <f>AD38-AD40</f>
        <v>256.04838282917467</v>
      </c>
      <c r="AE42" s="688">
        <f>AE38-AE40</f>
        <v>221.7346007775617</v>
      </c>
      <c r="AF42" s="688">
        <f>AF38-AF40</f>
        <v>171.0320748195644</v>
      </c>
      <c r="AG42" s="688">
        <f>AG38-AG40</f>
        <v>113.61280418072306</v>
      </c>
      <c r="AH42" s="688">
        <f>AG42*(1+'A1'!$O$50)</f>
        <v>117.02118830614475</v>
      </c>
    </row>
    <row r="43" spans="2:40" s="516" customFormat="1" ht="15.75" thickTop="1" x14ac:dyDescent="0.25">
      <c r="C43" s="516" t="s">
        <v>589</v>
      </c>
      <c r="G43" s="518">
        <f>G42*'A1'!$P$63</f>
        <v>0</v>
      </c>
      <c r="H43" s="518">
        <f>H42*'A1'!$P$63</f>
        <v>0</v>
      </c>
      <c r="I43" s="518">
        <f>I42*'A1'!$P$63</f>
        <v>0</v>
      </c>
      <c r="J43" s="518">
        <f>J42*'A1'!$P$63</f>
        <v>0</v>
      </c>
      <c r="K43" s="518">
        <f>K42*'A1'!$P$63</f>
        <v>0</v>
      </c>
      <c r="L43" s="518">
        <f>L42*'A1'!$P$63</f>
        <v>0</v>
      </c>
      <c r="M43" s="518">
        <f>M42*'A1'!$P$63</f>
        <v>0</v>
      </c>
      <c r="N43" s="518">
        <f>N42*'A1'!$P$63</f>
        <v>0</v>
      </c>
      <c r="O43" s="518">
        <f>O42*'A1'!$P$63</f>
        <v>0</v>
      </c>
      <c r="P43" s="518">
        <f>P42*'A1'!$P$63</f>
        <v>0</v>
      </c>
      <c r="Q43" s="518">
        <f>Q42*'A1'!$P$63</f>
        <v>0</v>
      </c>
      <c r="R43" s="518">
        <f>R42*'A1'!$P$63</f>
        <v>0</v>
      </c>
      <c r="S43" s="705"/>
      <c r="T43" s="381">
        <f>SUM(G43:I43)</f>
        <v>0</v>
      </c>
      <c r="U43" s="381">
        <f>SUM(J43:L43)</f>
        <v>0</v>
      </c>
      <c r="V43" s="381">
        <f>SUM(M43:O43)</f>
        <v>0</v>
      </c>
      <c r="W43" s="381">
        <f>SUM(P43:R43)</f>
        <v>0</v>
      </c>
      <c r="X43" s="381">
        <f>$AD43/4</f>
        <v>0</v>
      </c>
      <c r="Y43" s="381">
        <f>$AD43/4</f>
        <v>0</v>
      </c>
      <c r="Z43" s="381">
        <f>$AD43/4</f>
        <v>0</v>
      </c>
      <c r="AA43" s="381">
        <f>$AD43/4</f>
        <v>0</v>
      </c>
      <c r="AB43" s="705"/>
      <c r="AC43" s="705">
        <f>ApndxA1!J43</f>
        <v>0</v>
      </c>
      <c r="AD43" s="705">
        <f>ApndxA1!K43</f>
        <v>0</v>
      </c>
      <c r="AE43" s="705">
        <f>ApndxA1!L43</f>
        <v>0</v>
      </c>
      <c r="AF43" s="705">
        <f>ApndxA1!M43</f>
        <v>0</v>
      </c>
      <c r="AG43" s="705">
        <f>ApndxA1!N43</f>
        <v>0</v>
      </c>
    </row>
    <row r="44" spans="2:40" s="516" customFormat="1" x14ac:dyDescent="0.25">
      <c r="C44" s="516" t="s">
        <v>590</v>
      </c>
      <c r="G44" s="705">
        <f>G42-G43</f>
        <v>32.19221512817839</v>
      </c>
      <c r="H44" s="705">
        <f t="shared" ref="H44:AG44" si="17">H42-H43</f>
        <v>32.313034559967633</v>
      </c>
      <c r="I44" s="705">
        <f t="shared" si="17"/>
        <v>32.555068954926469</v>
      </c>
      <c r="J44" s="705">
        <f t="shared" si="17"/>
        <v>32.797895707512659</v>
      </c>
      <c r="K44" s="705">
        <f t="shared" si="17"/>
        <v>33.041517411698941</v>
      </c>
      <c r="L44" s="705">
        <f t="shared" si="17"/>
        <v>33.285936669950082</v>
      </c>
      <c r="M44" s="705">
        <f t="shared" si="17"/>
        <v>33.531156093250566</v>
      </c>
      <c r="N44" s="705">
        <f t="shared" si="17"/>
        <v>33.777178301132381</v>
      </c>
      <c r="O44" s="705">
        <f t="shared" si="17"/>
        <v>34.024005921703484</v>
      </c>
      <c r="P44" s="705">
        <f t="shared" si="17"/>
        <v>34.271641591675326</v>
      </c>
      <c r="Q44" s="705">
        <f t="shared" si="17"/>
        <v>34.520087956391578</v>
      </c>
      <c r="R44" s="705">
        <f t="shared" si="17"/>
        <v>34.769347669855634</v>
      </c>
      <c r="S44" s="705"/>
      <c r="T44" s="705">
        <f t="shared" si="17"/>
        <v>97.06031864307235</v>
      </c>
      <c r="U44" s="705">
        <f t="shared" si="17"/>
        <v>99.125349789161731</v>
      </c>
      <c r="V44" s="705">
        <f t="shared" si="17"/>
        <v>101.33234031608637</v>
      </c>
      <c r="W44" s="705">
        <f t="shared" si="17"/>
        <v>103.56107721792276</v>
      </c>
      <c r="X44" s="705">
        <f t="shared" si="17"/>
        <v>61.725568633311269</v>
      </c>
      <c r="Y44" s="705">
        <f t="shared" si="17"/>
        <v>63.250413560787052</v>
      </c>
      <c r="Z44" s="705">
        <f t="shared" si="17"/>
        <v>64.774519541237339</v>
      </c>
      <c r="AA44" s="705">
        <f t="shared" si="17"/>
        <v>66.297881093839493</v>
      </c>
      <c r="AB44" s="705"/>
      <c r="AC44" s="705">
        <f t="shared" si="17"/>
        <v>401.07908596624316</v>
      </c>
      <c r="AD44" s="705">
        <f t="shared" si="17"/>
        <v>256.04838282917467</v>
      </c>
      <c r="AE44" s="705">
        <f t="shared" si="17"/>
        <v>221.7346007775617</v>
      </c>
      <c r="AF44" s="705">
        <f t="shared" si="17"/>
        <v>171.0320748195644</v>
      </c>
      <c r="AG44" s="705">
        <f t="shared" si="17"/>
        <v>113.61280418072306</v>
      </c>
    </row>
    <row r="45" spans="2:40" x14ac:dyDescent="0.25">
      <c r="G45" s="381"/>
      <c r="H45" s="381"/>
      <c r="I45" s="381"/>
      <c r="J45" s="381"/>
      <c r="K45" s="381"/>
      <c r="L45" s="381"/>
      <c r="M45" s="381"/>
      <c r="N45" s="381"/>
      <c r="O45" s="381"/>
      <c r="P45" s="381"/>
      <c r="Q45" s="381"/>
      <c r="R45" s="381"/>
      <c r="T45" s="381"/>
      <c r="U45" s="381"/>
      <c r="V45" s="381"/>
      <c r="W45" s="381"/>
      <c r="X45" s="381"/>
      <c r="Y45" s="381"/>
      <c r="Z45" s="381"/>
      <c r="AA45" s="381"/>
      <c r="AC45" s="381"/>
      <c r="AD45" s="381"/>
      <c r="AE45" s="381"/>
      <c r="AF45" s="381"/>
      <c r="AG45" s="381"/>
    </row>
    <row r="46" spans="2:40" x14ac:dyDescent="0.25">
      <c r="B46" s="1" t="s">
        <v>38</v>
      </c>
      <c r="G46" s="381">
        <f>G38+G35</f>
        <v>33.251919413892672</v>
      </c>
      <c r="H46" s="381">
        <f t="shared" ref="H46:AG46" si="18">H38+H35</f>
        <v>33.372738845681916</v>
      </c>
      <c r="I46" s="381">
        <f t="shared" si="18"/>
        <v>33.614773240640751</v>
      </c>
      <c r="J46" s="381">
        <f t="shared" si="18"/>
        <v>33.857599993226941</v>
      </c>
      <c r="K46" s="381">
        <f t="shared" si="18"/>
        <v>34.101221697413223</v>
      </c>
      <c r="L46" s="381">
        <f t="shared" si="18"/>
        <v>34.345640955664365</v>
      </c>
      <c r="M46" s="381">
        <f t="shared" si="18"/>
        <v>34.590860378964848</v>
      </c>
      <c r="N46" s="381">
        <f t="shared" si="18"/>
        <v>34.836882586846663</v>
      </c>
      <c r="O46" s="381">
        <f t="shared" si="18"/>
        <v>35.083710207417766</v>
      </c>
      <c r="P46" s="381">
        <f t="shared" si="18"/>
        <v>35.331345877389609</v>
      </c>
      <c r="Q46" s="381">
        <f t="shared" si="18"/>
        <v>35.57979224210586</v>
      </c>
      <c r="R46" s="381">
        <f t="shared" si="18"/>
        <v>35.829051955569916</v>
      </c>
      <c r="S46" s="381">
        <f t="shared" si="18"/>
        <v>0</v>
      </c>
      <c r="T46" s="381">
        <f t="shared" si="18"/>
        <v>100.2394315002152</v>
      </c>
      <c r="U46" s="381">
        <f t="shared" si="18"/>
        <v>102.30446264630459</v>
      </c>
      <c r="V46" s="381">
        <f t="shared" si="18"/>
        <v>104.51145317322923</v>
      </c>
      <c r="W46" s="381">
        <f t="shared" si="18"/>
        <v>106.74019007506561</v>
      </c>
      <c r="X46" s="381">
        <f t="shared" si="18"/>
        <v>92.654681490454124</v>
      </c>
      <c r="Y46" s="381">
        <f t="shared" si="18"/>
        <v>94.179526417929907</v>
      </c>
      <c r="Z46" s="381">
        <f t="shared" si="18"/>
        <v>95.703632398380194</v>
      </c>
      <c r="AA46" s="381">
        <f t="shared" si="18"/>
        <v>97.226993950982347</v>
      </c>
      <c r="AB46" s="381"/>
      <c r="AC46" s="381">
        <f t="shared" si="18"/>
        <v>413.79553739481457</v>
      </c>
      <c r="AD46" s="381">
        <f t="shared" si="18"/>
        <v>379.76483425774609</v>
      </c>
      <c r="AE46" s="381">
        <f t="shared" si="18"/>
        <v>335.22289220613311</v>
      </c>
      <c r="AF46" s="381">
        <f t="shared" si="18"/>
        <v>284.52036624813582</v>
      </c>
      <c r="AG46" s="381">
        <f t="shared" si="18"/>
        <v>227.10109560929448</v>
      </c>
    </row>
    <row r="48" spans="2:40" x14ac:dyDescent="0.25">
      <c r="AF48" s="381"/>
      <c r="AG48" s="381"/>
    </row>
    <row r="49" spans="2:34" x14ac:dyDescent="0.25">
      <c r="B49" s="1" t="s">
        <v>192</v>
      </c>
      <c r="G49" s="381">
        <f t="shared" ref="G49:AH49" si="19">G23+G24+G31+G32</f>
        <v>165.50736813236568</v>
      </c>
      <c r="H49" s="381">
        <f t="shared" si="19"/>
        <v>165.74845464626094</v>
      </c>
      <c r="I49" s="381">
        <f>I23+I24+I31+I32</f>
        <v>166.23141692856302</v>
      </c>
      <c r="J49" s="381">
        <f t="shared" si="19"/>
        <v>166.71596030370196</v>
      </c>
      <c r="K49" s="381">
        <f t="shared" si="19"/>
        <v>167.20208994776422</v>
      </c>
      <c r="L49" s="381">
        <f t="shared" si="19"/>
        <v>167.68981105378163</v>
      </c>
      <c r="M49" s="381">
        <f t="shared" si="19"/>
        <v>168.17912883178639</v>
      </c>
      <c r="N49" s="381">
        <f t="shared" si="19"/>
        <v>168.67004850886713</v>
      </c>
      <c r="O49" s="381">
        <f t="shared" si="19"/>
        <v>169.16257532922458</v>
      </c>
      <c r="P49" s="381">
        <f t="shared" si="19"/>
        <v>169.6567145542277</v>
      </c>
      <c r="Q49" s="381">
        <f t="shared" si="19"/>
        <v>170.15247146246963</v>
      </c>
      <c r="R49" s="381">
        <f t="shared" si="19"/>
        <v>170.64985134982439</v>
      </c>
      <c r="S49" s="381">
        <f t="shared" si="19"/>
        <v>0</v>
      </c>
      <c r="T49" s="381">
        <f t="shared" si="19"/>
        <v>497.48723970718959</v>
      </c>
      <c r="U49" s="381">
        <f t="shared" si="19"/>
        <v>501.60786130524775</v>
      </c>
      <c r="V49" s="381">
        <f t="shared" si="19"/>
        <v>506.01175266987809</v>
      </c>
      <c r="W49" s="381">
        <f t="shared" si="19"/>
        <v>510.45903736652167</v>
      </c>
      <c r="X49" s="381">
        <f t="shared" si="19"/>
        <v>531.45859098634537</v>
      </c>
      <c r="Y49" s="381">
        <f t="shared" si="19"/>
        <v>535.01095753870277</v>
      </c>
      <c r="Z49" s="381">
        <f t="shared" si="19"/>
        <v>538.56332409106028</v>
      </c>
      <c r="AA49" s="381">
        <f t="shared" si="19"/>
        <v>542.11569064341779</v>
      </c>
      <c r="AB49" s="1589">
        <f>('Historical Actuals'!N50+'Historical Actuals'!N51+'Historical Actuals'!N62+'Historical Actuals'!N69)/1000</f>
        <v>1794.3899519999998</v>
      </c>
      <c r="AC49" s="381">
        <f t="shared" si="19"/>
        <v>2015.5658910488371</v>
      </c>
      <c r="AD49" s="381">
        <f t="shared" si="19"/>
        <v>2147.1485632595259</v>
      </c>
      <c r="AE49" s="381">
        <f t="shared" si="19"/>
        <v>2278.2570348432441</v>
      </c>
      <c r="AF49" s="381">
        <f t="shared" si="19"/>
        <v>2417.9815902626224</v>
      </c>
      <c r="AG49" s="381">
        <f t="shared" si="19"/>
        <v>2566.910686247702</v>
      </c>
      <c r="AH49" s="381">
        <f t="shared" si="19"/>
        <v>2643.9180068351334</v>
      </c>
    </row>
    <row r="51" spans="2:34" x14ac:dyDescent="0.25">
      <c r="B51" s="1" t="s">
        <v>569</v>
      </c>
      <c r="G51" s="706">
        <f>'A1'!P63</f>
        <v>0</v>
      </c>
    </row>
    <row r="52" spans="2:34" x14ac:dyDescent="0.25">
      <c r="C52" s="1" t="s">
        <v>344</v>
      </c>
      <c r="G52" s="13">
        <f>G42*$G$51</f>
        <v>0</v>
      </c>
      <c r="H52" s="13">
        <f t="shared" ref="H52:R52" si="20">H42*$G$51</f>
        <v>0</v>
      </c>
      <c r="I52" s="13">
        <f t="shared" si="20"/>
        <v>0</v>
      </c>
      <c r="J52" s="13">
        <f t="shared" si="20"/>
        <v>0</v>
      </c>
      <c r="K52" s="13">
        <f t="shared" si="20"/>
        <v>0</v>
      </c>
      <c r="L52" s="13">
        <f t="shared" si="20"/>
        <v>0</v>
      </c>
      <c r="M52" s="13">
        <f t="shared" si="20"/>
        <v>0</v>
      </c>
      <c r="N52" s="13">
        <f t="shared" si="20"/>
        <v>0</v>
      </c>
      <c r="O52" s="13">
        <f t="shared" si="20"/>
        <v>0</v>
      </c>
      <c r="P52" s="13">
        <f t="shared" si="20"/>
        <v>0</v>
      </c>
      <c r="Q52" s="13">
        <f t="shared" si="20"/>
        <v>0</v>
      </c>
      <c r="R52" s="13">
        <f t="shared" si="20"/>
        <v>0</v>
      </c>
    </row>
    <row r="53" spans="2:34" x14ac:dyDescent="0.25">
      <c r="C53" s="82" t="str">
        <f>C34</f>
        <v>Bad Debt Expense</v>
      </c>
      <c r="G53" s="81">
        <f>$G$51*G34</f>
        <v>0</v>
      </c>
    </row>
    <row r="54" spans="2:34" x14ac:dyDescent="0.25">
      <c r="C54" s="82" t="str">
        <f>C35</f>
        <v>Depreciation</v>
      </c>
      <c r="G54" s="13"/>
    </row>
    <row r="56" spans="2:34" x14ac:dyDescent="0.25">
      <c r="B56" s="1" t="s">
        <v>957</v>
      </c>
      <c r="F56" s="173">
        <f>IF(SUM('A1'!$AG$9:$AH$9)&gt;0,1,0)</f>
        <v>0</v>
      </c>
    </row>
    <row r="57" spans="2:34" x14ac:dyDescent="0.25">
      <c r="B57" s="1" t="s">
        <v>958</v>
      </c>
      <c r="F57" s="173">
        <f>IF(SUM('A1'!$AI$9:$AJ$9)&gt;0,1,0)</f>
        <v>1</v>
      </c>
    </row>
    <row r="58" spans="2:34" x14ac:dyDescent="0.25">
      <c r="B58" s="1" t="s">
        <v>959</v>
      </c>
      <c r="F58" s="377">
        <f>IF(F56+F57&gt;0,1,0)</f>
        <v>1</v>
      </c>
    </row>
    <row r="59" spans="2:34" x14ac:dyDescent="0.25">
      <c r="B59" s="1" t="s">
        <v>883</v>
      </c>
      <c r="F59" s="173">
        <f>IF('A1'!$AL$67&gt;0,1,0)</f>
        <v>0</v>
      </c>
    </row>
    <row r="60" spans="2:34" x14ac:dyDescent="0.25">
      <c r="F60" s="173"/>
    </row>
  </sheetData>
  <pageMargins left="0.7" right="0.7" top="0.75" bottom="0.75" header="0.3" footer="0.3"/>
  <pageSetup scale="75" fitToWidth="0" orientation="landscape" r:id="rId1"/>
  <colBreaks count="1" manualBreakCount="1">
    <brk id="18" max="1048575" man="1"/>
  </colBreaks>
  <drawing r:id="rId2"/>
  <legacyDrawing r:id="rId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tabColor theme="5" tint="0.39997558519241921"/>
  </sheetPr>
  <dimension ref="A1:AH57"/>
  <sheetViews>
    <sheetView showGridLines="0" view="pageBreakPreview" zoomScaleNormal="132" zoomScaleSheetLayoutView="100" workbookViewId="0">
      <pane xSplit="6" ySplit="7" topLeftCell="G8" activePane="bottomRight" state="frozenSplit"/>
      <selection activeCell="J9" sqref="J9"/>
      <selection pane="topRight" activeCell="J9" sqref="J9"/>
      <selection pane="bottomLeft" activeCell="J9" sqref="J9"/>
      <selection pane="bottomRight" activeCell="G8" sqref="G8"/>
    </sheetView>
  </sheetViews>
  <sheetFormatPr defaultColWidth="9.42578125" defaultRowHeight="15" x14ac:dyDescent="0.25"/>
  <cols>
    <col min="1" max="1" width="1.5703125" style="1" customWidth="1"/>
    <col min="2" max="5" width="3" style="1" customWidth="1"/>
    <col min="6" max="6" width="18.42578125" style="1" customWidth="1"/>
    <col min="7" max="18" width="9.42578125" style="1" customWidth="1"/>
    <col min="19" max="19" width="2.42578125" style="1" customWidth="1"/>
    <col min="20" max="27" width="7.5703125" style="1" customWidth="1"/>
    <col min="28" max="28" width="2.42578125" style="1" customWidth="1"/>
    <col min="29" max="33" width="9.5703125" style="1" customWidth="1"/>
    <col min="34" max="16384" width="9.42578125" style="1"/>
  </cols>
  <sheetData>
    <row r="1" spans="1:33" ht="6" customHeight="1" thickBot="1" x14ac:dyDescent="0.3">
      <c r="B1" s="85"/>
      <c r="C1" s="86"/>
      <c r="D1" s="85"/>
      <c r="E1" s="85"/>
      <c r="F1" s="85"/>
      <c r="G1" s="85"/>
      <c r="H1" s="85"/>
      <c r="I1" s="85"/>
      <c r="J1" s="85"/>
      <c r="K1" s="85"/>
      <c r="L1" s="85"/>
      <c r="M1" s="85"/>
      <c r="N1" s="85"/>
      <c r="O1" s="85"/>
      <c r="P1" s="85"/>
      <c r="Q1" s="85"/>
      <c r="R1" s="85"/>
      <c r="S1" s="85"/>
      <c r="T1" s="85"/>
      <c r="U1" s="85"/>
      <c r="V1" s="85"/>
      <c r="W1" s="85"/>
      <c r="X1" s="85"/>
      <c r="Y1" s="85"/>
      <c r="Z1" s="85"/>
      <c r="AA1" s="85"/>
      <c r="AB1" s="85"/>
      <c r="AC1" s="85"/>
      <c r="AD1" s="85"/>
      <c r="AE1" s="85"/>
      <c r="AF1" s="85"/>
      <c r="AG1" s="85"/>
    </row>
    <row r="2" spans="1:33" ht="16.5" thickTop="1" x14ac:dyDescent="0.25">
      <c r="B2" s="110" t="str">
        <f>MainOutline!B2</f>
        <v>WB Santa Cruz</v>
      </c>
      <c r="C2" s="111"/>
      <c r="D2" s="111"/>
      <c r="E2" s="111"/>
      <c r="F2" s="111"/>
      <c r="G2" s="111"/>
      <c r="H2" s="111"/>
      <c r="I2" s="508" t="str">
        <f>'A1'!$C$90</f>
        <v>Acquisition of an existing facility</v>
      </c>
      <c r="J2" s="111"/>
      <c r="K2" s="111"/>
      <c r="L2" s="111"/>
      <c r="M2" s="111"/>
      <c r="N2" s="111"/>
      <c r="O2" s="111"/>
      <c r="P2" s="111"/>
      <c r="Q2" s="111"/>
      <c r="R2" s="1409">
        <f>$A3</f>
        <v>23</v>
      </c>
      <c r="S2" s="111"/>
      <c r="T2" s="111"/>
      <c r="U2" s="111"/>
      <c r="V2" s="508" t="str">
        <f>'A1'!$C$90</f>
        <v>Acquisition of an existing facility</v>
      </c>
      <c r="W2" s="111"/>
      <c r="X2" s="111"/>
      <c r="Y2" s="111"/>
      <c r="Z2" s="111"/>
      <c r="AA2" s="111"/>
      <c r="AB2" s="111"/>
      <c r="AC2" s="111"/>
      <c r="AD2" s="111"/>
      <c r="AE2" s="111"/>
      <c r="AF2" s="111"/>
      <c r="AG2" s="1409">
        <f>$A3+1</f>
        <v>24</v>
      </c>
    </row>
    <row r="3" spans="1:33" ht="15.75" x14ac:dyDescent="0.25">
      <c r="A3" s="123">
        <f>MainOutline!B39</f>
        <v>23</v>
      </c>
      <c r="B3" s="102" t="str">
        <f>MainOutline!C39</f>
        <v>Appendix B2</v>
      </c>
      <c r="C3" s="89"/>
      <c r="D3" s="89"/>
      <c r="E3" s="89"/>
      <c r="F3" s="89"/>
      <c r="G3" s="89"/>
      <c r="H3" s="89"/>
      <c r="I3" s="89"/>
      <c r="J3" s="89"/>
      <c r="K3" s="89"/>
      <c r="L3" s="89"/>
      <c r="M3" s="89"/>
      <c r="N3" s="89"/>
      <c r="O3" s="89"/>
      <c r="P3" s="89"/>
      <c r="Q3" s="89"/>
      <c r="R3" s="89"/>
      <c r="S3" s="89"/>
      <c r="T3" s="89"/>
      <c r="U3" s="89"/>
      <c r="V3" s="89"/>
      <c r="W3" s="89"/>
      <c r="X3" s="89"/>
      <c r="Y3" s="89"/>
      <c r="Z3" s="89"/>
      <c r="AA3" s="89"/>
      <c r="AB3" s="89"/>
      <c r="AC3" s="89"/>
      <c r="AD3" s="89"/>
      <c r="AE3" s="89"/>
      <c r="AF3" s="89"/>
      <c r="AG3" s="89"/>
    </row>
    <row r="4" spans="1:33" ht="16.5" thickBot="1" x14ac:dyDescent="0.3">
      <c r="B4" s="104" t="s">
        <v>521</v>
      </c>
      <c r="C4" s="97"/>
      <c r="D4" s="97"/>
      <c r="E4" s="97"/>
      <c r="F4" s="97"/>
      <c r="G4" s="97"/>
      <c r="H4" s="97"/>
      <c r="I4" s="97"/>
      <c r="J4" s="97"/>
      <c r="K4" s="97"/>
      <c r="L4" s="97"/>
      <c r="M4" s="97"/>
      <c r="N4" s="97"/>
      <c r="O4" s="97"/>
      <c r="P4" s="97"/>
      <c r="Q4" s="97"/>
      <c r="R4" s="138" t="s">
        <v>19</v>
      </c>
      <c r="S4" s="97"/>
      <c r="T4" s="97"/>
      <c r="U4" s="97"/>
      <c r="V4" s="97"/>
      <c r="W4" s="97"/>
      <c r="X4" s="97"/>
      <c r="Y4" s="97"/>
      <c r="Z4" s="97"/>
      <c r="AA4" s="97"/>
      <c r="AB4" s="97"/>
      <c r="AC4" s="97"/>
      <c r="AD4" s="97"/>
      <c r="AE4" s="97"/>
      <c r="AF4" s="97"/>
      <c r="AG4" s="388" t="str">
        <f>R4</f>
        <v>($000)</v>
      </c>
    </row>
    <row r="5" spans="1:33" ht="15.75" thickTop="1" x14ac:dyDescent="0.25"/>
    <row r="6" spans="1:33" ht="17.25" x14ac:dyDescent="0.4">
      <c r="G6" s="681" t="s">
        <v>471</v>
      </c>
      <c r="H6" s="681"/>
      <c r="I6" s="681"/>
      <c r="J6" s="681"/>
      <c r="K6" s="681"/>
      <c r="L6" s="681"/>
      <c r="M6" s="681"/>
      <c r="N6" s="681"/>
      <c r="O6" s="681"/>
      <c r="P6" s="681"/>
      <c r="Q6" s="681"/>
      <c r="R6" s="681"/>
      <c r="T6" s="681" t="s">
        <v>472</v>
      </c>
      <c r="U6" s="700"/>
      <c r="V6" s="700"/>
      <c r="W6" s="700"/>
      <c r="X6" s="700"/>
      <c r="Y6" s="700"/>
      <c r="Z6" s="700"/>
      <c r="AA6" s="700"/>
      <c r="AC6" s="681" t="s">
        <v>133</v>
      </c>
      <c r="AD6" s="700"/>
      <c r="AE6" s="700"/>
      <c r="AF6" s="700"/>
      <c r="AG6" s="700"/>
    </row>
    <row r="7" spans="1:33" s="511" customFormat="1" ht="15.75" thickBot="1" x14ac:dyDescent="0.3">
      <c r="G7" s="701">
        <v>1</v>
      </c>
      <c r="H7" s="701">
        <f>G7+1</f>
        <v>2</v>
      </c>
      <c r="I7" s="701">
        <f t="shared" ref="I7:R7" si="0">H7+1</f>
        <v>3</v>
      </c>
      <c r="J7" s="701">
        <f t="shared" si="0"/>
        <v>4</v>
      </c>
      <c r="K7" s="701">
        <f t="shared" si="0"/>
        <v>5</v>
      </c>
      <c r="L7" s="701">
        <f t="shared" si="0"/>
        <v>6</v>
      </c>
      <c r="M7" s="701">
        <f t="shared" si="0"/>
        <v>7</v>
      </c>
      <c r="N7" s="701">
        <f t="shared" si="0"/>
        <v>8</v>
      </c>
      <c r="O7" s="701">
        <f t="shared" si="0"/>
        <v>9</v>
      </c>
      <c r="P7" s="701">
        <f t="shared" si="0"/>
        <v>10</v>
      </c>
      <c r="Q7" s="701">
        <f t="shared" si="0"/>
        <v>11</v>
      </c>
      <c r="R7" s="701">
        <f t="shared" si="0"/>
        <v>12</v>
      </c>
      <c r="T7" s="702" t="s">
        <v>20</v>
      </c>
      <c r="U7" s="702" t="s">
        <v>21</v>
      </c>
      <c r="V7" s="702" t="s">
        <v>22</v>
      </c>
      <c r="W7" s="702" t="s">
        <v>23</v>
      </c>
      <c r="X7" s="703" t="s">
        <v>24</v>
      </c>
      <c r="Y7" s="702" t="s">
        <v>25</v>
      </c>
      <c r="Z7" s="702" t="s">
        <v>26</v>
      </c>
      <c r="AA7" s="702" t="s">
        <v>27</v>
      </c>
      <c r="AC7" s="702">
        <v>1</v>
      </c>
      <c r="AD7" s="702">
        <v>2</v>
      </c>
      <c r="AE7" s="702">
        <v>3</v>
      </c>
      <c r="AF7" s="702">
        <v>4</v>
      </c>
      <c r="AG7" s="703">
        <v>5</v>
      </c>
    </row>
    <row r="9" spans="1:33" x14ac:dyDescent="0.25">
      <c r="B9" s="1" t="s">
        <v>234</v>
      </c>
      <c r="G9" s="13">
        <f>'B1'!I20</f>
        <v>58.189876907367534</v>
      </c>
      <c r="H9" s="13">
        <f>'B1'!J20</f>
        <v>58.285126164843994</v>
      </c>
      <c r="I9" s="13">
        <f>'B1'!K20</f>
        <v>58.475936501080326</v>
      </c>
      <c r="J9" s="13">
        <f>'B1'!L20</f>
        <v>58.667371500705251</v>
      </c>
      <c r="K9" s="13">
        <f>'B1'!M20</f>
        <v>58.859433208704147</v>
      </c>
      <c r="L9" s="13">
        <f>'B1'!N20</f>
        <v>59.052123676757162</v>
      </c>
      <c r="M9" s="13">
        <f>'B1'!O20</f>
        <v>59.245444963261093</v>
      </c>
      <c r="N9" s="13">
        <f>'B1'!P20</f>
        <v>59.439399133351394</v>
      </c>
      <c r="O9" s="13">
        <f>'B1'!Q20</f>
        <v>59.633988258924241</v>
      </c>
      <c r="P9" s="13">
        <f>'B1'!R20</f>
        <v>59.829214418658673</v>
      </c>
      <c r="Q9" s="13">
        <f>'B1'!S20</f>
        <v>60.025079698038752</v>
      </c>
      <c r="R9" s="13">
        <f>'B1'!T20</f>
        <v>60.221586189375877</v>
      </c>
      <c r="T9" s="13">
        <f>'B1'!V20</f>
        <v>58.475936501080326</v>
      </c>
      <c r="U9" s="13">
        <f>'B1'!W20</f>
        <v>59.052123676757162</v>
      </c>
      <c r="V9" s="13">
        <f>'B1'!X20</f>
        <v>59.633988258924241</v>
      </c>
      <c r="W9" s="13">
        <f>'B1'!Y20</f>
        <v>60.221586189375877</v>
      </c>
      <c r="X9" s="13">
        <f>'B1'!Z20</f>
        <v>60.546200000000042</v>
      </c>
      <c r="Y9" s="13">
        <f>'B1'!AA20</f>
        <v>60.998600000000032</v>
      </c>
      <c r="Z9" s="13">
        <f>'B1'!AB20</f>
        <v>61.451000000000036</v>
      </c>
      <c r="AA9" s="13">
        <f>'B1'!AC20</f>
        <v>61.903400000000033</v>
      </c>
      <c r="AC9" s="13">
        <f>'B1'!AE20</f>
        <v>59.160381718422364</v>
      </c>
      <c r="AD9" s="13">
        <f>'B1'!AF20</f>
        <v>61.224800000000037</v>
      </c>
      <c r="AE9" s="13">
        <f>'B1'!AG20</f>
        <v>63.061544000000033</v>
      </c>
      <c r="AF9" s="13">
        <f>'B1'!AH20</f>
        <v>64.95339032000004</v>
      </c>
      <c r="AG9" s="13">
        <f>'B1'!AI20</f>
        <v>66.901992029600038</v>
      </c>
    </row>
    <row r="10" spans="1:33" x14ac:dyDescent="0.25">
      <c r="B10" s="1" t="s">
        <v>904</v>
      </c>
      <c r="G10" s="13">
        <f>'B1'!I41</f>
        <v>751.07632489969433</v>
      </c>
      <c r="H10" s="13">
        <f>'B1'!J41</f>
        <v>752.30573912184036</v>
      </c>
      <c r="I10" s="13">
        <f>'B1'!K41</f>
        <v>754.76859234838025</v>
      </c>
      <c r="J10" s="13">
        <f>'B1'!L41</f>
        <v>757.2395083155053</v>
      </c>
      <c r="K10" s="13">
        <f>'B1'!M41</f>
        <v>759.71851341853039</v>
      </c>
      <c r="L10" s="13">
        <f>'B1'!N41</f>
        <v>762.20563413918171</v>
      </c>
      <c r="M10" s="13">
        <f>'B1'!O41</f>
        <v>764.70089704587929</v>
      </c>
      <c r="N10" s="13">
        <f>'B1'!P41</f>
        <v>767.20432879402154</v>
      </c>
      <c r="O10" s="13">
        <f>'B1'!Q41</f>
        <v>769.7159561262697</v>
      </c>
      <c r="P10" s="13">
        <f>'B1'!R41</f>
        <v>772.23580587283368</v>
      </c>
      <c r="Q10" s="13">
        <f>'B1'!S41</f>
        <v>774.76390495175804</v>
      </c>
      <c r="R10" s="13">
        <f>'B1'!T41</f>
        <v>777.30028036921044</v>
      </c>
      <c r="T10" s="13">
        <f>'B1'!V41</f>
        <v>2258.1506563699149</v>
      </c>
      <c r="U10" s="13">
        <f>'B1'!W41</f>
        <v>2279.1636558732175</v>
      </c>
      <c r="V10" s="13">
        <f>'B1'!X41</f>
        <v>2301.6211819661703</v>
      </c>
      <c r="W10" s="13">
        <f>'B1'!Y41</f>
        <v>2324.2999911938023</v>
      </c>
      <c r="X10" s="13">
        <f>'B1'!Z41</f>
        <v>2344.470540212687</v>
      </c>
      <c r="Y10" s="13">
        <f>'B1'!AA41</f>
        <v>2361.9883773749234</v>
      </c>
      <c r="Z10" s="13">
        <f>'B1'!AB41</f>
        <v>2379.5062145371603</v>
      </c>
      <c r="AA10" s="13">
        <f>'B1'!AC41</f>
        <v>2397.0240516993972</v>
      </c>
      <c r="AC10" s="13">
        <f>SUM(T10:W10)</f>
        <v>9163.2354854031037</v>
      </c>
      <c r="AD10" s="13">
        <f>SUM(X10:AA10)</f>
        <v>9482.9891838241674</v>
      </c>
      <c r="AE10" s="13">
        <f>'B1'!AG41</f>
        <v>9767.4788593388912</v>
      </c>
      <c r="AF10" s="13">
        <f>'B1'!AH41</f>
        <v>10060.503225119059</v>
      </c>
      <c r="AG10" s="13">
        <f>'B1'!AI41</f>
        <v>10362.31832187263</v>
      </c>
    </row>
    <row r="11" spans="1:33" s="516" customFormat="1" x14ac:dyDescent="0.25">
      <c r="C11" s="1104" t="str">
        <f>C16</f>
        <v>Hemo Dialysis</v>
      </c>
      <c r="G11" s="518">
        <f>'C1'!I17+'C2'!I17</f>
        <v>0</v>
      </c>
      <c r="H11" s="518">
        <f>'C1'!J17+'C2'!J17</f>
        <v>0</v>
      </c>
      <c r="I11" s="518">
        <f>'C1'!K17+'C2'!K17</f>
        <v>0</v>
      </c>
      <c r="J11" s="518">
        <f>'C1'!L17+'C2'!L17</f>
        <v>0</v>
      </c>
      <c r="K11" s="518">
        <f>'C1'!M17+'C2'!M17</f>
        <v>0</v>
      </c>
      <c r="L11" s="518">
        <f>'C1'!N17+'C2'!N17</f>
        <v>0</v>
      </c>
      <c r="M11" s="518">
        <f>'C1'!O17+'C2'!O17</f>
        <v>0</v>
      </c>
      <c r="N11" s="518">
        <f>'C1'!P17+'C2'!P17</f>
        <v>0</v>
      </c>
      <c r="O11" s="518">
        <f>'C1'!Q17+'C2'!Q17</f>
        <v>0</v>
      </c>
      <c r="P11" s="518">
        <f>'C1'!R17+'C2'!R17</f>
        <v>0</v>
      </c>
      <c r="Q11" s="518">
        <f>'C1'!S17+'C2'!S17</f>
        <v>0</v>
      </c>
      <c r="R11" s="518">
        <f>'C1'!T17+'C2'!T17</f>
        <v>0</v>
      </c>
      <c r="T11" s="518">
        <f>SUM(G11:I11)</f>
        <v>0</v>
      </c>
      <c r="U11" s="518">
        <f>SUM(J11:L11)</f>
        <v>0</v>
      </c>
      <c r="V11" s="518">
        <f>SUM(M11:O11)</f>
        <v>0</v>
      </c>
      <c r="W11" s="518">
        <f>SUM(P11:R11)</f>
        <v>0</v>
      </c>
      <c r="X11" s="518">
        <f>'C1'!V17+'C2'!V17</f>
        <v>0</v>
      </c>
      <c r="Y11" s="518">
        <f>'C1'!W17+'C2'!W17</f>
        <v>0</v>
      </c>
      <c r="Z11" s="518">
        <f>'C1'!X17+'C2'!X17</f>
        <v>0</v>
      </c>
      <c r="AA11" s="518">
        <f>'C1'!Y17+'C2'!Y17</f>
        <v>0</v>
      </c>
      <c r="AB11" s="518">
        <f>'C1'!Z17+'C2'!Z17</f>
        <v>0</v>
      </c>
      <c r="AC11" s="518">
        <f>SUM(T11:W11)</f>
        <v>0</v>
      </c>
      <c r="AD11" s="518">
        <f>SUM(X11:AA11)</f>
        <v>0</v>
      </c>
      <c r="AE11" s="518">
        <f>'C1'!AC17+'C2'!AC17</f>
        <v>0</v>
      </c>
      <c r="AF11" s="518">
        <f>'C1'!AD17+'C2'!AD17</f>
        <v>0</v>
      </c>
      <c r="AG11" s="518">
        <f>'C1'!AE17+'C2'!AE17</f>
        <v>0</v>
      </c>
    </row>
    <row r="12" spans="1:33" s="516" customFormat="1" x14ac:dyDescent="0.25">
      <c r="C12" s="1104" t="str">
        <f>C17</f>
        <v>Home Dialysis</v>
      </c>
      <c r="G12" s="518">
        <f>'C3'!I17+'C4'!I17</f>
        <v>751.07632489969433</v>
      </c>
      <c r="H12" s="518">
        <f>'C3'!J17+'C4'!J17</f>
        <v>752.30573912184036</v>
      </c>
      <c r="I12" s="518">
        <f>'C3'!K17+'C4'!K17</f>
        <v>754.76859234838025</v>
      </c>
      <c r="J12" s="518">
        <f>'C3'!L17+'C4'!L17</f>
        <v>757.2395083155053</v>
      </c>
      <c r="K12" s="518">
        <f>'C3'!M17+'C4'!M17</f>
        <v>759.71851341853039</v>
      </c>
      <c r="L12" s="518">
        <f>'C3'!N17+'C4'!N17</f>
        <v>762.20563413918171</v>
      </c>
      <c r="M12" s="518">
        <f>'C3'!O17+'C4'!O17</f>
        <v>764.70089704587929</v>
      </c>
      <c r="N12" s="518">
        <f>'C3'!P17+'C4'!P17</f>
        <v>767.20432879402154</v>
      </c>
      <c r="O12" s="518">
        <f>'C3'!Q17+'C4'!Q17</f>
        <v>769.7159561262697</v>
      </c>
      <c r="P12" s="518">
        <f>'C3'!R17+'C4'!R17</f>
        <v>772.23580587283368</v>
      </c>
      <c r="Q12" s="518">
        <f>'C3'!S17+'C4'!S17</f>
        <v>774.76390495175804</v>
      </c>
      <c r="R12" s="518">
        <f>'C3'!T17+'C4'!T17</f>
        <v>777.30028036921044</v>
      </c>
      <c r="T12" s="518">
        <f>SUM(G12:I12)</f>
        <v>2258.1506563699149</v>
      </c>
      <c r="U12" s="518">
        <f>SUM(J12:L12)</f>
        <v>2279.1636558732175</v>
      </c>
      <c r="V12" s="518">
        <f>SUM(M12:O12)</f>
        <v>2301.6211819661703</v>
      </c>
      <c r="W12" s="518">
        <f>SUM(P12:R12)</f>
        <v>2324.2999911938023</v>
      </c>
      <c r="X12" s="518">
        <f>'C3'!V17+'C4'!V17</f>
        <v>2344.470540212687</v>
      </c>
      <c r="Y12" s="518">
        <f>'C3'!W17+'C4'!W17</f>
        <v>2361.9883773749234</v>
      </c>
      <c r="Z12" s="518">
        <f>'C3'!X17+'C4'!X17</f>
        <v>2379.5062145371603</v>
      </c>
      <c r="AA12" s="518">
        <f>'C3'!Y17+'C4'!Y17</f>
        <v>2397.0240516993972</v>
      </c>
      <c r="AC12" s="518">
        <f>SUM(T12:W12)</f>
        <v>9163.2354854031037</v>
      </c>
      <c r="AD12" s="518">
        <f>SUM(X12:AA12)</f>
        <v>9482.9891838241674</v>
      </c>
      <c r="AE12" s="518">
        <f>'C3'!AC17+'C4'!AC17</f>
        <v>9767.4788593388912</v>
      </c>
      <c r="AF12" s="518">
        <f>'C3'!AD17+'C4'!AD17</f>
        <v>10060.503225119059</v>
      </c>
      <c r="AG12" s="518">
        <f>'C3'!AE17+'C4'!AE17</f>
        <v>10362.31832187263</v>
      </c>
    </row>
    <row r="13" spans="1:33" s="516" customFormat="1" x14ac:dyDescent="0.25">
      <c r="C13" s="1104" t="str">
        <f>C18</f>
        <v>Acute Care</v>
      </c>
      <c r="G13" s="518">
        <f>'C5'!I15</f>
        <v>0</v>
      </c>
      <c r="H13" s="518">
        <f>'C5'!J15</f>
        <v>0</v>
      </c>
      <c r="I13" s="518">
        <f>'C5'!K15</f>
        <v>0</v>
      </c>
      <c r="J13" s="518">
        <f>'C5'!L15</f>
        <v>0</v>
      </c>
      <c r="K13" s="518">
        <f>'C5'!M15</f>
        <v>0</v>
      </c>
      <c r="L13" s="518">
        <f>'C5'!N15</f>
        <v>0</v>
      </c>
      <c r="M13" s="518">
        <f>'C5'!O15</f>
        <v>0</v>
      </c>
      <c r="N13" s="518">
        <f>'C5'!P15</f>
        <v>0</v>
      </c>
      <c r="O13" s="518">
        <f>'C5'!Q15</f>
        <v>0</v>
      </c>
      <c r="P13" s="518">
        <f>'C5'!R15</f>
        <v>0</v>
      </c>
      <c r="Q13" s="518">
        <f>'C5'!S15</f>
        <v>0</v>
      </c>
      <c r="R13" s="518">
        <f>'C5'!T15</f>
        <v>0</v>
      </c>
      <c r="T13" s="518">
        <f>SUM(G13:I13)</f>
        <v>0</v>
      </c>
      <c r="U13" s="518">
        <f>SUM(J13:L13)</f>
        <v>0</v>
      </c>
      <c r="V13" s="518">
        <f>SUM(M13:O13)</f>
        <v>0</v>
      </c>
      <c r="W13" s="518">
        <f>SUM(P13:R13)</f>
        <v>0</v>
      </c>
      <c r="X13" s="518">
        <f>'C5'!V15</f>
        <v>0</v>
      </c>
      <c r="Y13" s="518">
        <f>'C5'!W15</f>
        <v>0</v>
      </c>
      <c r="Z13" s="518">
        <f>'C5'!X15</f>
        <v>0</v>
      </c>
      <c r="AA13" s="518">
        <f>'C5'!Y15</f>
        <v>0</v>
      </c>
      <c r="AC13" s="518">
        <f>SUM(T13:W13)</f>
        <v>0</v>
      </c>
      <c r="AD13" s="518">
        <f>SUM(X13:AA13)</f>
        <v>0</v>
      </c>
      <c r="AE13" s="518">
        <f>'C5'!AC15</f>
        <v>0</v>
      </c>
      <c r="AF13" s="518">
        <f>'C5'!AD15</f>
        <v>0</v>
      </c>
      <c r="AG13" s="518">
        <f>'C5'!AE15</f>
        <v>0</v>
      </c>
    </row>
    <row r="14" spans="1:33" x14ac:dyDescent="0.25">
      <c r="H14" s="106"/>
      <c r="I14" s="106"/>
      <c r="J14" s="106"/>
      <c r="K14" s="106"/>
      <c r="L14" s="106"/>
    </row>
    <row r="15" spans="1:33" x14ac:dyDescent="0.25">
      <c r="B15" s="1" t="s">
        <v>32</v>
      </c>
    </row>
    <row r="16" spans="1:33" x14ac:dyDescent="0.25">
      <c r="C16" s="82" t="str">
        <f>'A1'!E8</f>
        <v>Hemo Dialysis</v>
      </c>
      <c r="G16" s="13">
        <f>IF(G11&gt;0,ApndxB1!G13*1000/G11,0)</f>
        <v>0</v>
      </c>
      <c r="H16" s="13">
        <f>IF(H11&gt;0,ApndxB1!H13*1000/H11,0)</f>
        <v>0</v>
      </c>
      <c r="I16" s="13">
        <f>IF(I11&gt;0,ApndxB1!I13*1000/I11,0)</f>
        <v>0</v>
      </c>
      <c r="J16" s="13">
        <f>IF(J11&gt;0,ApndxB1!J13*1000/J11,0)</f>
        <v>0</v>
      </c>
      <c r="K16" s="13">
        <f>IF(K11&gt;0,ApndxB1!K13*1000/K11,0)</f>
        <v>0</v>
      </c>
      <c r="L16" s="13">
        <f>IF(L11&gt;0,ApndxB1!L13*1000/L11,0)</f>
        <v>0</v>
      </c>
      <c r="M16" s="13">
        <f>IF(M11&gt;0,ApndxB1!M13*1000/M11,0)</f>
        <v>0</v>
      </c>
      <c r="N16" s="13">
        <f>IF(N11&gt;0,ApndxB1!N13*1000/N11,0)</f>
        <v>0</v>
      </c>
      <c r="O16" s="13">
        <f>IF(O11&gt;0,ApndxB1!O13*1000/O11,0)</f>
        <v>0</v>
      </c>
      <c r="P16" s="13">
        <f>IF(P11&gt;0,ApndxB1!P13*1000/P11,0)</f>
        <v>0</v>
      </c>
      <c r="Q16" s="13">
        <f>IF(Q11&gt;0,ApndxB1!Q13*1000/Q11,0)</f>
        <v>0</v>
      </c>
      <c r="R16" s="13">
        <f>IF(R11&gt;0,ApndxB1!R13*1000/R11,0)</f>
        <v>0</v>
      </c>
      <c r="S16" s="381"/>
      <c r="T16" s="13">
        <f>IF(T11&gt;0,ApndxB1!T13*1000/T11,0)</f>
        <v>0</v>
      </c>
      <c r="U16" s="13">
        <f>IF(U11&gt;0,ApndxB1!U13*1000/U11,0)</f>
        <v>0</v>
      </c>
      <c r="V16" s="13">
        <f>IF(V11&gt;0,ApndxB1!V13*1000/V11,0)</f>
        <v>0</v>
      </c>
      <c r="W16" s="13">
        <f>IF(W11&gt;0,ApndxB1!W13*1000/W11,0)</f>
        <v>0</v>
      </c>
      <c r="X16" s="13">
        <f>IF(X11&gt;0,ApndxB1!X13*1000/X11,0)</f>
        <v>0</v>
      </c>
      <c r="Y16" s="13">
        <f>IF(Y11&gt;0,ApndxB1!Y13*1000/Y11,0)</f>
        <v>0</v>
      </c>
      <c r="Z16" s="13">
        <f>IF(Z11&gt;0,ApndxB1!Z13*1000/Z11,0)</f>
        <v>0</v>
      </c>
      <c r="AA16" s="13">
        <f>IF(AA11&gt;0,ApndxB1!AA13*1000/AA11,0)</f>
        <v>0</v>
      </c>
      <c r="AB16" s="381"/>
      <c r="AC16" s="13">
        <f>IF(AC11&gt;0,ApndxB1!AC13*1000/AC11,0)</f>
        <v>0</v>
      </c>
      <c r="AD16" s="13">
        <f>IF(AD11&gt;0,ApndxB1!AD13*1000/AD11,0)</f>
        <v>0</v>
      </c>
      <c r="AE16" s="13">
        <f>IF(AE11&gt;0,ApndxB1!AE13*1000/AE11,0)</f>
        <v>0</v>
      </c>
      <c r="AF16" s="13">
        <f>IF(AF11&gt;0,ApndxB1!AF13*1000/AF11,0)</f>
        <v>0</v>
      </c>
      <c r="AG16" s="13">
        <f>IF(AG11&gt;0,ApndxB1!AG13*1000/AG11,0)</f>
        <v>0</v>
      </c>
    </row>
    <row r="17" spans="2:34" x14ac:dyDescent="0.25">
      <c r="C17" s="82" t="str">
        <f>'A1'!G8</f>
        <v>Home Dialysis</v>
      </c>
      <c r="G17" s="13">
        <f>IF(G12&gt;0,ApndxB1!G14*1000/G12,0)</f>
        <v>389.54612051691095</v>
      </c>
      <c r="H17" s="13">
        <f>IF(H12&gt;0,ApndxB1!H14*1000/H12,0)</f>
        <v>389.54612051691083</v>
      </c>
      <c r="I17" s="13">
        <f>IF(I12&gt;0,ApndxB1!I14*1000/I12,0)</f>
        <v>389.54612051691089</v>
      </c>
      <c r="J17" s="13">
        <f>IF(J12&gt;0,ApndxB1!J14*1000/J12,0)</f>
        <v>389.546120516911</v>
      </c>
      <c r="K17" s="13">
        <f>IF(K12&gt;0,ApndxB1!K14*1000/K12,0)</f>
        <v>389.54612051691089</v>
      </c>
      <c r="L17" s="13">
        <f>IF(L12&gt;0,ApndxB1!L14*1000/L12,0)</f>
        <v>389.54612051691083</v>
      </c>
      <c r="M17" s="13">
        <f>IF(M12&gt;0,ApndxB1!M14*1000/M12,0)</f>
        <v>389.54612051691095</v>
      </c>
      <c r="N17" s="13">
        <f>IF(N12&gt;0,ApndxB1!N14*1000/N12,0)</f>
        <v>389.54612051691083</v>
      </c>
      <c r="O17" s="13">
        <f>IF(O12&gt;0,ApndxB1!O14*1000/O12,0)</f>
        <v>389.54612051691095</v>
      </c>
      <c r="P17" s="13">
        <f>IF(P12&gt;0,ApndxB1!P14*1000/P12,0)</f>
        <v>389.54612051691089</v>
      </c>
      <c r="Q17" s="13">
        <f>IF(Q12&gt;0,ApndxB1!Q14*1000/Q12,0)</f>
        <v>389.54612051691089</v>
      </c>
      <c r="R17" s="13">
        <f>IF(R12&gt;0,ApndxB1!R14*1000/R12,0)</f>
        <v>389.54612051691089</v>
      </c>
      <c r="S17" s="381"/>
      <c r="T17" s="13">
        <f>IF(T12&gt;0,ApndxB1!T14*1000/T12,0)</f>
        <v>389.54612051691089</v>
      </c>
      <c r="U17" s="13">
        <f>IF(U12&gt;0,ApndxB1!U14*1000/U12,0)</f>
        <v>389.54612051691089</v>
      </c>
      <c r="V17" s="13">
        <f>IF(V12&gt;0,ApndxB1!V14*1000/V12,0)</f>
        <v>389.54612051691095</v>
      </c>
      <c r="W17" s="13">
        <f>IF(W12&gt;0,ApndxB1!W14*1000/W12,0)</f>
        <v>389.54612051691095</v>
      </c>
      <c r="X17" s="13">
        <f>IF(X12&gt;0,ApndxB1!X14*1000/X12,0)</f>
        <v>393.44158172207995</v>
      </c>
      <c r="Y17" s="13">
        <f>IF(Y12&gt;0,ApndxB1!Y14*1000/Y12,0)</f>
        <v>393.44158172208006</v>
      </c>
      <c r="Z17" s="13">
        <f>IF(Z12&gt;0,ApndxB1!Z14*1000/Z12,0)</f>
        <v>393.44158172208</v>
      </c>
      <c r="AA17" s="13">
        <f>IF(AA12&gt;0,ApndxB1!AA14*1000/AA12,0)</f>
        <v>393.44158172208</v>
      </c>
      <c r="AB17" s="381"/>
      <c r="AC17" s="13">
        <f>IF(AC12&gt;0,ApndxB1!AC14*1000/AC12,0)</f>
        <v>389.54612051691095</v>
      </c>
      <c r="AD17" s="13">
        <f>IF(AD12&gt;0,ApndxB1!AD14*1000/AD12,0)</f>
        <v>393.44158172208</v>
      </c>
      <c r="AE17" s="13">
        <f>IF(AE12&gt;0,ApndxB1!AE14*1000/AE12,0)</f>
        <v>397.3759975393009</v>
      </c>
      <c r="AF17" s="13">
        <f>IF(AF12&gt;0,ApndxB1!AF14*1000/AF12,0)</f>
        <v>401.34975751469392</v>
      </c>
      <c r="AG17" s="13">
        <f>IF(AG12&gt;0,ApndxB1!AG14*1000/AG12,0)</f>
        <v>405.36325508984083</v>
      </c>
    </row>
    <row r="18" spans="2:34" ht="17.25" x14ac:dyDescent="0.4">
      <c r="C18" s="82" t="str">
        <f>'A1'!C68</f>
        <v>Acute Care</v>
      </c>
      <c r="G18" s="13">
        <f>IF(G13&gt;0,ApndxB1!G15*1000/G13,0)</f>
        <v>0</v>
      </c>
      <c r="H18" s="13">
        <f>IF(H13&gt;0,ApndxB1!H15*1000/H13,0)</f>
        <v>0</v>
      </c>
      <c r="I18" s="13">
        <f>IF(I13&gt;0,ApndxB1!I15*1000/I13,0)</f>
        <v>0</v>
      </c>
      <c r="J18" s="13">
        <f>IF(J13&gt;0,ApndxB1!J15*1000/J13,0)</f>
        <v>0</v>
      </c>
      <c r="K18" s="13">
        <f>IF(K13&gt;0,ApndxB1!K15*1000/K13,0)</f>
        <v>0</v>
      </c>
      <c r="L18" s="13">
        <f>IF(L13&gt;0,ApndxB1!L15*1000/L13,0)</f>
        <v>0</v>
      </c>
      <c r="M18" s="13">
        <f>IF(M13&gt;0,ApndxB1!M15*1000/M13,0)</f>
        <v>0</v>
      </c>
      <c r="N18" s="13">
        <f>IF(N13&gt;0,ApndxB1!N15*1000/N13,0)</f>
        <v>0</v>
      </c>
      <c r="O18" s="13">
        <f>IF(O13&gt;0,ApndxB1!O15*1000/O13,0)</f>
        <v>0</v>
      </c>
      <c r="P18" s="13">
        <f>IF(P13&gt;0,ApndxB1!P15*1000/P13,0)</f>
        <v>0</v>
      </c>
      <c r="Q18" s="13">
        <f>IF(Q13&gt;0,ApndxB1!Q15*1000/Q13,0)</f>
        <v>0</v>
      </c>
      <c r="R18" s="13">
        <f>IF(R13&gt;0,ApndxB1!R15*1000/R13,0)</f>
        <v>0</v>
      </c>
      <c r="T18" s="13">
        <f>IF(T13&gt;0,ApndxB1!T15*1000/T13,0)</f>
        <v>0</v>
      </c>
      <c r="U18" s="13">
        <f>IF(U13&gt;0,ApndxB1!U15*1000/U13,0)</f>
        <v>0</v>
      </c>
      <c r="V18" s="13">
        <f>IF(V13&gt;0,ApndxB1!V15*1000/V13,0)</f>
        <v>0</v>
      </c>
      <c r="W18" s="13">
        <f>IF(W13&gt;0,ApndxB1!W15*1000/W13,0)</f>
        <v>0</v>
      </c>
      <c r="X18" s="13">
        <f>IF(X13&gt;0,ApndxB1!X15*1000/X13,0)</f>
        <v>0</v>
      </c>
      <c r="Y18" s="13">
        <f>IF(Y13&gt;0,ApndxB1!Y15*1000/Y13,0)</f>
        <v>0</v>
      </c>
      <c r="Z18" s="13">
        <f>IF(Z13&gt;0,ApndxB1!Z15*1000/Z13,0)</f>
        <v>0</v>
      </c>
      <c r="AA18" s="13">
        <f>IF(AA13&gt;0,ApndxB1!AA15*1000/AA13,0)</f>
        <v>0</v>
      </c>
      <c r="AB18" s="558"/>
      <c r="AC18" s="13">
        <f>IF(AC13&gt;0,ApndxB1!AC15*1000/AC13,0)</f>
        <v>0</v>
      </c>
      <c r="AD18" s="13">
        <f>IF(AD13&gt;0,ApndxB1!AD15*1000/AD13,0)</f>
        <v>0</v>
      </c>
      <c r="AE18" s="13">
        <f>IF(AE13&gt;0,ApndxB1!AE15*1000/AE13,0)</f>
        <v>0</v>
      </c>
      <c r="AF18" s="13">
        <f>IF(AF13&gt;0,ApndxB1!AF15*1000/AF13,0)</f>
        <v>0</v>
      </c>
      <c r="AG18" s="13">
        <f>IF(AG13&gt;0,ApndxB1!AG15*1000/AG13,0)</f>
        <v>0</v>
      </c>
      <c r="AH18" s="558"/>
    </row>
    <row r="19" spans="2:34" x14ac:dyDescent="0.25">
      <c r="G19" s="13">
        <f>ApndxB1!G16/G$10*1000</f>
        <v>389.54612051691095</v>
      </c>
      <c r="H19" s="13">
        <f>ApndxB1!H16/H$10*1000</f>
        <v>389.54612051691083</v>
      </c>
      <c r="I19" s="13">
        <f>ApndxB1!I16/I$10*1000</f>
        <v>389.54612051691089</v>
      </c>
      <c r="J19" s="13">
        <f>ApndxB1!J16/J$10*1000</f>
        <v>389.54612051691095</v>
      </c>
      <c r="K19" s="13">
        <f>ApndxB1!K16/K$10*1000</f>
        <v>389.54612051691095</v>
      </c>
      <c r="L19" s="13">
        <f>ApndxB1!L16/L$10*1000</f>
        <v>389.54612051691083</v>
      </c>
      <c r="M19" s="13">
        <f>ApndxB1!M16/M$10*1000</f>
        <v>389.54612051691095</v>
      </c>
      <c r="N19" s="13">
        <f>ApndxB1!N16/N$10*1000</f>
        <v>389.54612051691089</v>
      </c>
      <c r="O19" s="13">
        <f>ApndxB1!O16/O$10*1000</f>
        <v>389.54612051691089</v>
      </c>
      <c r="P19" s="13">
        <f>ApndxB1!P16/P$10*1000</f>
        <v>389.54612051691089</v>
      </c>
      <c r="Q19" s="13">
        <f>ApndxB1!Q16/Q$10*1000</f>
        <v>389.54612051691095</v>
      </c>
      <c r="R19" s="13">
        <f>ApndxB1!R16/R$10*1000</f>
        <v>389.54612051691089</v>
      </c>
      <c r="T19" s="13">
        <f>ApndxB1!T16/T$10*1000</f>
        <v>389.54612051691089</v>
      </c>
      <c r="U19" s="13">
        <f>ApndxB1!U16/U$10*1000</f>
        <v>389.54612051691089</v>
      </c>
      <c r="V19" s="13">
        <f>ApndxB1!V16/V$10*1000</f>
        <v>389.54612051691095</v>
      </c>
      <c r="W19" s="13">
        <f>ApndxB1!W16/W$10*1000</f>
        <v>389.54612051691095</v>
      </c>
      <c r="X19" s="13">
        <f>ApndxB1!X16/X$10*1000</f>
        <v>393.44158172207995</v>
      </c>
      <c r="Y19" s="13">
        <f>ApndxB1!Y16/Y$10*1000</f>
        <v>393.44158172208006</v>
      </c>
      <c r="Z19" s="13">
        <f>ApndxB1!Z16/Z$10*1000</f>
        <v>393.44158172208</v>
      </c>
      <c r="AA19" s="13">
        <f>ApndxB1!AA16/AA$10*1000</f>
        <v>393.44158172208</v>
      </c>
      <c r="AC19" s="13">
        <f>ApndxB1!AC16/AC$10*1000</f>
        <v>389.54612051691095</v>
      </c>
      <c r="AD19" s="13">
        <f>ApndxB1!AD16/AD$10*1000</f>
        <v>393.44158172208006</v>
      </c>
      <c r="AE19" s="13">
        <f>ApndxB1!AE16/AE$10*1000</f>
        <v>397.37599753930084</v>
      </c>
      <c r="AF19" s="13">
        <f>ApndxB1!AF16/AF$10*1000</f>
        <v>401.34975751469386</v>
      </c>
      <c r="AG19" s="13">
        <f>ApndxB1!AG16/AG$10*1000</f>
        <v>405.36325508984078</v>
      </c>
    </row>
    <row r="21" spans="2:34" x14ac:dyDescent="0.25">
      <c r="C21" s="1" t="s">
        <v>127</v>
      </c>
      <c r="G21" s="13">
        <f>ApndxB1!G18/G$10*1000</f>
        <v>-3.8954612051691089</v>
      </c>
      <c r="H21" s="13">
        <f>ApndxB1!H18/H$10*1000</f>
        <v>-3.8954612051691084</v>
      </c>
      <c r="I21" s="13">
        <f>ApndxB1!I18/I$10*1000</f>
        <v>-3.8954612051691093</v>
      </c>
      <c r="J21" s="13">
        <f>ApndxB1!J18/J$10*1000</f>
        <v>-3.8954612051691098</v>
      </c>
      <c r="K21" s="13">
        <f>ApndxB1!K18/K$10*1000</f>
        <v>-3.8954612051691093</v>
      </c>
      <c r="L21" s="13">
        <f>ApndxB1!L18/L$10*1000</f>
        <v>-3.8954612051691089</v>
      </c>
      <c r="M21" s="13">
        <f>ApndxB1!M18/M$10*1000</f>
        <v>-3.8954612051691098</v>
      </c>
      <c r="N21" s="13">
        <f>ApndxB1!N18/N$10*1000</f>
        <v>-3.8954612051691089</v>
      </c>
      <c r="O21" s="13">
        <f>ApndxB1!O18/O$10*1000</f>
        <v>-3.8954612051691093</v>
      </c>
      <c r="P21" s="13">
        <f>ApndxB1!P18/P$10*1000</f>
        <v>-3.8954612051691089</v>
      </c>
      <c r="Q21" s="13">
        <f>ApndxB1!Q18/Q$10*1000</f>
        <v>-3.8954612051691098</v>
      </c>
      <c r="R21" s="13">
        <f>ApndxB1!R18/R$10*1000</f>
        <v>-3.8954612051691093</v>
      </c>
      <c r="T21" s="13">
        <f>ApndxB1!T18/T$10*1000</f>
        <v>-3.8954612051691089</v>
      </c>
      <c r="U21" s="13">
        <f>ApndxB1!U18/U$10*1000</f>
        <v>-3.8954612051691089</v>
      </c>
      <c r="V21" s="13">
        <f>ApndxB1!V18/V$10*1000</f>
        <v>-3.8954612051691093</v>
      </c>
      <c r="W21" s="13">
        <f>ApndxB1!W18/W$10*1000</f>
        <v>-3.8954612051691098</v>
      </c>
      <c r="X21" s="13">
        <f>ApndxB1!X18/X$10*1000</f>
        <v>-3.9344158172207999</v>
      </c>
      <c r="Y21" s="13">
        <f>ApndxB1!Y18/Y$10*1000</f>
        <v>-3.9344158172208008</v>
      </c>
      <c r="Z21" s="13">
        <f>ApndxB1!Z18/Z$10*1000</f>
        <v>-3.9344158172207999</v>
      </c>
      <c r="AA21" s="13">
        <f>ApndxB1!AA18/AA$10*1000</f>
        <v>-3.9344158172207999</v>
      </c>
      <c r="AC21" s="13">
        <f>ApndxB1!AC18/AC$10*1000</f>
        <v>-3.8954612051691098</v>
      </c>
      <c r="AD21" s="13">
        <f>ApndxB1!AD18/AD$10*1000</f>
        <v>-3.9344158172208008</v>
      </c>
      <c r="AE21" s="13">
        <f>ApndxB1!AE18/AE$10*1000</f>
        <v>-3.9737599753930088</v>
      </c>
      <c r="AF21" s="13">
        <f>ApndxB1!AF18/AF$10*1000</f>
        <v>-4.0134975751469391</v>
      </c>
      <c r="AG21" s="13">
        <f>ApndxB1!AG18/AG$10*1000</f>
        <v>-4.0536325508984081</v>
      </c>
    </row>
    <row r="22" spans="2:34" x14ac:dyDescent="0.25">
      <c r="B22" s="390" t="s">
        <v>128</v>
      </c>
      <c r="C22" s="390"/>
      <c r="D22" s="390"/>
      <c r="E22" s="390"/>
      <c r="F22" s="390"/>
      <c r="G22" s="686">
        <f>ApndxB1!G19/ApndxB1!G$10*1000</f>
        <v>385.65065931174183</v>
      </c>
      <c r="H22" s="686">
        <f>ApndxB1!H19/ApndxB1!H$10*1000</f>
        <v>385.65065931174178</v>
      </c>
      <c r="I22" s="686">
        <f>ApndxB1!I19/ApndxB1!I$10*1000</f>
        <v>385.65065931174183</v>
      </c>
      <c r="J22" s="686">
        <f>ApndxB1!J19/ApndxB1!J$10*1000</f>
        <v>385.65065931174183</v>
      </c>
      <c r="K22" s="686">
        <f>ApndxB1!K19/ApndxB1!K$10*1000</f>
        <v>385.65065931174183</v>
      </c>
      <c r="L22" s="686">
        <f>ApndxB1!L19/ApndxB1!L$10*1000</f>
        <v>385.65065931174178</v>
      </c>
      <c r="M22" s="686">
        <f>ApndxB1!M19/ApndxB1!M$10*1000</f>
        <v>385.65065931174183</v>
      </c>
      <c r="N22" s="686">
        <f>ApndxB1!N19/ApndxB1!N$10*1000</f>
        <v>385.65065931174178</v>
      </c>
      <c r="O22" s="686">
        <f>ApndxB1!O19/ApndxB1!O$10*1000</f>
        <v>385.65065931174183</v>
      </c>
      <c r="P22" s="686">
        <f>ApndxB1!P19/ApndxB1!P$10*1000</f>
        <v>385.65065931174178</v>
      </c>
      <c r="Q22" s="686">
        <f>ApndxB1!Q19/ApndxB1!Q$10*1000</f>
        <v>385.65065931174183</v>
      </c>
      <c r="R22" s="686">
        <f>ApndxB1!R19/ApndxB1!R$10*1000</f>
        <v>385.65065931174178</v>
      </c>
      <c r="S22" s="390"/>
      <c r="T22" s="686">
        <f>ApndxB1!T19/ApndxB1!T$10*1000</f>
        <v>385.65065931174178</v>
      </c>
      <c r="U22" s="686">
        <f>ApndxB1!U19/ApndxB1!U$10*1000</f>
        <v>385.65065931174183</v>
      </c>
      <c r="V22" s="686">
        <f>ApndxB1!V19/ApndxB1!V$10*1000</f>
        <v>385.65065931174183</v>
      </c>
      <c r="W22" s="686">
        <f>ApndxB1!W19/ApndxB1!W$10*1000</f>
        <v>385.65065931174183</v>
      </c>
      <c r="X22" s="686">
        <f>ApndxB1!X19/ApndxB1!X$10*1000</f>
        <v>389.50716590485916</v>
      </c>
      <c r="Y22" s="686">
        <f>ApndxB1!Y19/ApndxB1!Y$10*1000</f>
        <v>389.50716590485928</v>
      </c>
      <c r="Z22" s="686">
        <f>ApndxB1!Z19/ApndxB1!Z$10*1000</f>
        <v>389.50716590485922</v>
      </c>
      <c r="AA22" s="686">
        <f>ApndxB1!AA19/ApndxB1!AA$10*1000</f>
        <v>389.50716590485922</v>
      </c>
      <c r="AB22" s="390"/>
      <c r="AC22" s="686">
        <f>ApndxB1!AC19/ApndxB1!AC$10*1000</f>
        <v>385.65065931174183</v>
      </c>
      <c r="AD22" s="686">
        <f>ApndxB1!AD19/ApndxB1!AD$10*1000</f>
        <v>389.50716590485922</v>
      </c>
      <c r="AE22" s="686">
        <f>ApndxB1!AE19/ApndxB1!AE$10*1000</f>
        <v>393.40223756390793</v>
      </c>
      <c r="AF22" s="686">
        <f>ApndxB1!AF19/ApndxB1!AF$10*1000</f>
        <v>397.33625993954695</v>
      </c>
      <c r="AG22" s="686">
        <f>ApndxB1!AG19/ApndxB1!AG$10*1000</f>
        <v>401.30962253894239</v>
      </c>
    </row>
    <row r="24" spans="2:34" x14ac:dyDescent="0.25">
      <c r="B24" s="1" t="s">
        <v>158</v>
      </c>
    </row>
    <row r="25" spans="2:34" x14ac:dyDescent="0.25">
      <c r="C25" s="82" t="s">
        <v>160</v>
      </c>
      <c r="G25" s="13">
        <f>ApndxB1!G22/G$10*1000</f>
        <v>106.26545780445711</v>
      </c>
      <c r="H25" s="13">
        <f>ApndxB1!H22/H$10*1000</f>
        <v>106.22652699680098</v>
      </c>
      <c r="I25" s="13">
        <f>ApndxB1!I22/I$10*1000</f>
        <v>106.14891944840733</v>
      </c>
      <c r="J25" s="13">
        <f>ApndxB1!J22/J$10*1000</f>
        <v>106.07156513789734</v>
      </c>
      <c r="K25" s="13">
        <f>ApndxB1!K22/K$10*1000</f>
        <v>105.99446323894126</v>
      </c>
      <c r="L25" s="13">
        <f>ApndxB1!L22/L$10*1000</f>
        <v>105.91761292790564</v>
      </c>
      <c r="M25" s="13">
        <f>ApndxB1!M22/M$10*1000</f>
        <v>105.84101338384475</v>
      </c>
      <c r="N25" s="13">
        <f>ApndxB1!N22/N$10*1000</f>
        <v>105.7646637884915</v>
      </c>
      <c r="O25" s="13">
        <f>ApndxB1!O22/O$10*1000</f>
        <v>105.68856332624895</v>
      </c>
      <c r="P25" s="13">
        <f>ApndxB1!P22/P$10*1000</f>
        <v>105.61271118418146</v>
      </c>
      <c r="Q25" s="13">
        <f>ApndxB1!Q22/Q$10*1000</f>
        <v>105.53710655200602</v>
      </c>
      <c r="R25" s="13">
        <f>ApndxB1!R22/R$10*1000</f>
        <v>105.46174862208368</v>
      </c>
      <c r="T25" s="13">
        <f>ApndxB1!T22/T$10*1000</f>
        <v>106.21353595387204</v>
      </c>
      <c r="U25" s="13">
        <f>ApndxB1!U22/U$10*1000</f>
        <v>105.99437937659968</v>
      </c>
      <c r="V25" s="13">
        <f>ApndxB1!V22/V$10*1000</f>
        <v>105.764580744417</v>
      </c>
      <c r="W25" s="13">
        <f>ApndxB1!W22/W$10*1000</f>
        <v>105.53702431821448</v>
      </c>
      <c r="X25" s="13">
        <f>ApndxB1!X22/X$10*1000</f>
        <v>108.49848452109994</v>
      </c>
      <c r="Y25" s="13">
        <f>ApndxB1!Y22/Y$10*1000</f>
        <v>108.32358442158009</v>
      </c>
      <c r="Z25" s="13">
        <f>ApndxB1!Z22/Z$10*1000</f>
        <v>108.15125953824952</v>
      </c>
      <c r="AA25" s="13">
        <f>ApndxB1!AA22/AA$10*1000</f>
        <v>107.98145341082629</v>
      </c>
      <c r="AC25" s="13">
        <f>ApndxB1!AC22/AC$10*1000</f>
        <v>105.8746562514516</v>
      </c>
      <c r="AD25" s="13">
        <f>ApndxB1!AD22/AD$10*1000</f>
        <v>108.23710364577072</v>
      </c>
      <c r="AE25" s="13">
        <f>ApndxB1!AE22/AE$10*1000</f>
        <v>110.78458727884593</v>
      </c>
      <c r="AF25" s="13">
        <f>ApndxB1!AF22/AF$10*1000</f>
        <v>113.40849542091341</v>
      </c>
      <c r="AG25" s="13">
        <f>ApndxB1!AG22/AG$10*1000</f>
        <v>116.11112080724291</v>
      </c>
    </row>
    <row r="26" spans="2:34" x14ac:dyDescent="0.25">
      <c r="C26" s="82" t="str">
        <f>'C7'!D13</f>
        <v>Pharmacy</v>
      </c>
      <c r="G26" s="13">
        <f>ApndxB1!G23/G$10*1000</f>
        <v>38.988142638882906</v>
      </c>
      <c r="H26" s="13">
        <f>ApndxB1!H23/H$10*1000</f>
        <v>38.988142638882898</v>
      </c>
      <c r="I26" s="13">
        <f>ApndxB1!I23/I$10*1000</f>
        <v>38.988142638882898</v>
      </c>
      <c r="J26" s="13">
        <f>ApndxB1!J23/J$10*1000</f>
        <v>38.988142638882906</v>
      </c>
      <c r="K26" s="13">
        <f>ApndxB1!K23/K$10*1000</f>
        <v>38.988142638882906</v>
      </c>
      <c r="L26" s="13">
        <f>ApndxB1!L23/L$10*1000</f>
        <v>38.988142638882898</v>
      </c>
      <c r="M26" s="13">
        <f>ApndxB1!M23/M$10*1000</f>
        <v>38.988142638882898</v>
      </c>
      <c r="N26" s="13">
        <f>ApndxB1!N23/N$10*1000</f>
        <v>38.988142638882898</v>
      </c>
      <c r="O26" s="13">
        <f>ApndxB1!O23/O$10*1000</f>
        <v>38.988142638882898</v>
      </c>
      <c r="P26" s="13">
        <f>ApndxB1!P23/P$10*1000</f>
        <v>38.988142638882898</v>
      </c>
      <c r="Q26" s="13">
        <f>ApndxB1!Q23/Q$10*1000</f>
        <v>38.988142638882898</v>
      </c>
      <c r="R26" s="13">
        <f>ApndxB1!R23/R$10*1000</f>
        <v>38.988142638882898</v>
      </c>
      <c r="T26" s="13">
        <f>ApndxB1!T23/T$10*1000</f>
        <v>38.988142638882898</v>
      </c>
      <c r="U26" s="13">
        <f>ApndxB1!U23/U$10*1000</f>
        <v>38.988142638882906</v>
      </c>
      <c r="V26" s="13">
        <f>ApndxB1!V23/V$10*1000</f>
        <v>38.988142638882906</v>
      </c>
      <c r="W26" s="13">
        <f>ApndxB1!W23/W$10*1000</f>
        <v>38.988142638882898</v>
      </c>
      <c r="X26" s="13">
        <f>ApndxB1!X23/X$10*1000</f>
        <v>40.547668344438215</v>
      </c>
      <c r="Y26" s="13">
        <f>ApndxB1!Y23/Y$10*1000</f>
        <v>40.547668344438215</v>
      </c>
      <c r="Z26" s="13">
        <f>ApndxB1!Z23/Z$10*1000</f>
        <v>40.547668344438222</v>
      </c>
      <c r="AA26" s="13">
        <f>ApndxB1!AA23/AA$10*1000</f>
        <v>40.547668344438215</v>
      </c>
      <c r="AC26" s="13">
        <f>ApndxB1!AC23/AC$10*1000</f>
        <v>38.988142638882898</v>
      </c>
      <c r="AD26" s="13">
        <f>ApndxB1!AD23/AD$10*1000</f>
        <v>40.547668344438215</v>
      </c>
      <c r="AE26" s="13">
        <f>ApndxB1!AE23/AE$10*1000</f>
        <v>42.16957507821575</v>
      </c>
      <c r="AF26" s="13">
        <f>ApndxB1!AF23/AF$10*1000</f>
        <v>43.856358081344389</v>
      </c>
      <c r="AG26" s="13">
        <f>ApndxB1!AG23/AG$10*1000</f>
        <v>45.610612404598164</v>
      </c>
    </row>
    <row r="27" spans="2:34" x14ac:dyDescent="0.25">
      <c r="C27" s="82" t="str">
        <f>'C7'!D16</f>
        <v>Dialysis Supplies</v>
      </c>
      <c r="G27" s="13">
        <f>ApndxB1!G24/G$10*1000</f>
        <v>118.54547774126485</v>
      </c>
      <c r="H27" s="13">
        <f>ApndxB1!H24/H$10*1000</f>
        <v>118.54547774126482</v>
      </c>
      <c r="I27" s="13">
        <f>ApndxB1!I24/I$10*1000</f>
        <v>118.54547774126482</v>
      </c>
      <c r="J27" s="13">
        <f>ApndxB1!J24/J$10*1000</f>
        <v>118.54547774126486</v>
      </c>
      <c r="K27" s="13">
        <f>ApndxB1!K24/K$10*1000</f>
        <v>118.54547774126483</v>
      </c>
      <c r="L27" s="13">
        <f>ApndxB1!L24/L$10*1000</f>
        <v>118.54547774126485</v>
      </c>
      <c r="M27" s="13">
        <f>ApndxB1!M24/M$10*1000</f>
        <v>118.54547774126483</v>
      </c>
      <c r="N27" s="13">
        <f>ApndxB1!N24/N$10*1000</f>
        <v>118.54547774126485</v>
      </c>
      <c r="O27" s="13">
        <f>ApndxB1!O24/O$10*1000</f>
        <v>118.54547774126482</v>
      </c>
      <c r="P27" s="13">
        <f>ApndxB1!P24/P$10*1000</f>
        <v>118.54547774126483</v>
      </c>
      <c r="Q27" s="13">
        <f>ApndxB1!Q24/Q$10*1000</f>
        <v>118.54547774126483</v>
      </c>
      <c r="R27" s="13">
        <f>ApndxB1!R24/R$10*1000</f>
        <v>118.54547774126483</v>
      </c>
      <c r="T27" s="13">
        <f>ApndxB1!T24/T$10*1000</f>
        <v>118.54547774126483</v>
      </c>
      <c r="U27" s="13">
        <f>ApndxB1!U24/U$10*1000</f>
        <v>118.54547774126483</v>
      </c>
      <c r="V27" s="13">
        <f>ApndxB1!V24/V$10*1000</f>
        <v>118.54547774126485</v>
      </c>
      <c r="W27" s="13">
        <f>ApndxB1!W24/W$10*1000</f>
        <v>118.54547774126483</v>
      </c>
      <c r="X27" s="13">
        <f>ApndxB1!X24/X$10*1000</f>
        <v>123.28729685091542</v>
      </c>
      <c r="Y27" s="13">
        <f>ApndxB1!Y24/Y$10*1000</f>
        <v>123.28729685091542</v>
      </c>
      <c r="Z27" s="13">
        <f>ApndxB1!Z24/Z$10*1000</f>
        <v>123.28729685091542</v>
      </c>
      <c r="AA27" s="13">
        <f>ApndxB1!AA24/AA$10*1000</f>
        <v>123.28729685091542</v>
      </c>
      <c r="AC27" s="13">
        <f>ApndxB1!AC24/AC$10*1000</f>
        <v>118.54547774126486</v>
      </c>
      <c r="AD27" s="13">
        <f>ApndxB1!AD24/AD$10*1000</f>
        <v>123.28729685091542</v>
      </c>
      <c r="AE27" s="13">
        <f>ApndxB1!AE24/AE$10*1000</f>
        <v>128.21878872495205</v>
      </c>
      <c r="AF27" s="13">
        <f>ApndxB1!AF24/AF$10*1000</f>
        <v>133.34754027395016</v>
      </c>
      <c r="AG27" s="13">
        <f>ApndxB1!AG24/AG$10*1000</f>
        <v>138.6814418849082</v>
      </c>
    </row>
    <row r="28" spans="2:34" ht="17.25" x14ac:dyDescent="0.4">
      <c r="C28" s="82" t="str">
        <f>'C7'!D19</f>
        <v>Lab Expense</v>
      </c>
      <c r="G28" s="558">
        <f>ApndxB1!G25/G$10*1000</f>
        <v>4.9786478555064351</v>
      </c>
      <c r="H28" s="558">
        <f>ApndxB1!H25/H$10*1000</f>
        <v>4.9786478555064351</v>
      </c>
      <c r="I28" s="558">
        <f>ApndxB1!I25/I$10*1000</f>
        <v>4.9786478555064342</v>
      </c>
      <c r="J28" s="558">
        <f>ApndxB1!J25/J$10*1000</f>
        <v>4.9786478555064342</v>
      </c>
      <c r="K28" s="558">
        <f>ApndxB1!K25/K$10*1000</f>
        <v>4.9786478555064351</v>
      </c>
      <c r="L28" s="558">
        <f>ApndxB1!L25/L$10*1000</f>
        <v>4.9786478555064351</v>
      </c>
      <c r="M28" s="558">
        <f>ApndxB1!M25/M$10*1000</f>
        <v>4.9786478555064342</v>
      </c>
      <c r="N28" s="558">
        <f>ApndxB1!N25/N$10*1000</f>
        <v>4.9786478555064351</v>
      </c>
      <c r="O28" s="558">
        <f>ApndxB1!O25/O$10*1000</f>
        <v>4.9786478555064342</v>
      </c>
      <c r="P28" s="558">
        <f>ApndxB1!P25/P$10*1000</f>
        <v>4.9786478555064342</v>
      </c>
      <c r="Q28" s="558">
        <f>ApndxB1!Q25/Q$10*1000</f>
        <v>4.9786478555064351</v>
      </c>
      <c r="R28" s="558">
        <f>ApndxB1!R25/R$10*1000</f>
        <v>4.9786478555064342</v>
      </c>
      <c r="S28" s="704"/>
      <c r="T28" s="558">
        <f>ApndxB1!T25/T$10*1000</f>
        <v>4.9786478555064351</v>
      </c>
      <c r="U28" s="558">
        <f>ApndxB1!U25/U$10*1000</f>
        <v>4.9786478555064342</v>
      </c>
      <c r="V28" s="558">
        <f>ApndxB1!V25/V$10*1000</f>
        <v>4.9786478555064351</v>
      </c>
      <c r="W28" s="558">
        <f>ApndxB1!W25/W$10*1000</f>
        <v>4.9786478555064342</v>
      </c>
      <c r="X28" s="558">
        <f>ApndxB1!X25/X$10*1000</f>
        <v>5.1777937697266925</v>
      </c>
      <c r="Y28" s="558">
        <f>ApndxB1!Y25/Y$10*1000</f>
        <v>5.1777937697266916</v>
      </c>
      <c r="Z28" s="558">
        <f>ApndxB1!Z25/Z$10*1000</f>
        <v>5.1777937697266925</v>
      </c>
      <c r="AA28" s="558">
        <f>ApndxB1!AA25/AA$10*1000</f>
        <v>5.1777937697266925</v>
      </c>
      <c r="AB28" s="704"/>
      <c r="AC28" s="558">
        <f>ApndxB1!AC25/AC$10*1000</f>
        <v>4.978647855506436</v>
      </c>
      <c r="AD28" s="558">
        <f>ApndxB1!AD25/AD$10*1000</f>
        <v>5.1777937697266925</v>
      </c>
      <c r="AE28" s="558">
        <f>ApndxB1!AE25/AE$10*1000</f>
        <v>5.3849055205157583</v>
      </c>
      <c r="AF28" s="558">
        <f>ApndxB1!AF25/AF$10*1000</f>
        <v>5.6003017413363914</v>
      </c>
      <c r="AG28" s="558">
        <f>ApndxB1!AG25/AG$10*1000</f>
        <v>5.824313810989846</v>
      </c>
    </row>
    <row r="29" spans="2:34" x14ac:dyDescent="0.25">
      <c r="G29" s="381">
        <f>ApndxB1!G26/ApndxB1!G$10*1000</f>
        <v>268.7777260401113</v>
      </c>
      <c r="H29" s="381">
        <f>ApndxB1!H26/ApndxB1!H$10*1000</f>
        <v>268.73879523245512</v>
      </c>
      <c r="I29" s="381">
        <f>ApndxB1!I26/ApndxB1!I$10*1000</f>
        <v>268.66118768406142</v>
      </c>
      <c r="J29" s="381">
        <f>ApndxB1!J26/ApndxB1!J$10*1000</f>
        <v>268.58383337355156</v>
      </c>
      <c r="K29" s="381">
        <f>ApndxB1!K26/ApndxB1!K$10*1000</f>
        <v>268.50673147459548</v>
      </c>
      <c r="L29" s="381">
        <f>ApndxB1!L26/ApndxB1!L$10*1000</f>
        <v>268.42988116355986</v>
      </c>
      <c r="M29" s="381">
        <f>ApndxB1!M26/ApndxB1!M$10*1000</f>
        <v>268.35328161949894</v>
      </c>
      <c r="N29" s="381">
        <f>ApndxB1!N26/ApndxB1!N$10*1000</f>
        <v>268.27693202414565</v>
      </c>
      <c r="O29" s="381">
        <f>ApndxB1!O26/ApndxB1!O$10*1000</f>
        <v>268.20083156190316</v>
      </c>
      <c r="P29" s="381">
        <f>ApndxB1!P26/ApndxB1!P$10*1000</f>
        <v>268.12497941983565</v>
      </c>
      <c r="Q29" s="381">
        <f>ApndxB1!Q26/ApndxB1!Q$10*1000</f>
        <v>268.04937478766021</v>
      </c>
      <c r="R29" s="381">
        <f>ApndxB1!R26/ApndxB1!R$10*1000</f>
        <v>267.97401685773787</v>
      </c>
      <c r="S29" s="381"/>
      <c r="T29" s="381">
        <f>ApndxB1!T26/ApndxB1!T$10*1000</f>
        <v>268.72580418952623</v>
      </c>
      <c r="U29" s="381">
        <f>ApndxB1!U26/ApndxB1!U$10*1000</f>
        <v>268.50664761225391</v>
      </c>
      <c r="V29" s="381">
        <f>ApndxB1!V26/ApndxB1!V$10*1000</f>
        <v>268.27684898007118</v>
      </c>
      <c r="W29" s="381">
        <f>ApndxB1!W26/ApndxB1!W$10*1000</f>
        <v>268.04929255386867</v>
      </c>
      <c r="X29" s="381">
        <f>ApndxB1!X26/ApndxB1!X$10*1000</f>
        <v>277.51124348618026</v>
      </c>
      <c r="Y29" s="381">
        <f>ApndxB1!Y26/ApndxB1!Y$10*1000</f>
        <v>277.33634338666042</v>
      </c>
      <c r="Z29" s="381">
        <f>ApndxB1!Z26/ApndxB1!Z$10*1000</f>
        <v>277.16401850332983</v>
      </c>
      <c r="AA29" s="381">
        <f>ApndxB1!AA26/ApndxB1!AA$10*1000</f>
        <v>276.99421237590661</v>
      </c>
      <c r="AB29" s="381"/>
      <c r="AC29" s="381">
        <f>ApndxB1!AC26/ApndxB1!AC$10*1000</f>
        <v>268.38692448710583</v>
      </c>
      <c r="AD29" s="381">
        <f>ApndxB1!AD26/ApndxB1!AD$10*1000</f>
        <v>277.2498626108511</v>
      </c>
      <c r="AE29" s="381">
        <f>ApndxB1!AE26/ApndxB1!AE$10*1000</f>
        <v>286.55785660252951</v>
      </c>
      <c r="AF29" s="381">
        <f>ApndxB1!AF26/ApndxB1!AF$10*1000</f>
        <v>296.21269551754432</v>
      </c>
      <c r="AG29" s="381">
        <f>ApndxB1!AG26/ApndxB1!AG$10*1000</f>
        <v>306.22748890773914</v>
      </c>
    </row>
    <row r="31" spans="2:34" x14ac:dyDescent="0.25">
      <c r="B31" s="1" t="s">
        <v>37</v>
      </c>
      <c r="G31" s="381">
        <f>ApndxB1!G28/ApndxB1!G$10*1000</f>
        <v>116.8729332716305</v>
      </c>
      <c r="H31" s="381">
        <f>ApndxB1!H28/ApndxB1!H$10*1000</f>
        <v>116.91186407928662</v>
      </c>
      <c r="I31" s="381">
        <f>ApndxB1!I28/ApndxB1!I$10*1000</f>
        <v>116.9894716276803</v>
      </c>
      <c r="J31" s="381">
        <f>ApndxB1!J28/ApndxB1!J$10*1000</f>
        <v>117.06682593819029</v>
      </c>
      <c r="K31" s="381">
        <f>ApndxB1!K28/ApndxB1!K$10*1000</f>
        <v>117.14392783714632</v>
      </c>
      <c r="L31" s="381">
        <f>ApndxB1!L28/ApndxB1!L$10*1000</f>
        <v>117.22077814818189</v>
      </c>
      <c r="M31" s="381">
        <f>ApndxB1!M28/ApndxB1!M$10*1000</f>
        <v>117.29737769224289</v>
      </c>
      <c r="N31" s="381">
        <f>ApndxB1!N28/ApndxB1!N$10*1000</f>
        <v>117.3737272875961</v>
      </c>
      <c r="O31" s="381">
        <f>ApndxB1!O28/ApndxB1!O$10*1000</f>
        <v>117.44982774983868</v>
      </c>
      <c r="P31" s="381">
        <f>ApndxB1!P28/ApndxB1!P$10*1000</f>
        <v>117.52567989190608</v>
      </c>
      <c r="Q31" s="381">
        <f>ApndxB1!Q28/ApndxB1!Q$10*1000</f>
        <v>117.60128452408161</v>
      </c>
      <c r="R31" s="381">
        <f>ApndxB1!R28/ApndxB1!R$10*1000</f>
        <v>117.6766424540039</v>
      </c>
      <c r="T31" s="381">
        <f>ApndxB1!T28/ApndxB1!T$10*1000</f>
        <v>116.92485512221553</v>
      </c>
      <c r="U31" s="381">
        <f>ApndxB1!U28/ApndxB1!U$10*1000</f>
        <v>117.1440116994879</v>
      </c>
      <c r="V31" s="381">
        <f>ApndxB1!V28/ApndxB1!V$10*1000</f>
        <v>117.37381033167064</v>
      </c>
      <c r="W31" s="381">
        <f>ApndxB1!W28/ApndxB1!W$10*1000</f>
        <v>117.60136675787319</v>
      </c>
      <c r="X31" s="381">
        <f>ApndxB1!X28/ApndxB1!X$10*1000</f>
        <v>111.9959224186789</v>
      </c>
      <c r="Y31" s="381">
        <f>ApndxB1!Y28/ApndxB1!Y$10*1000</f>
        <v>112.17082251819886</v>
      </c>
      <c r="Z31" s="381">
        <f>ApndxB1!Z28/ApndxB1!Z$10*1000</f>
        <v>112.34314740152941</v>
      </c>
      <c r="AA31" s="381">
        <f>ApndxB1!AA28/ApndxB1!AA$10*1000</f>
        <v>112.51295352895262</v>
      </c>
      <c r="AC31" s="381">
        <f>ApndxB1!AC28/ApndxB1!AC$10*1000</f>
        <v>117.26373482463605</v>
      </c>
      <c r="AD31" s="381">
        <f>ApndxB1!AD28/ApndxB1!AD$10*1000</f>
        <v>112.25730329400814</v>
      </c>
      <c r="AE31" s="381">
        <f>ApndxB1!AE28/ApndxB1!AE$10*1000</f>
        <v>106.84438096137835</v>
      </c>
      <c r="AF31" s="381">
        <f>ApndxB1!AF28/ApndxB1!AF$10*1000</f>
        <v>101.12356442200264</v>
      </c>
      <c r="AG31" s="381">
        <f>ApndxB1!AG28/ApndxB1!AG$10*1000</f>
        <v>95.082133631203234</v>
      </c>
    </row>
    <row r="33" spans="2:34" x14ac:dyDescent="0.25">
      <c r="B33" s="1" t="s">
        <v>161</v>
      </c>
    </row>
    <row r="34" spans="2:34" x14ac:dyDescent="0.25">
      <c r="C34" s="82" t="s">
        <v>167</v>
      </c>
      <c r="G34" s="13">
        <f>ApndxB1!G31/G$10*1000</f>
        <v>24.261565563837429</v>
      </c>
      <c r="H34" s="13">
        <f>ApndxB1!H31/H$10*1000</f>
        <v>24.221917436480954</v>
      </c>
      <c r="I34" s="13">
        <f>ApndxB1!I31/I$10*1000</f>
        <v>24.142879929997267</v>
      </c>
      <c r="J34" s="13">
        <f>ApndxB1!J31/J$10*1000</f>
        <v>24.064100327432527</v>
      </c>
      <c r="K34" s="13">
        <f>ApndxB1!K31/K$10*1000</f>
        <v>23.985577787231446</v>
      </c>
      <c r="L34" s="13">
        <f>ApndxB1!L31/L$10*1000</f>
        <v>23.907311470584769</v>
      </c>
      <c r="M34" s="13">
        <f>ApndxB1!M31/M$10*1000</f>
        <v>23.829300541420348</v>
      </c>
      <c r="N34" s="13">
        <f>ApndxB1!N31/N$10*1000</f>
        <v>23.751544166394169</v>
      </c>
      <c r="O34" s="13">
        <f>ApndxB1!O31/O$10*1000</f>
        <v>23.674041514881473</v>
      </c>
      <c r="P34" s="13">
        <f>ApndxB1!P31/P$10*1000</f>
        <v>23.596791758967875</v>
      </c>
      <c r="Q34" s="13">
        <f>ApndxB1!Q31/Q$10*1000</f>
        <v>23.519794073440526</v>
      </c>
      <c r="R34" s="13">
        <f>ApndxB1!R31/R$10*1000</f>
        <v>23.443047635779287</v>
      </c>
      <c r="T34" s="13">
        <f>ApndxB1!T31/T$10*1000</f>
        <v>24.208687027055845</v>
      </c>
      <c r="U34" s="13">
        <f>ApndxB1!U31/U$10*1000</f>
        <v>23.985492379684089</v>
      </c>
      <c r="V34" s="13">
        <f>ApndxB1!V31/V$10*1000</f>
        <v>23.75145959219083</v>
      </c>
      <c r="W34" s="13">
        <f>ApndxB1!W31/W$10*1000</f>
        <v>23.519710324450031</v>
      </c>
      <c r="X34" s="13">
        <f>ApndxB1!X31/X$10*1000</f>
        <v>23.900293521033838</v>
      </c>
      <c r="Y34" s="13">
        <f>ApndxB1!Y31/Y$10*1000</f>
        <v>23.723035472670176</v>
      </c>
      <c r="Z34" s="13">
        <f>ApndxB1!Z31/Z$10*1000</f>
        <v>23.548387358760948</v>
      </c>
      <c r="AA34" s="13">
        <f>ApndxB1!AA31/AA$10*1000</f>
        <v>23.376291957844302</v>
      </c>
      <c r="AC34" s="13">
        <f>ApndxB1!AC31/AC$10*1000</f>
        <v>23.863563295774068</v>
      </c>
      <c r="AD34" s="13">
        <f>ApndxB1!AD31/AD$10*1000</f>
        <v>23.635388789889376</v>
      </c>
      <c r="AE34" s="13">
        <f>ApndxB1!AE31/AE$10*1000</f>
        <v>23.52065389285108</v>
      </c>
      <c r="AF34" s="13">
        <f>ApndxB1!AF31/AF$10*1000</f>
        <v>23.406475961332383</v>
      </c>
      <c r="AG34" s="13">
        <f>ApndxB1!AG31/AG$10*1000</f>
        <v>23.292852291617169</v>
      </c>
    </row>
    <row r="35" spans="2:34" x14ac:dyDescent="0.25">
      <c r="C35" s="82" t="s">
        <v>162</v>
      </c>
      <c r="G35" s="13">
        <f>ApndxB1!G32/G$10*1000</f>
        <v>38.565065931174182</v>
      </c>
      <c r="H35" s="13">
        <f>ApndxB1!H32/H$10*1000</f>
        <v>38.565065931174175</v>
      </c>
      <c r="I35" s="13">
        <f>ApndxB1!I32/I$10*1000</f>
        <v>38.565065931174182</v>
      </c>
      <c r="J35" s="13">
        <f>ApndxB1!J32/J$10*1000</f>
        <v>38.565065931174189</v>
      </c>
      <c r="K35" s="13">
        <f>ApndxB1!K32/K$10*1000</f>
        <v>38.565065931174182</v>
      </c>
      <c r="L35" s="13">
        <f>ApndxB1!L32/L$10*1000</f>
        <v>38.565065931174182</v>
      </c>
      <c r="M35" s="13">
        <f>ApndxB1!M32/M$10*1000</f>
        <v>38.565065931174189</v>
      </c>
      <c r="N35" s="13">
        <f>ApndxB1!N32/N$10*1000</f>
        <v>38.565065931174182</v>
      </c>
      <c r="O35" s="13">
        <f>ApndxB1!O32/O$10*1000</f>
        <v>38.565065931174189</v>
      </c>
      <c r="P35" s="13">
        <f>ApndxB1!P32/P$10*1000</f>
        <v>38.565065931174175</v>
      </c>
      <c r="Q35" s="13">
        <f>ApndxB1!Q32/Q$10*1000</f>
        <v>38.565065931174189</v>
      </c>
      <c r="R35" s="13">
        <f>ApndxB1!R32/R$10*1000</f>
        <v>38.565065931174175</v>
      </c>
      <c r="T35" s="13">
        <f>ApndxB1!T32/T$10*1000</f>
        <v>38.565065931174182</v>
      </c>
      <c r="U35" s="13">
        <f>ApndxB1!U32/U$10*1000</f>
        <v>38.565065931174175</v>
      </c>
      <c r="V35" s="13">
        <f>ApndxB1!V32/V$10*1000</f>
        <v>38.565065931174189</v>
      </c>
      <c r="W35" s="13">
        <f>ApndxB1!W32/W$10*1000</f>
        <v>38.565065931174175</v>
      </c>
      <c r="X35" s="13">
        <f>ApndxB1!X32/X$10*1000</f>
        <v>38.950716590485911</v>
      </c>
      <c r="Y35" s="13">
        <f>ApndxB1!Y32/Y$10*1000</f>
        <v>38.950716590485925</v>
      </c>
      <c r="Z35" s="13">
        <f>ApndxB1!Z32/Z$10*1000</f>
        <v>38.950716590485918</v>
      </c>
      <c r="AA35" s="13">
        <f>ApndxB1!AA32/AA$10*1000</f>
        <v>38.950716590485918</v>
      </c>
      <c r="AC35" s="13">
        <f>ApndxB1!AC32/AC$10*1000</f>
        <v>38.565065931174189</v>
      </c>
      <c r="AD35" s="13">
        <f>ApndxB1!AD32/AD$10*1000</f>
        <v>38.950716590485918</v>
      </c>
      <c r="AE35" s="13">
        <f>ApndxB1!AE32/AE$10*1000</f>
        <v>39.340223756390792</v>
      </c>
      <c r="AF35" s="13">
        <f>ApndxB1!AF32/AF$10*1000</f>
        <v>39.733625993954696</v>
      </c>
      <c r="AG35" s="13">
        <f>ApndxB1!AG32/AG$10*1000</f>
        <v>40.130962253894239</v>
      </c>
    </row>
    <row r="36" spans="2:34" x14ac:dyDescent="0.25">
      <c r="C36" s="82" t="s">
        <v>233</v>
      </c>
      <c r="G36" s="13">
        <f>ApndxB1!G33/G$10*1000</f>
        <v>5.9174378856816601</v>
      </c>
      <c r="H36" s="13">
        <f>ApndxB1!H33/H$10*1000</f>
        <v>5.9077676387102427</v>
      </c>
      <c r="I36" s="13">
        <f>ApndxB1!I33/I$10*1000</f>
        <v>5.8884902539089294</v>
      </c>
      <c r="J36" s="13">
        <f>ApndxB1!J33/J$10*1000</f>
        <v>5.869275772320389</v>
      </c>
      <c r="K36" s="13">
        <f>ApndxB1!K33/K$10*1000</f>
        <v>5.8501239886878267</v>
      </c>
      <c r="L36" s="13">
        <f>ApndxB1!L33/L$10*1000</f>
        <v>5.8310346984242125</v>
      </c>
      <c r="M36" s="13">
        <f>ApndxB1!M33/M$10*1000</f>
        <v>5.8120076976100998</v>
      </c>
      <c r="N36" s="13">
        <f>ApndxB1!N33/N$10*1000</f>
        <v>5.7930427829914404</v>
      </c>
      <c r="O36" s="13">
        <f>ApndxB1!O33/O$10*1000</f>
        <v>5.7741397519774162</v>
      </c>
      <c r="P36" s="13">
        <f>ApndxB1!P33/P$10*1000</f>
        <v>5.7552984026382727</v>
      </c>
      <c r="Q36" s="13">
        <f>ApndxB1!Q33/Q$10*1000</f>
        <v>5.7365185337031672</v>
      </c>
      <c r="R36" s="13">
        <f>ApndxB1!R33/R$10*1000</f>
        <v>5.7177999445580125</v>
      </c>
      <c r="T36" s="13">
        <f>ApndxB1!T33/T$10*1000</f>
        <v>5.9045407189235029</v>
      </c>
      <c r="U36" s="13">
        <f>ApndxB1!U33/U$10*1000</f>
        <v>5.8501031576390181</v>
      </c>
      <c r="V36" s="13">
        <f>ApndxB1!V33/V$10*1000</f>
        <v>5.793022155196681</v>
      </c>
      <c r="W36" s="13">
        <f>ApndxB1!W33/W$10*1000</f>
        <v>5.7364981071792513</v>
      </c>
      <c r="X36" s="13">
        <f>ApndxB1!X33/X$10*1000</f>
        <v>5.7293263566199641</v>
      </c>
      <c r="Y36" s="13">
        <f>ApndxB1!Y33/Y$10*1000</f>
        <v>5.729014102225455</v>
      </c>
      <c r="Z36" s="13">
        <f>ApndxB1!Z33/Z$10*1000</f>
        <v>5.7290169918149436</v>
      </c>
      <c r="AA36" s="13">
        <f>ApndxB1!AA33/AA$10*1000</f>
        <v>5.7293304025312484</v>
      </c>
      <c r="AC36" s="13">
        <f>ApndxB1!AC33/AC$10*1000</f>
        <v>5.8203644427734327</v>
      </c>
      <c r="AD36" s="13">
        <f>ApndxB1!AD33/AD$10*1000</f>
        <v>5.7291719771778205</v>
      </c>
      <c r="AE36" s="13">
        <f>ApndxB1!AE33/AE$10*1000</f>
        <v>5.7291719771778213</v>
      </c>
      <c r="AF36" s="13">
        <f>ApndxB1!AF33/AF$10*1000</f>
        <v>5.7291719771778213</v>
      </c>
      <c r="AG36" s="13">
        <f>ApndxB1!AG33/AG$10*1000</f>
        <v>5.7291719771778213</v>
      </c>
    </row>
    <row r="37" spans="2:34" x14ac:dyDescent="0.25">
      <c r="C37" s="82" t="s">
        <v>275</v>
      </c>
      <c r="G37" s="13">
        <f>ApndxB1!G34/G$10*1000</f>
        <v>3.8565065931174178</v>
      </c>
      <c r="H37" s="13">
        <f>ApndxB1!H34/H$10*1000</f>
        <v>3.8565065931174174</v>
      </c>
      <c r="I37" s="13">
        <f>ApndxB1!I34/I$10*1000</f>
        <v>3.8565065931174178</v>
      </c>
      <c r="J37" s="13">
        <f>ApndxB1!J34/J$10*1000</f>
        <v>3.8565065931174183</v>
      </c>
      <c r="K37" s="13">
        <f>ApndxB1!K34/K$10*1000</f>
        <v>3.8565065931174178</v>
      </c>
      <c r="L37" s="13">
        <f>ApndxB1!L34/L$10*1000</f>
        <v>3.8565065931174174</v>
      </c>
      <c r="M37" s="13">
        <f>ApndxB1!M34/M$10*1000</f>
        <v>3.8565065931174183</v>
      </c>
      <c r="N37" s="13">
        <f>ApndxB1!N34/N$10*1000</f>
        <v>3.8565065931174174</v>
      </c>
      <c r="O37" s="13">
        <f>ApndxB1!O34/O$10*1000</f>
        <v>3.8565065931174183</v>
      </c>
      <c r="P37" s="13">
        <f>ApndxB1!P34/P$10*1000</f>
        <v>3.8565065931174174</v>
      </c>
      <c r="Q37" s="13">
        <f>ApndxB1!Q34/Q$10*1000</f>
        <v>3.8565065931174183</v>
      </c>
      <c r="R37" s="13">
        <f>ApndxB1!R34/R$10*1000</f>
        <v>3.8565065931174174</v>
      </c>
      <c r="T37" s="13">
        <f>ApndxB1!T34/T$10*1000</f>
        <v>3.8565065931174178</v>
      </c>
      <c r="U37" s="13">
        <f>ApndxB1!U34/U$10*1000</f>
        <v>3.8565065931174174</v>
      </c>
      <c r="V37" s="13">
        <f>ApndxB1!V34/V$10*1000</f>
        <v>3.8565065931174183</v>
      </c>
      <c r="W37" s="13">
        <f>ApndxB1!W34/W$10*1000</f>
        <v>3.8565065931174174</v>
      </c>
      <c r="X37" s="13">
        <f>ApndxB1!X34/X$10*1000</f>
        <v>3.8950716590485919</v>
      </c>
      <c r="Y37" s="13">
        <f>ApndxB1!Y34/Y$10*1000</f>
        <v>3.8950716590485932</v>
      </c>
      <c r="Z37" s="13">
        <f>ApndxB1!Z34/Z$10*1000</f>
        <v>3.8950716590485928</v>
      </c>
      <c r="AA37" s="13">
        <f>ApndxB1!AA34/AA$10*1000</f>
        <v>3.8950716590485923</v>
      </c>
      <c r="AC37" s="13">
        <f>ApndxB1!AC34/AC$10*1000</f>
        <v>3.8565065931174187</v>
      </c>
      <c r="AD37" s="13">
        <f>ApndxB1!AD34/AD$10*1000</f>
        <v>3.8950716590485928</v>
      </c>
      <c r="AE37" s="13">
        <f>ApndxB1!AE34/AE$10*1000</f>
        <v>3.9340223756390795</v>
      </c>
      <c r="AF37" s="13">
        <f>ApndxB1!AF34/AF$10*1000</f>
        <v>3.97336259939547</v>
      </c>
      <c r="AG37" s="13">
        <f>ApndxB1!AG34/AG$10*1000</f>
        <v>4.0130962253894236</v>
      </c>
    </row>
    <row r="38" spans="2:34" ht="17.25" x14ac:dyDescent="0.4">
      <c r="C38" s="82" t="s">
        <v>163</v>
      </c>
      <c r="G38" s="558">
        <f>ApndxB1!G35/G$10*1000</f>
        <v>1.410914244775068</v>
      </c>
      <c r="H38" s="558">
        <f>ApndxB1!H35/H$10*1000</f>
        <v>1.4086085358743494</v>
      </c>
      <c r="I38" s="558">
        <f>ApndxB1!I35/I$10*1000</f>
        <v>1.404012165393808</v>
      </c>
      <c r="J38" s="558">
        <f>ApndxB1!J35/J$10*1000</f>
        <v>1.3994307931338918</v>
      </c>
      <c r="K38" s="558">
        <f>ApndxB1!K35/K$10*1000</f>
        <v>1.3948643701545453</v>
      </c>
      <c r="L38" s="558">
        <f>ApndxB1!L35/L$10*1000</f>
        <v>1.3903128476754079</v>
      </c>
      <c r="M38" s="558">
        <f>ApndxB1!M35/M$10*1000</f>
        <v>1.385776177075293</v>
      </c>
      <c r="N38" s="558">
        <f>ApndxB1!N35/N$10*1000</f>
        <v>1.381254309891667</v>
      </c>
      <c r="O38" s="558">
        <f>ApndxB1!O35/O$10*1000</f>
        <v>1.3767471978201324</v>
      </c>
      <c r="P38" s="558">
        <f>ApndxB1!P35/P$10*1000</f>
        <v>1.3722547927139115</v>
      </c>
      <c r="Q38" s="558">
        <f>ApndxB1!Q35/Q$10*1000</f>
        <v>1.367777046583333</v>
      </c>
      <c r="R38" s="558">
        <f>ApndxB1!R35/R$10*1000</f>
        <v>1.3633139115953181</v>
      </c>
      <c r="S38" s="704"/>
      <c r="T38" s="558">
        <f>ApndxB1!T35/T$10*1000</f>
        <v>1.4078391307395908</v>
      </c>
      <c r="U38" s="558">
        <f>ApndxB1!U35/U$10*1000</f>
        <v>1.3948594033388277</v>
      </c>
      <c r="V38" s="558">
        <f>ApndxB1!V35/V$10*1000</f>
        <v>1.3812493915384831</v>
      </c>
      <c r="W38" s="558">
        <f>ApndxB1!W35/W$10*1000</f>
        <v>1.3677721762198207</v>
      </c>
      <c r="X38" s="558">
        <f>ApndxB1!X35/X$10*1000</f>
        <v>13.192365750237585</v>
      </c>
      <c r="Y38" s="558">
        <f>ApndxB1!Y35/Y$10*1000</f>
        <v>13.094523729840274</v>
      </c>
      <c r="Z38" s="558">
        <f>ApndxB1!Z35/Z$10*1000</f>
        <v>12.998122328148197</v>
      </c>
      <c r="AA38" s="558">
        <f>ApndxB1!AA35/AA$10*1000</f>
        <v>12.903129960341998</v>
      </c>
      <c r="AB38" s="704"/>
      <c r="AC38" s="558">
        <f>ApndxB1!AC35/AC$10*1000</f>
        <v>1.3877687034048778</v>
      </c>
      <c r="AD38" s="558">
        <f>ApndxB1!AD35/AD$10*1000</f>
        <v>13.04614494758717</v>
      </c>
      <c r="AE38" s="558">
        <f>ApndxB1!AE35/AE$10*1000</f>
        <v>11.618995348022985</v>
      </c>
      <c r="AF38" s="558">
        <f>ApndxB1!AF35/AF$10*1000</f>
        <v>11.280578007789305</v>
      </c>
      <c r="AG38" s="558">
        <f>ApndxB1!AG35/AG$10*1000</f>
        <v>10.952017483290588</v>
      </c>
    </row>
    <row r="39" spans="2:34" x14ac:dyDescent="0.25">
      <c r="G39" s="13">
        <f>ApndxB1!G36/ApndxB1!G$10*1000</f>
        <v>74.011490218585763</v>
      </c>
      <c r="H39" s="13">
        <f>ApndxB1!H36/ApndxB1!H$10*1000</f>
        <v>73.959866135357132</v>
      </c>
      <c r="I39" s="13">
        <f>ApndxB1!I36/ApndxB1!I$10*1000</f>
        <v>73.85695487359159</v>
      </c>
      <c r="J39" s="13">
        <f>ApndxB1!J36/ApndxB1!J$10*1000</f>
        <v>73.754379417178413</v>
      </c>
      <c r="K39" s="13">
        <f>ApndxB1!K36/ApndxB1!K$10*1000</f>
        <v>73.652138670365403</v>
      </c>
      <c r="L39" s="13">
        <f>ApndxB1!L36/ApndxB1!L$10*1000</f>
        <v>73.550231540975986</v>
      </c>
      <c r="M39" s="13">
        <f>ApndxB1!M36/ApndxB1!M$10*1000</f>
        <v>73.448656940397328</v>
      </c>
      <c r="N39" s="13">
        <f>ApndxB1!N36/ApndxB1!N$10*1000</f>
        <v>73.347413783568868</v>
      </c>
      <c r="O39" s="13">
        <f>ApndxB1!O36/ApndxB1!O$10*1000</f>
        <v>73.24650098897061</v>
      </c>
      <c r="P39" s="13">
        <f>ApndxB1!P36/ApndxB1!P$10*1000</f>
        <v>73.145917478611651</v>
      </c>
      <c r="Q39" s="13">
        <f>ApndxB1!Q36/ApndxB1!Q$10*1000</f>
        <v>73.045662178018631</v>
      </c>
      <c r="R39" s="13">
        <f>ApndxB1!R36/ApndxB1!R$10*1000</f>
        <v>72.945734016224208</v>
      </c>
      <c r="S39" s="13"/>
      <c r="T39" s="13">
        <f>ApndxB1!T36/ApndxB1!T$10*1000</f>
        <v>73.942639401010538</v>
      </c>
      <c r="U39" s="13">
        <f>ApndxB1!U36/ApndxB1!U$10*1000</f>
        <v>73.65202746495352</v>
      </c>
      <c r="V39" s="13">
        <f>ApndxB1!V36/ApndxB1!V$10*1000</f>
        <v>73.347303663217588</v>
      </c>
      <c r="W39" s="13">
        <f>ApndxB1!W36/ApndxB1!W$10*1000</f>
        <v>73.045553132140682</v>
      </c>
      <c r="X39" s="13">
        <f>ApndxB1!X36/ApndxB1!X$10*1000</f>
        <v>85.667773877425901</v>
      </c>
      <c r="Y39" s="13">
        <f>ApndxB1!Y36/ApndxB1!Y$10*1000</f>
        <v>85.392361554270423</v>
      </c>
      <c r="Z39" s="13">
        <f>ApndxB1!Z36/ApndxB1!Z$10*1000</f>
        <v>85.121314928258613</v>
      </c>
      <c r="AA39" s="13">
        <f>ApndxB1!AA36/ApndxB1!AA$10*1000</f>
        <v>84.854540570252055</v>
      </c>
      <c r="AB39" s="13"/>
      <c r="AC39" s="13">
        <f>ApndxB1!AC36/ApndxB1!AC$10*1000</f>
        <v>73.493268966243988</v>
      </c>
      <c r="AD39" s="13">
        <f>ApndxB1!AD36/ApndxB1!AD$10*1000</f>
        <v>85.256493964188877</v>
      </c>
      <c r="AE39" s="13">
        <f>ApndxB1!AE36/ApndxB1!AE$10*1000</f>
        <v>84.143067350081765</v>
      </c>
      <c r="AF39" s="13">
        <f>ApndxB1!AF36/ApndxB1!AF$10*1000</f>
        <v>84.12321453964968</v>
      </c>
      <c r="AG39" s="13">
        <f>ApndxB1!AG36/ApndxB1!AG$10*1000</f>
        <v>84.11810023136924</v>
      </c>
      <c r="AH39" s="13"/>
    </row>
    <row r="41" spans="2:34" x14ac:dyDescent="0.25">
      <c r="B41" s="1" t="s">
        <v>164</v>
      </c>
      <c r="G41" s="13">
        <f>ApndxB1!G38/G$10*1000</f>
        <v>42.861443053044752</v>
      </c>
      <c r="H41" s="13">
        <f>ApndxB1!H38/H$10*1000</f>
        <v>42.951997943929477</v>
      </c>
      <c r="I41" s="13">
        <f>ApndxB1!I38/I$10*1000</f>
        <v>43.132516754088719</v>
      </c>
      <c r="J41" s="13">
        <f>ApndxB1!J38/J$10*1000</f>
        <v>43.312446521011886</v>
      </c>
      <c r="K41" s="13">
        <f>ApndxB1!K38/K$10*1000</f>
        <v>43.491789166780912</v>
      </c>
      <c r="L41" s="13">
        <f>ApndxB1!L38/L$10*1000</f>
        <v>43.670546607205921</v>
      </c>
      <c r="M41" s="13">
        <f>ApndxB1!M38/M$10*1000</f>
        <v>43.848720751845569</v>
      </c>
      <c r="N41" s="13">
        <f>ApndxB1!N38/N$10*1000</f>
        <v>44.026313504027236</v>
      </c>
      <c r="O41" s="13">
        <f>ApndxB1!O38/O$10*1000</f>
        <v>44.203326760868066</v>
      </c>
      <c r="P41" s="13">
        <f>ApndxB1!P38/P$10*1000</f>
        <v>44.379762413294443</v>
      </c>
      <c r="Q41" s="13">
        <f>ApndxB1!Q38/Q$10*1000</f>
        <v>44.555622346062997</v>
      </c>
      <c r="R41" s="13">
        <f>ApndxB1!R38/R$10*1000</f>
        <v>44.730908437779689</v>
      </c>
      <c r="T41" s="13">
        <f>ApndxB1!T38/T$10*1000</f>
        <v>42.982215721205002</v>
      </c>
      <c r="U41" s="13">
        <f>ApndxB1!U38/U$10*1000</f>
        <v>43.491984234534392</v>
      </c>
      <c r="V41" s="13">
        <f>ApndxB1!V38/V$10*1000</f>
        <v>44.026506668453045</v>
      </c>
      <c r="W41" s="13">
        <f>ApndxB1!W38/W$10*1000</f>
        <v>44.555813625732505</v>
      </c>
      <c r="X41" s="13">
        <f>ApndxB1!X38/X$10*1000</f>
        <v>26.328148541252993</v>
      </c>
      <c r="Y41" s="13">
        <f>ApndxB1!Y38/Y$10*1000</f>
        <v>26.778460963928435</v>
      </c>
      <c r="Z41" s="13">
        <f>ApndxB1!Z38/Z$10*1000</f>
        <v>27.221832473270798</v>
      </c>
      <c r="AA41" s="13">
        <f>ApndxB1!AA38/AA$10*1000</f>
        <v>27.658412958700545</v>
      </c>
      <c r="AC41" s="13">
        <f>ApndxB1!AC38/AC$10*1000</f>
        <v>43.770465858392058</v>
      </c>
      <c r="AD41" s="13">
        <f>ApndxB1!AD38/AD$10*1000</f>
        <v>27.000809329819255</v>
      </c>
      <c r="AE41" s="13">
        <f>ApndxB1!AE38/AE$10*1000</f>
        <v>22.701313611296595</v>
      </c>
      <c r="AF41" s="13">
        <f>ApndxB1!AF38/AF$10*1000</f>
        <v>17.000349882352964</v>
      </c>
      <c r="AG41" s="13">
        <f>ApndxB1!AG38/AG$10*1000</f>
        <v>10.964033399833975</v>
      </c>
    </row>
    <row r="42" spans="2:34" x14ac:dyDescent="0.25">
      <c r="G42" s="381"/>
      <c r="H42" s="381"/>
      <c r="I42" s="381"/>
      <c r="J42" s="381"/>
      <c r="K42" s="381"/>
      <c r="L42" s="381"/>
      <c r="M42" s="381"/>
      <c r="N42" s="381"/>
      <c r="O42" s="381"/>
      <c r="P42" s="381"/>
      <c r="Q42" s="381"/>
      <c r="R42" s="381"/>
      <c r="T42" s="381"/>
      <c r="U42" s="381"/>
      <c r="V42" s="381"/>
      <c r="W42" s="381"/>
      <c r="X42" s="381"/>
      <c r="Y42" s="381"/>
      <c r="Z42" s="381"/>
      <c r="AA42" s="381"/>
      <c r="AC42" s="381"/>
      <c r="AD42" s="381"/>
      <c r="AE42" s="381"/>
      <c r="AF42" s="381"/>
      <c r="AG42" s="381"/>
    </row>
    <row r="43" spans="2:34" x14ac:dyDescent="0.25">
      <c r="C43" s="1" t="s">
        <v>165</v>
      </c>
      <c r="G43" s="13">
        <f>ApndxB1!G40/G$10*1000</f>
        <v>0</v>
      </c>
      <c r="H43" s="13">
        <f>ApndxB1!H40/H$10*1000</f>
        <v>0</v>
      </c>
      <c r="I43" s="13">
        <f>ApndxB1!I40/I$10*1000</f>
        <v>0</v>
      </c>
      <c r="J43" s="13">
        <f>ApndxB1!J40/J$10*1000</f>
        <v>0</v>
      </c>
      <c r="K43" s="13">
        <f>ApndxB1!K40/K$10*1000</f>
        <v>0</v>
      </c>
      <c r="L43" s="13">
        <f>ApndxB1!L40/L$10*1000</f>
        <v>0</v>
      </c>
      <c r="M43" s="13">
        <f>ApndxB1!M40/M$10*1000</f>
        <v>0</v>
      </c>
      <c r="N43" s="13">
        <f>ApndxB1!N40/N$10*1000</f>
        <v>0</v>
      </c>
      <c r="O43" s="13">
        <f>ApndxB1!O40/O$10*1000</f>
        <v>0</v>
      </c>
      <c r="P43" s="13">
        <f>ApndxB1!P40/P$10*1000</f>
        <v>0</v>
      </c>
      <c r="Q43" s="13">
        <f>ApndxB1!Q40/Q$10*1000</f>
        <v>0</v>
      </c>
      <c r="R43" s="13">
        <f>ApndxB1!R40/R$10*1000</f>
        <v>0</v>
      </c>
      <c r="T43" s="13">
        <f>ApndxB1!T40/T$10*1000</f>
        <v>0</v>
      </c>
      <c r="U43" s="13">
        <f>ApndxB1!U40/U$10*1000</f>
        <v>0</v>
      </c>
      <c r="V43" s="13">
        <f>ApndxB1!V40/V$10*1000</f>
        <v>0</v>
      </c>
      <c r="W43" s="13">
        <f>ApndxB1!W40/W$10*1000</f>
        <v>0</v>
      </c>
      <c r="X43" s="13">
        <f>ApndxB1!X40/X$10*1000</f>
        <v>0</v>
      </c>
      <c r="Y43" s="13">
        <f>ApndxB1!Y40/Y$10*1000</f>
        <v>0</v>
      </c>
      <c r="Z43" s="13">
        <f>ApndxB1!Z40/Z$10*1000</f>
        <v>0</v>
      </c>
      <c r="AA43" s="13">
        <f>ApndxB1!AA40/AA$10*1000</f>
        <v>0</v>
      </c>
      <c r="AC43" s="13">
        <f>ApndxB1!AC40/AC$10*1000</f>
        <v>0</v>
      </c>
      <c r="AD43" s="13">
        <f>ApndxB1!AD40/AD$10*1000</f>
        <v>0</v>
      </c>
      <c r="AE43" s="13">
        <f>ApndxB1!AE40/AE$10*1000</f>
        <v>0</v>
      </c>
      <c r="AF43" s="13">
        <f>ApndxB1!AF40/AF$10*1000</f>
        <v>0</v>
      </c>
      <c r="AG43" s="13">
        <f>ApndxB1!AG40/AG$10*1000</f>
        <v>0</v>
      </c>
    </row>
    <row r="45" spans="2:34" ht="15.75" thickBot="1" x14ac:dyDescent="0.3">
      <c r="B45" s="687" t="s">
        <v>166</v>
      </c>
      <c r="C45" s="687"/>
      <c r="D45" s="687"/>
      <c r="E45" s="687"/>
      <c r="F45" s="687"/>
      <c r="G45" s="688">
        <f>ApndxB1!G42/G$10*1000</f>
        <v>42.861443053044752</v>
      </c>
      <c r="H45" s="688">
        <f>ApndxB1!H42/H$10*1000</f>
        <v>42.951997943929477</v>
      </c>
      <c r="I45" s="688">
        <f>ApndxB1!I42/I$10*1000</f>
        <v>43.132516754088719</v>
      </c>
      <c r="J45" s="688">
        <f>ApndxB1!J42/J$10*1000</f>
        <v>43.312446521011886</v>
      </c>
      <c r="K45" s="688">
        <f>ApndxB1!K42/K$10*1000</f>
        <v>43.491789166780912</v>
      </c>
      <c r="L45" s="688">
        <f>ApndxB1!L42/L$10*1000</f>
        <v>43.670546607205921</v>
      </c>
      <c r="M45" s="688">
        <f>ApndxB1!M42/M$10*1000</f>
        <v>43.848720751845569</v>
      </c>
      <c r="N45" s="688">
        <f>ApndxB1!N42/N$10*1000</f>
        <v>44.026313504027236</v>
      </c>
      <c r="O45" s="688">
        <f>ApndxB1!O42/O$10*1000</f>
        <v>44.203326760868066</v>
      </c>
      <c r="P45" s="688">
        <f>ApndxB1!P42/P$10*1000</f>
        <v>44.379762413294443</v>
      </c>
      <c r="Q45" s="688">
        <f>ApndxB1!Q42/Q$10*1000</f>
        <v>44.555622346062997</v>
      </c>
      <c r="R45" s="688">
        <f>ApndxB1!R42/R$10*1000</f>
        <v>44.730908437779689</v>
      </c>
      <c r="S45" s="688"/>
      <c r="T45" s="688">
        <f>ApndxB1!T42/T$10*1000</f>
        <v>42.982215721205002</v>
      </c>
      <c r="U45" s="688">
        <f>ApndxB1!U42/U$10*1000</f>
        <v>43.491984234534392</v>
      </c>
      <c r="V45" s="688">
        <f>ApndxB1!V42/V$10*1000</f>
        <v>44.026506668453045</v>
      </c>
      <c r="W45" s="688">
        <f>ApndxB1!W42/W$10*1000</f>
        <v>44.555813625732505</v>
      </c>
      <c r="X45" s="688">
        <f>ApndxB1!X42/X$10*1000</f>
        <v>26.328148541252993</v>
      </c>
      <c r="Y45" s="688">
        <f>ApndxB1!Y42/Y$10*1000</f>
        <v>26.778460963928435</v>
      </c>
      <c r="Z45" s="688">
        <f>ApndxB1!Z42/Z$10*1000</f>
        <v>27.221832473270798</v>
      </c>
      <c r="AA45" s="688">
        <f>ApndxB1!AA42/AA$10*1000</f>
        <v>27.658412958700545</v>
      </c>
      <c r="AB45" s="688"/>
      <c r="AC45" s="688">
        <f>ApndxB1!AC42/AC$10*1000</f>
        <v>43.770465858392058</v>
      </c>
      <c r="AD45" s="688">
        <f>ApndxB1!AD42/AD$10*1000</f>
        <v>27.000809329819255</v>
      </c>
      <c r="AE45" s="688">
        <f>ApndxB1!AE42/AE$10*1000</f>
        <v>22.701313611296595</v>
      </c>
      <c r="AF45" s="688">
        <f>ApndxB1!AF42/AF$10*1000</f>
        <v>17.000349882352964</v>
      </c>
      <c r="AG45" s="688">
        <f>ApndxB1!AG42/AG$10*1000</f>
        <v>10.964033399833975</v>
      </c>
    </row>
    <row r="46" spans="2:34" s="516" customFormat="1" ht="15.75" thickTop="1" x14ac:dyDescent="0.25">
      <c r="C46" s="516" t="s">
        <v>589</v>
      </c>
      <c r="G46" s="13">
        <f>ApndxB1!G43/G$10*1000</f>
        <v>0</v>
      </c>
      <c r="H46" s="13">
        <f>ApndxB1!H43/H$10*1000</f>
        <v>0</v>
      </c>
      <c r="I46" s="13">
        <f>ApndxB1!I43/I$10*1000</f>
        <v>0</v>
      </c>
      <c r="J46" s="13">
        <f>ApndxB1!J43/J$10*1000</f>
        <v>0</v>
      </c>
      <c r="K46" s="13">
        <f>ApndxB1!K43/K$10*1000</f>
        <v>0</v>
      </c>
      <c r="L46" s="13">
        <f>ApndxB1!L43/L$10*1000</f>
        <v>0</v>
      </c>
      <c r="M46" s="13">
        <f>ApndxB1!M43/M$10*1000</f>
        <v>0</v>
      </c>
      <c r="N46" s="13">
        <f>ApndxB1!N43/N$10*1000</f>
        <v>0</v>
      </c>
      <c r="O46" s="13">
        <f>ApndxB1!O43/O$10*1000</f>
        <v>0</v>
      </c>
      <c r="P46" s="13">
        <f>ApndxB1!P43/P$10*1000</f>
        <v>0</v>
      </c>
      <c r="Q46" s="13">
        <f>ApndxB1!Q43/Q$10*1000</f>
        <v>0</v>
      </c>
      <c r="R46" s="13">
        <f>ApndxB1!R43/R$10*1000</f>
        <v>0</v>
      </c>
      <c r="S46" s="705"/>
      <c r="T46" s="13">
        <f>ApndxB1!T43/T$10*1000</f>
        <v>0</v>
      </c>
      <c r="U46" s="13">
        <f>ApndxB1!U43/U$10*1000</f>
        <v>0</v>
      </c>
      <c r="V46" s="13">
        <f>ApndxB1!V43/V$10*1000</f>
        <v>0</v>
      </c>
      <c r="W46" s="13">
        <f>ApndxB1!W43/W$10*1000</f>
        <v>0</v>
      </c>
      <c r="X46" s="13">
        <f>ApndxB1!X43/X$10*1000</f>
        <v>0</v>
      </c>
      <c r="Y46" s="13">
        <f>ApndxB1!Y43/Y$10*1000</f>
        <v>0</v>
      </c>
      <c r="Z46" s="13">
        <f>ApndxB1!Z43/Z$10*1000</f>
        <v>0</v>
      </c>
      <c r="AA46" s="13">
        <f>ApndxB1!AA43/AA$10*1000</f>
        <v>0</v>
      </c>
      <c r="AB46" s="705"/>
      <c r="AC46" s="13">
        <f>ApndxB1!AC43/AC$10*1000</f>
        <v>0</v>
      </c>
      <c r="AD46" s="13">
        <f>ApndxB1!AD43/AD$10*1000</f>
        <v>0</v>
      </c>
      <c r="AE46" s="13">
        <f>ApndxB1!AE43/AE$10*1000</f>
        <v>0</v>
      </c>
      <c r="AF46" s="13">
        <f>ApndxB1!AF43/AF$10*1000</f>
        <v>0</v>
      </c>
      <c r="AG46" s="13">
        <f>ApndxB1!AG43/AG$10*1000</f>
        <v>0</v>
      </c>
    </row>
    <row r="47" spans="2:34" s="516" customFormat="1" x14ac:dyDescent="0.25">
      <c r="C47" s="516" t="s">
        <v>590</v>
      </c>
      <c r="G47" s="13">
        <f>ApndxB1!G44/G$10*1000</f>
        <v>42.861443053044752</v>
      </c>
      <c r="H47" s="13">
        <f>ApndxB1!H44/H$10*1000</f>
        <v>42.951997943929477</v>
      </c>
      <c r="I47" s="13">
        <f>ApndxB1!I44/I$10*1000</f>
        <v>43.132516754088719</v>
      </c>
      <c r="J47" s="13">
        <f>ApndxB1!J44/J$10*1000</f>
        <v>43.312446521011886</v>
      </c>
      <c r="K47" s="13">
        <f>ApndxB1!K44/K$10*1000</f>
        <v>43.491789166780912</v>
      </c>
      <c r="L47" s="13">
        <f>ApndxB1!L44/L$10*1000</f>
        <v>43.670546607205921</v>
      </c>
      <c r="M47" s="13">
        <f>ApndxB1!M44/M$10*1000</f>
        <v>43.848720751845569</v>
      </c>
      <c r="N47" s="13">
        <f>ApndxB1!N44/N$10*1000</f>
        <v>44.026313504027236</v>
      </c>
      <c r="O47" s="13">
        <f>ApndxB1!O44/O$10*1000</f>
        <v>44.203326760868066</v>
      </c>
      <c r="P47" s="13">
        <f>ApndxB1!P44/P$10*1000</f>
        <v>44.379762413294443</v>
      </c>
      <c r="Q47" s="13">
        <f>ApndxB1!Q44/Q$10*1000</f>
        <v>44.555622346062997</v>
      </c>
      <c r="R47" s="13">
        <f>ApndxB1!R44/R$10*1000</f>
        <v>44.730908437779689</v>
      </c>
      <c r="S47" s="705"/>
      <c r="T47" s="705">
        <f>ApndxB1!T44/T$10*1000</f>
        <v>42.982215721205002</v>
      </c>
      <c r="U47" s="705">
        <f>ApndxB1!U44/U$10*1000</f>
        <v>43.491984234534392</v>
      </c>
      <c r="V47" s="705">
        <f>ApndxB1!V44/V$10*1000</f>
        <v>44.026506668453045</v>
      </c>
      <c r="W47" s="705">
        <f>ApndxB1!W44/W$10*1000</f>
        <v>44.555813625732505</v>
      </c>
      <c r="X47" s="705">
        <f>ApndxB1!X44/X$10*1000</f>
        <v>26.328148541252993</v>
      </c>
      <c r="Y47" s="705">
        <f>ApndxB1!Y44/Y$10*1000</f>
        <v>26.778460963928435</v>
      </c>
      <c r="Z47" s="705">
        <f>ApndxB1!Z44/Z$10*1000</f>
        <v>27.221832473270798</v>
      </c>
      <c r="AA47" s="705">
        <f>ApndxB1!AA44/AA$10*1000</f>
        <v>27.658412958700545</v>
      </c>
      <c r="AB47" s="705"/>
      <c r="AC47" s="705">
        <f>ApndxB1!AC44/AC$10*1000</f>
        <v>43.770465858392058</v>
      </c>
      <c r="AD47" s="705">
        <f>ApndxB1!AD44/AD$10*1000</f>
        <v>27.000809329819255</v>
      </c>
      <c r="AE47" s="705">
        <f>ApndxB1!AE44/AE$10*1000</f>
        <v>22.701313611296595</v>
      </c>
      <c r="AF47" s="705">
        <f>ApndxB1!AF44/AF$10*1000</f>
        <v>17.000349882352964</v>
      </c>
      <c r="AG47" s="705">
        <f>ApndxB1!AG44/AG$10*1000</f>
        <v>10.964033399833975</v>
      </c>
    </row>
    <row r="48" spans="2:34" x14ac:dyDescent="0.25">
      <c r="G48" s="381"/>
      <c r="H48" s="381"/>
      <c r="I48" s="381"/>
      <c r="J48" s="381"/>
      <c r="K48" s="381"/>
      <c r="L48" s="381"/>
      <c r="M48" s="381"/>
      <c r="N48" s="381"/>
      <c r="O48" s="381"/>
      <c r="P48" s="381"/>
      <c r="Q48" s="381"/>
      <c r="R48" s="381"/>
      <c r="T48" s="381"/>
      <c r="U48" s="381"/>
      <c r="V48" s="381"/>
      <c r="W48" s="381"/>
      <c r="X48" s="381"/>
      <c r="Y48" s="381"/>
      <c r="Z48" s="381"/>
      <c r="AA48" s="381"/>
      <c r="AC48" s="381"/>
      <c r="AD48" s="381"/>
      <c r="AE48" s="381"/>
      <c r="AF48" s="381"/>
      <c r="AG48" s="381"/>
    </row>
    <row r="49" spans="2:33" x14ac:dyDescent="0.25">
      <c r="B49" s="1" t="s">
        <v>38</v>
      </c>
      <c r="G49" s="13">
        <f>ApndxB1!G46/G$10*1000</f>
        <v>44.272357297819823</v>
      </c>
      <c r="H49" s="13">
        <f>ApndxB1!H46/H$10*1000</f>
        <v>44.360606479803828</v>
      </c>
      <c r="I49" s="13">
        <f>ApndxB1!I46/I$10*1000</f>
        <v>44.536528919482521</v>
      </c>
      <c r="J49" s="13">
        <f>ApndxB1!J46/J$10*1000</f>
        <v>44.711877314145774</v>
      </c>
      <c r="K49" s="13">
        <f>ApndxB1!K46/K$10*1000</f>
        <v>44.886653536935455</v>
      </c>
      <c r="L49" s="13">
        <f>ApndxB1!L46/L$10*1000</f>
        <v>45.060859454881331</v>
      </c>
      <c r="M49" s="13">
        <f>ApndxB1!M46/M$10*1000</f>
        <v>45.234496928920855</v>
      </c>
      <c r="N49" s="13">
        <f>ApndxB1!N46/N$10*1000</f>
        <v>45.407567813918895</v>
      </c>
      <c r="O49" s="13">
        <f>ApndxB1!O46/O$10*1000</f>
        <v>45.580073958688189</v>
      </c>
      <c r="P49" s="13">
        <f>ApndxB1!P46/P$10*1000</f>
        <v>45.752017206008347</v>
      </c>
      <c r="Q49" s="13">
        <f>ApndxB1!Q46/Q$10*1000</f>
        <v>45.923399392646324</v>
      </c>
      <c r="R49" s="13">
        <f>ApndxB1!R46/R$10*1000</f>
        <v>46.094222349375002</v>
      </c>
      <c r="T49" s="13">
        <f>ApndxB1!T46/T$10*1000</f>
        <v>44.390054851944591</v>
      </c>
      <c r="U49" s="13">
        <f>ApndxB1!U46/U$10*1000</f>
        <v>44.886843637873213</v>
      </c>
      <c r="V49" s="13">
        <f>ApndxB1!V46/V$10*1000</f>
        <v>45.407756059991527</v>
      </c>
      <c r="W49" s="13">
        <f>ApndxB1!W46/W$10*1000</f>
        <v>45.923585801952328</v>
      </c>
      <c r="X49" s="13">
        <f>ApndxB1!X46/X$10*1000</f>
        <v>39.520514291490578</v>
      </c>
      <c r="Y49" s="13">
        <f>ApndxB1!Y46/Y$10*1000</f>
        <v>39.872984693768707</v>
      </c>
      <c r="Z49" s="13">
        <f>ApndxB1!Z46/Z$10*1000</f>
        <v>40.219954801418993</v>
      </c>
      <c r="AA49" s="13">
        <f>ApndxB1!AA46/AA$10*1000</f>
        <v>40.561542919042544</v>
      </c>
      <c r="AC49" s="13">
        <f>ApndxB1!AC46/AC$10*1000</f>
        <v>45.158234561796938</v>
      </c>
      <c r="AD49" s="13">
        <f>ApndxB1!AD46/AD$10*1000</f>
        <v>40.046954277406421</v>
      </c>
      <c r="AE49" s="13">
        <f>ApndxB1!AE46/AE$10*1000</f>
        <v>34.320308959319576</v>
      </c>
      <c r="AF49" s="13">
        <f>ApndxB1!AF46/AF$10*1000</f>
        <v>28.280927890142266</v>
      </c>
      <c r="AG49" s="13">
        <f>ApndxB1!AG46/AG$10*1000</f>
        <v>21.916050883124562</v>
      </c>
    </row>
    <row r="51" spans="2:33" x14ac:dyDescent="0.25">
      <c r="AF51" s="381"/>
      <c r="AG51" s="381"/>
    </row>
    <row r="52" spans="2:33" x14ac:dyDescent="0.25">
      <c r="B52" s="1" t="s">
        <v>192</v>
      </c>
      <c r="G52" s="381">
        <f t="shared" ref="G52:AG52" si="1">G26+G27+G34+G35</f>
        <v>220.36025187515935</v>
      </c>
      <c r="H52" s="381">
        <f t="shared" si="1"/>
        <v>220.32060374780286</v>
      </c>
      <c r="I52" s="381">
        <f>I26+I27+I34+I35</f>
        <v>220.24156624131916</v>
      </c>
      <c r="J52" s="381">
        <f t="shared" si="1"/>
        <v>220.16278663875448</v>
      </c>
      <c r="K52" s="381">
        <f t="shared" si="1"/>
        <v>220.08426409855338</v>
      </c>
      <c r="L52" s="381">
        <f t="shared" si="1"/>
        <v>220.0059977819067</v>
      </c>
      <c r="M52" s="381">
        <f t="shared" si="1"/>
        <v>219.92798685274227</v>
      </c>
      <c r="N52" s="381">
        <f t="shared" si="1"/>
        <v>219.85023047771611</v>
      </c>
      <c r="O52" s="381">
        <f t="shared" si="1"/>
        <v>219.77272782620338</v>
      </c>
      <c r="P52" s="381">
        <f t="shared" si="1"/>
        <v>219.69547807028977</v>
      </c>
      <c r="Q52" s="381">
        <f t="shared" si="1"/>
        <v>219.61848038476245</v>
      </c>
      <c r="R52" s="381">
        <f t="shared" si="1"/>
        <v>219.54173394710119</v>
      </c>
      <c r="S52" s="381">
        <f t="shared" si="1"/>
        <v>0</v>
      </c>
      <c r="T52" s="381">
        <f t="shared" si="1"/>
        <v>220.30737333837777</v>
      </c>
      <c r="U52" s="381">
        <f t="shared" si="1"/>
        <v>220.084178691006</v>
      </c>
      <c r="V52" s="381">
        <f t="shared" si="1"/>
        <v>219.85014590351275</v>
      </c>
      <c r="W52" s="381">
        <f t="shared" si="1"/>
        <v>219.61839663577194</v>
      </c>
      <c r="X52" s="381">
        <f t="shared" si="1"/>
        <v>226.68597530687339</v>
      </c>
      <c r="Y52" s="381">
        <f t="shared" si="1"/>
        <v>226.50871725850976</v>
      </c>
      <c r="Z52" s="381">
        <f t="shared" si="1"/>
        <v>226.33406914460051</v>
      </c>
      <c r="AA52" s="381">
        <f t="shared" si="1"/>
        <v>226.16197374368386</v>
      </c>
      <c r="AB52" s="381">
        <f t="shared" si="1"/>
        <v>0</v>
      </c>
      <c r="AC52" s="381">
        <f t="shared" si="1"/>
        <v>219.96224960709603</v>
      </c>
      <c r="AD52" s="381">
        <f t="shared" si="1"/>
        <v>226.42107057572895</v>
      </c>
      <c r="AE52" s="381">
        <f t="shared" si="1"/>
        <v>233.24924145240968</v>
      </c>
      <c r="AF52" s="381">
        <f t="shared" si="1"/>
        <v>240.34400031058161</v>
      </c>
      <c r="AG52" s="381">
        <f t="shared" si="1"/>
        <v>247.71586883501777</v>
      </c>
    </row>
    <row r="54" spans="2:33" x14ac:dyDescent="0.25">
      <c r="B54" s="1" t="s">
        <v>569</v>
      </c>
      <c r="G54" s="706">
        <f>'A1'!P63</f>
        <v>0</v>
      </c>
    </row>
    <row r="55" spans="2:33" x14ac:dyDescent="0.25">
      <c r="C55" s="1" t="s">
        <v>344</v>
      </c>
      <c r="G55" s="13">
        <f>G45*$G$54</f>
        <v>0</v>
      </c>
      <c r="H55" s="13">
        <f t="shared" ref="H55:R55" si="2">H45*$G$54</f>
        <v>0</v>
      </c>
      <c r="I55" s="13">
        <f t="shared" si="2"/>
        <v>0</v>
      </c>
      <c r="J55" s="13">
        <f t="shared" si="2"/>
        <v>0</v>
      </c>
      <c r="K55" s="13">
        <f t="shared" si="2"/>
        <v>0</v>
      </c>
      <c r="L55" s="13">
        <f t="shared" si="2"/>
        <v>0</v>
      </c>
      <c r="M55" s="13">
        <f t="shared" si="2"/>
        <v>0</v>
      </c>
      <c r="N55" s="13">
        <f t="shared" si="2"/>
        <v>0</v>
      </c>
      <c r="O55" s="13">
        <f t="shared" si="2"/>
        <v>0</v>
      </c>
      <c r="P55" s="13">
        <f t="shared" si="2"/>
        <v>0</v>
      </c>
      <c r="Q55" s="13">
        <f t="shared" si="2"/>
        <v>0</v>
      </c>
      <c r="R55" s="13">
        <f t="shared" si="2"/>
        <v>0</v>
      </c>
    </row>
    <row r="56" spans="2:33" x14ac:dyDescent="0.25">
      <c r="C56" s="82" t="str">
        <f>C37</f>
        <v>Bad Debt Expense</v>
      </c>
      <c r="G56" s="81">
        <f>$G$54*G37</f>
        <v>0</v>
      </c>
    </row>
    <row r="57" spans="2:33" x14ac:dyDescent="0.25">
      <c r="C57" s="82" t="str">
        <f>C38</f>
        <v>Depreciation</v>
      </c>
      <c r="G57" s="13"/>
    </row>
  </sheetData>
  <pageMargins left="0.7" right="0.7" top="0.75" bottom="0.5" header="0.3" footer="0.3"/>
  <pageSetup scale="75" fitToWidth="0" orientation="landscape" r:id="rId1"/>
  <colBreaks count="1" manualBreakCount="1">
    <brk id="18" max="1048575" man="1"/>
  </colBreaks>
  <ignoredErrors>
    <ignoredError sqref="A2:AG3 A4:Q4 S4:AG4 N14:AG15 C16:C29 C56:C58 N48:AG55 S46 AB46 N7:AG9 N10:AB10 AE10:AG10 N19:AG45 S16 S17:S18 AB16 AB17:AB18 S47:AG47" unlockedFormula="1"/>
    <ignoredError sqref="R4" numberStoredAsText="1" unlockedFormula="1"/>
  </ignoredErrors>
  <drawing r:id="rId2"/>
</worksheet>
</file>

<file path=xl/worksheets/sheet4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9">
    <tabColor theme="5" tint="0.39997558519241921"/>
  </sheetPr>
  <dimension ref="A1:AP44"/>
  <sheetViews>
    <sheetView showGridLines="0" view="pageBreakPreview" zoomScaleNormal="110" zoomScaleSheetLayoutView="100" workbookViewId="0">
      <pane xSplit="6" ySplit="7" topLeftCell="G8" activePane="bottomRight" state="frozenSplit"/>
      <selection activeCell="J9" sqref="J9"/>
      <selection pane="topRight" activeCell="J9" sqref="J9"/>
      <selection pane="bottomLeft" activeCell="J9" sqref="J9"/>
      <selection pane="bottomRight" activeCell="G8" sqref="G8"/>
    </sheetView>
  </sheetViews>
  <sheetFormatPr defaultColWidth="9.42578125" defaultRowHeight="15" x14ac:dyDescent="0.25"/>
  <cols>
    <col min="1" max="1" width="1.5703125" style="1" customWidth="1"/>
    <col min="2" max="5" width="3" style="1" customWidth="1"/>
    <col min="6" max="6" width="18.42578125" style="1" customWidth="1"/>
    <col min="7" max="18" width="9.42578125" style="1" customWidth="1"/>
    <col min="19" max="19" width="4" style="1" customWidth="1"/>
    <col min="20" max="27" width="7.5703125" style="1" customWidth="1"/>
    <col min="28" max="28" width="8.42578125" style="1" customWidth="1"/>
    <col min="29" max="33" width="9.5703125" style="1" customWidth="1"/>
    <col min="34" max="16384" width="9.42578125" style="1"/>
  </cols>
  <sheetData>
    <row r="1" spans="1:42" ht="6" customHeight="1" thickBot="1" x14ac:dyDescent="0.3">
      <c r="B1" s="85"/>
      <c r="C1" s="86"/>
      <c r="D1" s="85"/>
      <c r="E1" s="85"/>
      <c r="F1" s="85"/>
      <c r="G1" s="85"/>
      <c r="H1" s="85"/>
      <c r="I1" s="85"/>
      <c r="J1" s="85"/>
      <c r="K1" s="85"/>
      <c r="L1" s="85"/>
      <c r="M1" s="85"/>
      <c r="N1" s="85"/>
      <c r="O1" s="85"/>
      <c r="P1" s="85"/>
      <c r="Q1" s="85"/>
      <c r="R1" s="85"/>
      <c r="S1" s="85"/>
      <c r="T1" s="85"/>
      <c r="U1" s="85"/>
      <c r="V1" s="85"/>
      <c r="W1" s="85"/>
      <c r="X1" s="85"/>
      <c r="Y1" s="85"/>
      <c r="Z1" s="85"/>
      <c r="AA1" s="85"/>
      <c r="AB1" s="85"/>
      <c r="AC1" s="85"/>
      <c r="AD1" s="85"/>
      <c r="AE1" s="85"/>
      <c r="AF1" s="85"/>
      <c r="AG1" s="85"/>
    </row>
    <row r="2" spans="1:42" ht="16.5" thickTop="1" x14ac:dyDescent="0.25">
      <c r="B2" s="110" t="str">
        <f>MainOutline!B2</f>
        <v>WB Santa Cruz</v>
      </c>
      <c r="C2" s="111"/>
      <c r="D2" s="111"/>
      <c r="E2" s="111"/>
      <c r="F2" s="111"/>
      <c r="G2" s="111"/>
      <c r="H2" s="111"/>
      <c r="I2" s="508" t="str">
        <f>'A1'!$C$90</f>
        <v>Acquisition of an existing facility</v>
      </c>
      <c r="J2" s="111"/>
      <c r="K2" s="111"/>
      <c r="L2" s="111"/>
      <c r="M2" s="111"/>
      <c r="N2" s="111"/>
      <c r="O2" s="111"/>
      <c r="P2" s="111"/>
      <c r="Q2" s="111"/>
      <c r="R2" s="1409">
        <f>$A3</f>
        <v>25</v>
      </c>
      <c r="S2" s="111"/>
      <c r="T2" s="111"/>
      <c r="U2" s="111"/>
      <c r="V2" s="508" t="str">
        <f>'A1'!$C$90</f>
        <v>Acquisition of an existing facility</v>
      </c>
      <c r="W2" s="111"/>
      <c r="X2" s="111"/>
      <c r="Y2" s="111"/>
      <c r="Z2" s="111"/>
      <c r="AA2" s="111"/>
      <c r="AB2" s="111"/>
      <c r="AC2" s="111"/>
      <c r="AD2" s="111"/>
      <c r="AE2" s="111"/>
      <c r="AF2" s="111"/>
      <c r="AG2" s="1409">
        <f>$A3+1</f>
        <v>26</v>
      </c>
    </row>
    <row r="3" spans="1:42" ht="15.75" x14ac:dyDescent="0.25">
      <c r="A3" s="123">
        <f>MainOutline!B40</f>
        <v>25</v>
      </c>
      <c r="B3" s="102" t="str">
        <f>MainOutline!C40</f>
        <v>Appendix B3</v>
      </c>
      <c r="C3" s="89"/>
      <c r="D3" s="89"/>
      <c r="E3" s="89"/>
      <c r="F3" s="89"/>
      <c r="G3" s="89"/>
      <c r="H3" s="89"/>
      <c r="I3" s="89"/>
      <c r="J3" s="89"/>
      <c r="K3" s="89"/>
      <c r="L3" s="89"/>
      <c r="M3" s="89"/>
      <c r="N3" s="89"/>
      <c r="O3" s="89"/>
      <c r="P3" s="89"/>
      <c r="Q3" s="89"/>
      <c r="R3" s="89"/>
      <c r="S3" s="89"/>
      <c r="T3" s="89"/>
      <c r="U3" s="89"/>
      <c r="V3" s="89"/>
      <c r="W3" s="89"/>
      <c r="X3" s="89"/>
      <c r="Y3" s="89"/>
      <c r="Z3" s="89"/>
      <c r="AA3" s="89"/>
      <c r="AB3" s="89"/>
      <c r="AC3" s="89"/>
      <c r="AD3" s="89"/>
      <c r="AE3" s="89"/>
      <c r="AF3" s="89"/>
      <c r="AG3" s="89"/>
    </row>
    <row r="4" spans="1:42" ht="16.5" thickBot="1" x14ac:dyDescent="0.3">
      <c r="B4" s="104" t="s">
        <v>325</v>
      </c>
      <c r="C4" s="97"/>
      <c r="D4" s="97"/>
      <c r="E4" s="97"/>
      <c r="F4" s="97"/>
      <c r="G4" s="97"/>
      <c r="H4" s="97"/>
      <c r="I4" s="97"/>
      <c r="J4" s="97"/>
      <c r="K4" s="97"/>
      <c r="L4" s="97"/>
      <c r="M4" s="97"/>
      <c r="N4" s="97"/>
      <c r="O4" s="97"/>
      <c r="P4" s="97"/>
      <c r="Q4" s="97"/>
      <c r="R4" s="388" t="str">
        <f>ApndxB1!R4</f>
        <v>($000)</v>
      </c>
      <c r="S4" s="97"/>
      <c r="T4" s="97"/>
      <c r="U4" s="97"/>
      <c r="V4" s="97"/>
      <c r="W4" s="97"/>
      <c r="X4" s="97"/>
      <c r="Y4" s="97"/>
      <c r="Z4" s="97"/>
      <c r="AA4" s="97"/>
      <c r="AB4" s="97"/>
      <c r="AC4" s="97"/>
      <c r="AD4" s="97"/>
      <c r="AE4" s="97"/>
      <c r="AF4" s="97"/>
      <c r="AG4" s="388" t="str">
        <f>R4</f>
        <v>($000)</v>
      </c>
    </row>
    <row r="5" spans="1:42" ht="15.75" thickTop="1" x14ac:dyDescent="0.25">
      <c r="A5" s="123">
        <f>IF('A1'!$B$84=1,1,0)</f>
        <v>0</v>
      </c>
      <c r="AI5" s="1" t="s">
        <v>1110</v>
      </c>
      <c r="AJ5" s="1" t="s">
        <v>116</v>
      </c>
    </row>
    <row r="6" spans="1:42" ht="17.25" x14ac:dyDescent="0.4">
      <c r="G6" s="681" t="s">
        <v>471</v>
      </c>
      <c r="H6" s="681"/>
      <c r="I6" s="681"/>
      <c r="J6" s="681"/>
      <c r="K6" s="681"/>
      <c r="L6" s="681"/>
      <c r="M6" s="681"/>
      <c r="N6" s="681"/>
      <c r="O6" s="681"/>
      <c r="P6" s="681"/>
      <c r="Q6" s="681"/>
      <c r="R6" s="681"/>
      <c r="T6" s="681" t="s">
        <v>472</v>
      </c>
      <c r="U6" s="700"/>
      <c r="V6" s="700"/>
      <c r="W6" s="700"/>
      <c r="X6" s="700"/>
      <c r="Y6" s="700"/>
      <c r="Z6" s="700"/>
      <c r="AA6" s="700"/>
      <c r="AB6" s="1361" t="s">
        <v>1096</v>
      </c>
      <c r="AC6" s="681" t="s">
        <v>133</v>
      </c>
      <c r="AD6" s="700"/>
      <c r="AE6" s="700"/>
      <c r="AF6" s="700"/>
      <c r="AG6" s="700"/>
      <c r="AI6" s="1" t="s">
        <v>529</v>
      </c>
      <c r="AJ6" s="1" t="s">
        <v>1103</v>
      </c>
    </row>
    <row r="7" spans="1:42" s="511" customFormat="1" ht="15.75" thickBot="1" x14ac:dyDescent="0.3">
      <c r="G7" s="701">
        <v>1</v>
      </c>
      <c r="H7" s="701">
        <f>G7+1</f>
        <v>2</v>
      </c>
      <c r="I7" s="701">
        <f t="shared" ref="I7:R7" si="0">H7+1</f>
        <v>3</v>
      </c>
      <c r="J7" s="701">
        <f t="shared" si="0"/>
        <v>4</v>
      </c>
      <c r="K7" s="701">
        <f t="shared" si="0"/>
        <v>5</v>
      </c>
      <c r="L7" s="701">
        <f t="shared" si="0"/>
        <v>6</v>
      </c>
      <c r="M7" s="701">
        <f t="shared" si="0"/>
        <v>7</v>
      </c>
      <c r="N7" s="701">
        <f t="shared" si="0"/>
        <v>8</v>
      </c>
      <c r="O7" s="701">
        <f t="shared" si="0"/>
        <v>9</v>
      </c>
      <c r="P7" s="701">
        <f t="shared" si="0"/>
        <v>10</v>
      </c>
      <c r="Q7" s="701">
        <f t="shared" si="0"/>
        <v>11</v>
      </c>
      <c r="R7" s="701">
        <f t="shared" si="0"/>
        <v>12</v>
      </c>
      <c r="T7" s="702" t="s">
        <v>20</v>
      </c>
      <c r="U7" s="702" t="s">
        <v>21</v>
      </c>
      <c r="V7" s="702" t="s">
        <v>22</v>
      </c>
      <c r="W7" s="702" t="s">
        <v>23</v>
      </c>
      <c r="X7" s="703" t="s">
        <v>24</v>
      </c>
      <c r="Y7" s="702" t="s">
        <v>25</v>
      </c>
      <c r="Z7" s="702" t="s">
        <v>26</v>
      </c>
      <c r="AA7" s="702" t="s">
        <v>27</v>
      </c>
      <c r="AB7" s="1401" t="s">
        <v>1097</v>
      </c>
      <c r="AC7" s="702">
        <v>1</v>
      </c>
      <c r="AD7" s="702">
        <v>2</v>
      </c>
      <c r="AE7" s="702">
        <v>3</v>
      </c>
      <c r="AF7" s="702">
        <v>4</v>
      </c>
      <c r="AG7" s="703">
        <v>5</v>
      </c>
      <c r="AH7" s="511" t="s">
        <v>389</v>
      </c>
      <c r="AJ7" s="381" t="s">
        <v>529</v>
      </c>
      <c r="AK7" s="511" t="s">
        <v>1104</v>
      </c>
    </row>
    <row r="8" spans="1:42" x14ac:dyDescent="0.25">
      <c r="B8" s="1" t="s">
        <v>168</v>
      </c>
      <c r="AB8" s="1397"/>
    </row>
    <row r="9" spans="1:42" x14ac:dyDescent="0.25">
      <c r="C9" s="1" t="s">
        <v>42</v>
      </c>
      <c r="G9" s="13">
        <f>ApndxB4!G30</f>
        <v>634.8340132581144</v>
      </c>
      <c r="H9" s="13">
        <f>ApndxB4!H30</f>
        <v>639.96877978239866</v>
      </c>
      <c r="I9" s="13">
        <f>ApndxB4!I30</f>
        <v>566.96848018134006</v>
      </c>
      <c r="J9" s="13">
        <f>ApndxB4!J30</f>
        <v>572.58810785316928</v>
      </c>
      <c r="K9" s="13">
        <f>ApndxB4!K30</f>
        <v>578.45135722918485</v>
      </c>
      <c r="L9" s="13">
        <f>ApndxB4!L30</f>
        <v>506.18192534314983</v>
      </c>
      <c r="M9" s="13">
        <f>ApndxB4!M30</f>
        <v>512.53481340071698</v>
      </c>
      <c r="N9" s="13">
        <f>ApndxB4!N30</f>
        <v>519.13372366616591</v>
      </c>
      <c r="O9" s="13">
        <f>ApndxB4!O30</f>
        <v>447.6023610318843</v>
      </c>
      <c r="P9" s="13">
        <f>ApndxB4!P30</f>
        <v>454.69573458787625</v>
      </c>
      <c r="Q9" s="13">
        <f>ApndxB4!Q30</f>
        <v>462.03755450858444</v>
      </c>
      <c r="R9" s="13">
        <f>ApndxB4!R30</f>
        <v>391.25153362245504</v>
      </c>
      <c r="S9" s="13"/>
      <c r="T9" s="13">
        <f>ApndxB4!T30</f>
        <v>566.96848018133994</v>
      </c>
      <c r="U9" s="13">
        <f>ApndxB4!U30</f>
        <v>506.18192534314983</v>
      </c>
      <c r="V9" s="13">
        <f>ApndxB4!V30</f>
        <v>447.6023610318843</v>
      </c>
      <c r="W9" s="13">
        <f>ApndxB4!W30</f>
        <v>391.25153362245527</v>
      </c>
      <c r="X9" s="13">
        <f>ApndxB4!X30</f>
        <v>211.43110461286028</v>
      </c>
      <c r="Y9" s="13">
        <f>ApndxB4!Y30</f>
        <v>288.13552053074108</v>
      </c>
      <c r="Z9" s="13">
        <f>ApndxB4!Z30</f>
        <v>366.36404242907213</v>
      </c>
      <c r="AA9" s="13">
        <f>ApndxB4!AA30</f>
        <v>446.11592588000542</v>
      </c>
      <c r="AB9" s="1398">
        <f>'A5'!U12</f>
        <v>0</v>
      </c>
      <c r="AC9" s="13">
        <f>ApndxB4!AC30</f>
        <v>391.25153362245516</v>
      </c>
      <c r="AD9" s="13">
        <f>ApndxB4!AD30</f>
        <v>446.11592588000491</v>
      </c>
      <c r="AE9" s="13">
        <f>ApndxB4!AE30</f>
        <v>438.41564330199412</v>
      </c>
      <c r="AF9" s="13">
        <f>ApndxB4!AF30</f>
        <v>464.11029479130252</v>
      </c>
      <c r="AG9" s="13">
        <f>ApndxB4!AG30</f>
        <v>491.42461984622207</v>
      </c>
    </row>
    <row r="10" spans="1:42" x14ac:dyDescent="0.25">
      <c r="C10" s="1" t="s">
        <v>169</v>
      </c>
      <c r="G10" s="13">
        <f>AB10+$AK10</f>
        <v>48.408326114718584</v>
      </c>
      <c r="H10" s="13">
        <f t="shared" ref="H10:R10" si="1">G10+$AK10</f>
        <v>96.816652229437167</v>
      </c>
      <c r="I10" s="13">
        <f t="shared" si="1"/>
        <v>145.22497834415574</v>
      </c>
      <c r="J10" s="13">
        <f t="shared" si="1"/>
        <v>193.63330445887433</v>
      </c>
      <c r="K10" s="13">
        <f t="shared" si="1"/>
        <v>242.04163057359293</v>
      </c>
      <c r="L10" s="13">
        <f t="shared" si="1"/>
        <v>290.44995668831149</v>
      </c>
      <c r="M10" s="13">
        <f t="shared" si="1"/>
        <v>338.85828280303008</v>
      </c>
      <c r="N10" s="13">
        <f t="shared" si="1"/>
        <v>387.26660891774867</v>
      </c>
      <c r="O10" s="13">
        <f t="shared" si="1"/>
        <v>435.67493503246726</v>
      </c>
      <c r="P10" s="13">
        <f t="shared" si="1"/>
        <v>484.08326114718585</v>
      </c>
      <c r="Q10" s="13">
        <f t="shared" si="1"/>
        <v>532.49158726190444</v>
      </c>
      <c r="R10" s="13">
        <f t="shared" si="1"/>
        <v>580.89991337662298</v>
      </c>
      <c r="S10" s="13"/>
      <c r="T10" s="13">
        <f>I10</f>
        <v>145.22497834415574</v>
      </c>
      <c r="U10" s="13">
        <f>L10</f>
        <v>290.44995668831149</v>
      </c>
      <c r="V10" s="13">
        <f>O10</f>
        <v>435.67493503246726</v>
      </c>
      <c r="W10" s="13">
        <f>AC10</f>
        <v>580.89991337662298</v>
      </c>
      <c r="X10" s="13">
        <f t="shared" ref="X10:Z11" si="2">W10+($AA10-$W10)/4</f>
        <v>584.18520998463657</v>
      </c>
      <c r="Y10" s="13">
        <f t="shared" si="2"/>
        <v>587.47050659265017</v>
      </c>
      <c r="Z10" s="13">
        <f t="shared" si="2"/>
        <v>590.75580320066376</v>
      </c>
      <c r="AA10" s="13">
        <f>AD10</f>
        <v>594.04109980867736</v>
      </c>
      <c r="AB10" s="1398">
        <f>'A5'!U13</f>
        <v>0</v>
      </c>
      <c r="AC10" s="1587">
        <f>'A1'!$Q$23*ApndxB1!AC19/365</f>
        <v>580.89991337662298</v>
      </c>
      <c r="AD10" s="13">
        <f>'A1'!$Q$23*AVERAGE(ApndxB1!AC19:AD19)/365</f>
        <v>594.04109980867736</v>
      </c>
      <c r="AE10" s="13">
        <f>'A1'!$Q$23*AVERAGE(ApndxB1!AD19:AE19)/365</f>
        <v>619.41700930848253</v>
      </c>
      <c r="AF10" s="13">
        <f>'A1'!$Q$23*AVERAGE(ApndxB1!AE19:AF19)/365</f>
        <v>644.37951478361458</v>
      </c>
      <c r="AG10" s="13">
        <f>'A1'!$Q$23*AVERAGE(ApndxB1!AF19:AG19)/365</f>
        <v>670.34800922939405</v>
      </c>
      <c r="AH10" s="13">
        <f>'A1'!$Q$23*AVERAGE(ApndxB1!AG19:AH19)/365</f>
        <v>693.84255208680952</v>
      </c>
      <c r="AI10" s="173">
        <f>IF(AB10&gt;0,AB10,0)</f>
        <v>0</v>
      </c>
      <c r="AJ10" s="381">
        <f>AC10-AB10</f>
        <v>580.89991337662298</v>
      </c>
      <c r="AK10" s="82">
        <f>AJ10/12</f>
        <v>48.408326114718584</v>
      </c>
    </row>
    <row r="11" spans="1:42" x14ac:dyDescent="0.25">
      <c r="C11" s="1" t="s">
        <v>170</v>
      </c>
      <c r="G11" s="13">
        <f>AB11+$AK11</f>
        <v>7.4401378648823426</v>
      </c>
      <c r="H11" s="13">
        <f t="shared" ref="H11:R11" si="3">G11+$AK11</f>
        <v>14.880275729764685</v>
      </c>
      <c r="I11" s="13">
        <f t="shared" si="3"/>
        <v>22.320413594647029</v>
      </c>
      <c r="J11" s="13">
        <f t="shared" si="3"/>
        <v>29.760551459529371</v>
      </c>
      <c r="K11" s="13">
        <f t="shared" si="3"/>
        <v>37.200689324411712</v>
      </c>
      <c r="L11" s="13">
        <f t="shared" si="3"/>
        <v>44.640827189294058</v>
      </c>
      <c r="M11" s="13">
        <f t="shared" si="3"/>
        <v>52.080965054176403</v>
      </c>
      <c r="N11" s="13">
        <f t="shared" si="3"/>
        <v>59.521102919058748</v>
      </c>
      <c r="O11" s="13">
        <f t="shared" si="3"/>
        <v>66.961240783941093</v>
      </c>
      <c r="P11" s="13">
        <f t="shared" si="3"/>
        <v>74.401378648823439</v>
      </c>
      <c r="Q11" s="13">
        <f t="shared" si="3"/>
        <v>81.841516513705784</v>
      </c>
      <c r="R11" s="13">
        <f t="shared" si="3"/>
        <v>89.281654378588129</v>
      </c>
      <c r="S11" s="13"/>
      <c r="T11" s="13">
        <f>I11</f>
        <v>22.320413594647029</v>
      </c>
      <c r="U11" s="13">
        <f>L11</f>
        <v>44.640827189294058</v>
      </c>
      <c r="V11" s="13">
        <f>O11</f>
        <v>66.961240783941093</v>
      </c>
      <c r="W11" s="13">
        <f>AC11</f>
        <v>89.281654378588115</v>
      </c>
      <c r="X11" s="13">
        <f t="shared" si="2"/>
        <v>90.133078771745602</v>
      </c>
      <c r="Y11" s="13">
        <f t="shared" si="2"/>
        <v>90.984503164903089</v>
      </c>
      <c r="Z11" s="13">
        <f t="shared" si="2"/>
        <v>91.835927558060575</v>
      </c>
      <c r="AA11" s="13">
        <f>AD11</f>
        <v>92.687351951218048</v>
      </c>
      <c r="AB11" s="1398">
        <f>'A5'!U14</f>
        <v>0</v>
      </c>
      <c r="AC11" s="1587">
        <f>'A1'!$Q$24*ApndxB1!AC24/365</f>
        <v>89.281654378588115</v>
      </c>
      <c r="AD11" s="13">
        <f>'A1'!$Q$24*AVERAGE(ApndxB1!AC24:AD24)/365</f>
        <v>92.687351951218048</v>
      </c>
      <c r="AE11" s="13">
        <f>'A1'!$Q$24*AVERAGE(ApndxB1!AD24:AE24)/365</f>
        <v>99.513962086896953</v>
      </c>
      <c r="AF11" s="13">
        <f>'A1'!$Q$24*AVERAGE(ApndxB1!AE24:AF24)/365</f>
        <v>106.59935618748403</v>
      </c>
      <c r="AG11" s="13">
        <f>'A1'!$Q$24*AVERAGE(ApndxB1!AF24:AG24)/365</f>
        <v>114.18923034803294</v>
      </c>
      <c r="AH11" s="13">
        <f>'A1'!$Q$24*AVERAGE(ApndxB1!AG24:AH24)/365</f>
        <v>119.88634231560937</v>
      </c>
      <c r="AI11" s="173">
        <f>IF(AB11&gt;0,AB11,0)</f>
        <v>0</v>
      </c>
      <c r="AJ11" s="381">
        <f>AC11-AB11</f>
        <v>89.281654378588115</v>
      </c>
      <c r="AK11" s="82">
        <f>AJ11/12</f>
        <v>7.4401378648823426</v>
      </c>
    </row>
    <row r="12" spans="1:42" x14ac:dyDescent="0.25">
      <c r="C12" s="1" t="s">
        <v>171</v>
      </c>
      <c r="G12" s="13">
        <f>'C10'!D58</f>
        <v>32.814655714285713</v>
      </c>
      <c r="H12" s="13">
        <f>'C10'!E58</f>
        <v>31.754951428571427</v>
      </c>
      <c r="I12" s="13">
        <f>'C10'!F58</f>
        <v>30.695247142857141</v>
      </c>
      <c r="J12" s="13">
        <f>'C10'!G58</f>
        <v>29.635542857142855</v>
      </c>
      <c r="K12" s="13">
        <f>'C10'!H58</f>
        <v>28.575838571428569</v>
      </c>
      <c r="L12" s="13">
        <f>'C10'!I58</f>
        <v>27.516134285714283</v>
      </c>
      <c r="M12" s="13">
        <f>'C10'!J58</f>
        <v>26.456429999999997</v>
      </c>
      <c r="N12" s="13">
        <f>'C10'!K58</f>
        <v>25.396725714285711</v>
      </c>
      <c r="O12" s="13">
        <f>'C10'!L58</f>
        <v>24.337021428571425</v>
      </c>
      <c r="P12" s="13">
        <f>'C10'!M58</f>
        <v>23.277317142857139</v>
      </c>
      <c r="Q12" s="13">
        <f>'C10'!N58</f>
        <v>22.217612857142853</v>
      </c>
      <c r="R12" s="13">
        <f>'C10'!O58</f>
        <v>21.157908571428568</v>
      </c>
      <c r="S12" s="13"/>
      <c r="T12" s="13">
        <f>I12</f>
        <v>30.695247142857141</v>
      </c>
      <c r="U12" s="13">
        <f>L12</f>
        <v>27.516134285714283</v>
      </c>
      <c r="V12" s="13">
        <f>O12</f>
        <v>24.337021428571425</v>
      </c>
      <c r="W12" s="13">
        <f>AC12</f>
        <v>21.157908571428568</v>
      </c>
      <c r="X12" s="13">
        <f>'C10'!D65</f>
        <v>245.2287957142857</v>
      </c>
      <c r="Y12" s="13">
        <f>'C10'!E65</f>
        <v>214.29968285714284</v>
      </c>
      <c r="Z12" s="13">
        <f>'C10'!F65</f>
        <v>183.37056999999999</v>
      </c>
      <c r="AA12" s="13">
        <f>'C10'!G65</f>
        <v>152.44145714285713</v>
      </c>
      <c r="AB12" s="1398">
        <f>'A5'!U15</f>
        <v>23.874359999999999</v>
      </c>
      <c r="AC12" s="13">
        <f>'C10'!H43</f>
        <v>21.157908571428568</v>
      </c>
      <c r="AD12" s="13">
        <f>'C10'!I43</f>
        <v>152.44145714285716</v>
      </c>
      <c r="AE12" s="13">
        <f>'C10'!J43</f>
        <v>38.953165714285717</v>
      </c>
      <c r="AF12" s="13">
        <f>'C10'!K43</f>
        <v>-74.535125714285698</v>
      </c>
      <c r="AG12" s="13">
        <f>'C10'!L43</f>
        <v>-188.02341714285711</v>
      </c>
    </row>
    <row r="13" spans="1:42" x14ac:dyDescent="0.25">
      <c r="C13" s="1" t="s">
        <v>172</v>
      </c>
      <c r="G13" s="13"/>
      <c r="H13" s="13"/>
      <c r="I13" s="13"/>
      <c r="J13" s="13"/>
      <c r="K13" s="13"/>
      <c r="L13" s="13"/>
      <c r="M13" s="13"/>
      <c r="N13" s="13"/>
      <c r="O13" s="13"/>
      <c r="P13" s="13"/>
      <c r="Q13" s="13"/>
      <c r="R13" s="13"/>
      <c r="S13" s="13"/>
      <c r="T13" s="13"/>
      <c r="U13" s="13"/>
      <c r="V13" s="13"/>
      <c r="W13" s="13"/>
      <c r="X13" s="13"/>
      <c r="Y13" s="13"/>
      <c r="Z13" s="13"/>
      <c r="AA13" s="13"/>
      <c r="AB13" s="1398"/>
      <c r="AC13" s="13"/>
      <c r="AD13" s="13"/>
      <c r="AE13" s="13"/>
      <c r="AF13" s="13"/>
      <c r="AG13" s="13"/>
      <c r="AH13" s="381"/>
      <c r="AI13" s="381"/>
      <c r="AM13" s="1" t="s">
        <v>525</v>
      </c>
      <c r="AO13" s="1">
        <f>'A1'!Q38</f>
        <v>0</v>
      </c>
    </row>
    <row r="14" spans="1:42" ht="15.75" thickBot="1" x14ac:dyDescent="0.3">
      <c r="B14" s="687" t="s">
        <v>43</v>
      </c>
      <c r="C14" s="687"/>
      <c r="D14" s="687"/>
      <c r="E14" s="687"/>
      <c r="F14" s="687"/>
      <c r="G14" s="689">
        <f>SUM(G9:G13)</f>
        <v>723.49713295200092</v>
      </c>
      <c r="H14" s="689">
        <f>SUM(H9:H13)</f>
        <v>783.42065917017192</v>
      </c>
      <c r="I14" s="689">
        <f t="shared" ref="I14:AG14" si="4">SUM(I9:I13)</f>
        <v>765.20911926299993</v>
      </c>
      <c r="J14" s="689">
        <f t="shared" si="4"/>
        <v>825.61750662871577</v>
      </c>
      <c r="K14" s="689">
        <f t="shared" si="4"/>
        <v>886.26951569861797</v>
      </c>
      <c r="L14" s="689">
        <f t="shared" si="4"/>
        <v>868.78884350646979</v>
      </c>
      <c r="M14" s="689">
        <f t="shared" si="4"/>
        <v>929.93049125792345</v>
      </c>
      <c r="N14" s="689">
        <f t="shared" si="4"/>
        <v>991.3181612172591</v>
      </c>
      <c r="O14" s="689">
        <f t="shared" si="4"/>
        <v>974.57555827686406</v>
      </c>
      <c r="P14" s="689">
        <f t="shared" si="4"/>
        <v>1036.4576915267428</v>
      </c>
      <c r="Q14" s="689">
        <f t="shared" si="4"/>
        <v>1098.5882711413374</v>
      </c>
      <c r="R14" s="689">
        <f t="shared" si="4"/>
        <v>1082.5910099490948</v>
      </c>
      <c r="S14" s="689"/>
      <c r="T14" s="689">
        <f t="shared" si="4"/>
        <v>765.20911926299982</v>
      </c>
      <c r="U14" s="689">
        <f t="shared" si="4"/>
        <v>868.78884350646979</v>
      </c>
      <c r="V14" s="689">
        <f t="shared" si="4"/>
        <v>974.57555827686406</v>
      </c>
      <c r="W14" s="689">
        <f t="shared" si="4"/>
        <v>1082.591009949095</v>
      </c>
      <c r="X14" s="689">
        <f t="shared" si="4"/>
        <v>1130.9781890835282</v>
      </c>
      <c r="Y14" s="689">
        <f t="shared" si="4"/>
        <v>1180.8902131454372</v>
      </c>
      <c r="Z14" s="689">
        <f t="shared" si="4"/>
        <v>1232.3263431877965</v>
      </c>
      <c r="AA14" s="689">
        <f t="shared" si="4"/>
        <v>1285.285834782758</v>
      </c>
      <c r="AB14" s="1399">
        <f t="shared" si="4"/>
        <v>23.874359999999999</v>
      </c>
      <c r="AC14" s="689">
        <f t="shared" si="4"/>
        <v>1082.591009949095</v>
      </c>
      <c r="AD14" s="689">
        <f t="shared" si="4"/>
        <v>1285.2858347827575</v>
      </c>
      <c r="AE14" s="689">
        <f t="shared" si="4"/>
        <v>1196.2997804116592</v>
      </c>
      <c r="AF14" s="689">
        <f t="shared" si="4"/>
        <v>1140.5540400481157</v>
      </c>
      <c r="AG14" s="689">
        <f t="shared" si="4"/>
        <v>1087.9384422807918</v>
      </c>
      <c r="AM14" s="170" t="s">
        <v>493</v>
      </c>
      <c r="AN14" s="23"/>
      <c r="AO14" s="23" t="s">
        <v>496</v>
      </c>
      <c r="AP14" s="184"/>
    </row>
    <row r="15" spans="1:42" ht="15.75" thickTop="1" x14ac:dyDescent="0.25">
      <c r="G15" s="13"/>
      <c r="H15" s="13"/>
      <c r="I15" s="13"/>
      <c r="J15" s="13"/>
      <c r="K15" s="13"/>
      <c r="L15" s="13"/>
      <c r="M15" s="13"/>
      <c r="N15" s="13"/>
      <c r="O15" s="13"/>
      <c r="P15" s="13"/>
      <c r="Q15" s="13"/>
      <c r="R15" s="13"/>
      <c r="S15" s="13"/>
      <c r="T15" s="13"/>
      <c r="U15" s="13"/>
      <c r="V15" s="13"/>
      <c r="W15" s="13"/>
      <c r="X15" s="13"/>
      <c r="Y15" s="13"/>
      <c r="Z15" s="13"/>
      <c r="AA15" s="13"/>
      <c r="AB15" s="1398"/>
      <c r="AC15" s="13"/>
      <c r="AD15" s="13"/>
      <c r="AE15" s="13"/>
      <c r="AF15" s="13"/>
      <c r="AG15" s="13"/>
      <c r="AM15" s="172" t="s">
        <v>494</v>
      </c>
      <c r="AN15" s="1" t="s">
        <v>495</v>
      </c>
      <c r="AO15" s="1" t="s">
        <v>497</v>
      </c>
      <c r="AP15" s="188" t="s">
        <v>498</v>
      </c>
    </row>
    <row r="16" spans="1:42" x14ac:dyDescent="0.25">
      <c r="B16" s="1" t="s">
        <v>173</v>
      </c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  <c r="R16" s="13"/>
      <c r="S16" s="13"/>
      <c r="T16" s="13"/>
      <c r="U16" s="13"/>
      <c r="V16" s="13"/>
      <c r="W16" s="13"/>
      <c r="X16" s="13"/>
      <c r="Y16" s="13"/>
      <c r="Z16" s="13"/>
      <c r="AA16" s="13"/>
      <c r="AB16" s="1398"/>
      <c r="AC16" s="13"/>
      <c r="AD16" s="13"/>
      <c r="AE16" s="13"/>
      <c r="AF16" s="13"/>
      <c r="AG16" s="13"/>
      <c r="AM16" s="178">
        <f>ApndxB5!T24</f>
        <v>0</v>
      </c>
      <c r="AN16" s="46">
        <f>ApndxB6!AF24</f>
        <v>0</v>
      </c>
      <c r="AO16" s="707">
        <f>IF(OR(AN16=0,AO13=0),AM16,AN16)</f>
        <v>0</v>
      </c>
      <c r="AP16" s="380">
        <f>(AC17-AO16)/12</f>
        <v>27.610491658203248</v>
      </c>
    </row>
    <row r="17" spans="2:42" x14ac:dyDescent="0.25">
      <c r="C17" s="1" t="s">
        <v>174</v>
      </c>
      <c r="G17" s="13">
        <f>AI17+AK17</f>
        <v>27.610491658203248</v>
      </c>
      <c r="H17" s="13">
        <f t="shared" ref="H17:R17" si="5">G17+$AK17</f>
        <v>55.220983316406496</v>
      </c>
      <c r="I17" s="13">
        <f t="shared" si="5"/>
        <v>82.831474974609748</v>
      </c>
      <c r="J17" s="13">
        <f t="shared" si="5"/>
        <v>110.44196663281299</v>
      </c>
      <c r="K17" s="13">
        <f t="shared" si="5"/>
        <v>138.05245829101625</v>
      </c>
      <c r="L17" s="13">
        <f t="shared" si="5"/>
        <v>165.6629499492195</v>
      </c>
      <c r="M17" s="13">
        <f t="shared" si="5"/>
        <v>193.27344160742274</v>
      </c>
      <c r="N17" s="13">
        <f t="shared" si="5"/>
        <v>220.88393326562598</v>
      </c>
      <c r="O17" s="13">
        <f t="shared" si="5"/>
        <v>248.49442492382923</v>
      </c>
      <c r="P17" s="13">
        <f t="shared" si="5"/>
        <v>276.1049165820325</v>
      </c>
      <c r="Q17" s="13">
        <f t="shared" si="5"/>
        <v>303.71540824023577</v>
      </c>
      <c r="R17" s="13">
        <f t="shared" si="5"/>
        <v>331.32589989843905</v>
      </c>
      <c r="S17" s="13"/>
      <c r="T17" s="13">
        <f>I17</f>
        <v>82.831474974609748</v>
      </c>
      <c r="U17" s="13">
        <f>L17</f>
        <v>165.6629499492195</v>
      </c>
      <c r="V17" s="13">
        <f>O17</f>
        <v>248.49442492382923</v>
      </c>
      <c r="W17" s="13">
        <f>R17</f>
        <v>331.32589989843905</v>
      </c>
      <c r="X17" s="13">
        <f>W17+($AA17-$W17)/4</f>
        <v>334.02965343701482</v>
      </c>
      <c r="Y17" s="13">
        <f>X17+($AA17-$W17)/4</f>
        <v>336.73340697559058</v>
      </c>
      <c r="Z17" s="13">
        <f>Y17+($AA17-$W17)/4</f>
        <v>339.43716051416635</v>
      </c>
      <c r="AA17" s="13">
        <f>AD17</f>
        <v>342.14091405274218</v>
      </c>
      <c r="AB17" s="1398">
        <f>'A5'!U20</f>
        <v>0</v>
      </c>
      <c r="AC17" s="1587">
        <f>'A1'!$Q$25*ApndxB1!AC49/365</f>
        <v>331.32589989843899</v>
      </c>
      <c r="AD17" s="13">
        <f>'A1'!$Q$25*AVERAGE(ApndxB1!AC49:AD49)/365</f>
        <v>342.14091405274218</v>
      </c>
      <c r="AE17" s="13">
        <f>'A1'!$Q$25*AVERAGE(ApndxB1!AD49:AE49)/365</f>
        <v>363.73196696735096</v>
      </c>
      <c r="AF17" s="13">
        <f>'A1'!$Q$25*AVERAGE(ApndxB1!AE49:AF49)/365</f>
        <v>385.99221576212608</v>
      </c>
      <c r="AG17" s="13">
        <f>'A1'!$Q$25*AVERAGE(ApndxB1!AF49:AG49)/365</f>
        <v>409.71717341180749</v>
      </c>
      <c r="AH17" s="13">
        <f>'A1'!$Q$25*AVERAGE(ApndxB1!AG49:AH49)/365</f>
        <v>428.28728984242485</v>
      </c>
      <c r="AI17" s="173">
        <f>IF(AB17&gt;0,AB17,IF(ApndxB6!AH24&gt;0,ApndxB6!AH24,ApndxB5!V24))</f>
        <v>0</v>
      </c>
      <c r="AJ17" s="381">
        <f>AC17-AI17</f>
        <v>331.32589989843899</v>
      </c>
      <c r="AK17" s="82">
        <f>AJ17/12</f>
        <v>27.610491658203248</v>
      </c>
      <c r="AM17" s="1" t="s">
        <v>339</v>
      </c>
    </row>
    <row r="18" spans="2:42" ht="17.25" x14ac:dyDescent="0.4">
      <c r="C18" s="1" t="s">
        <v>59</v>
      </c>
      <c r="G18" s="558">
        <f>AM18-$AO18</f>
        <v>0</v>
      </c>
      <c r="H18" s="558">
        <f t="shared" ref="H18:Q18" si="6">G18-$AO18</f>
        <v>0</v>
      </c>
      <c r="I18" s="558">
        <f t="shared" si="6"/>
        <v>0</v>
      </c>
      <c r="J18" s="558">
        <f t="shared" si="6"/>
        <v>0</v>
      </c>
      <c r="K18" s="558">
        <f t="shared" si="6"/>
        <v>0</v>
      </c>
      <c r="L18" s="558">
        <f t="shared" si="6"/>
        <v>0</v>
      </c>
      <c r="M18" s="558">
        <f t="shared" si="6"/>
        <v>0</v>
      </c>
      <c r="N18" s="558">
        <f t="shared" si="6"/>
        <v>0</v>
      </c>
      <c r="O18" s="558">
        <f t="shared" si="6"/>
        <v>0</v>
      </c>
      <c r="P18" s="558">
        <f t="shared" si="6"/>
        <v>0</v>
      </c>
      <c r="Q18" s="558">
        <f t="shared" si="6"/>
        <v>0</v>
      </c>
      <c r="R18" s="558">
        <f>AC18</f>
        <v>0</v>
      </c>
      <c r="S18" s="13"/>
      <c r="T18" s="558">
        <f>I18</f>
        <v>0</v>
      </c>
      <c r="U18" s="558">
        <f>L18</f>
        <v>0</v>
      </c>
      <c r="V18" s="558">
        <f>O18</f>
        <v>0</v>
      </c>
      <c r="W18" s="558">
        <f>AC18</f>
        <v>0</v>
      </c>
      <c r="X18" s="558">
        <f>W18-($AC18-$AD18)/4</f>
        <v>0</v>
      </c>
      <c r="Y18" s="558">
        <f>X18-($AC18-$AD18)/4</f>
        <v>0</v>
      </c>
      <c r="Z18" s="558">
        <f>Y18-($AC18-$AD18)/4</f>
        <v>0</v>
      </c>
      <c r="AA18" s="558">
        <f>AD18</f>
        <v>0</v>
      </c>
      <c r="AB18" s="1400">
        <f>'A5'!U21</f>
        <v>0</v>
      </c>
      <c r="AC18" s="558">
        <f>'D3'!O66</f>
        <v>0</v>
      </c>
      <c r="AD18" s="558">
        <f>'D3'!P66</f>
        <v>0</v>
      </c>
      <c r="AE18" s="558">
        <f>'D3'!Q66</f>
        <v>0</v>
      </c>
      <c r="AF18" s="558">
        <f>'D3'!R66</f>
        <v>0</v>
      </c>
      <c r="AG18" s="558">
        <f>'D3'!S66</f>
        <v>0</v>
      </c>
      <c r="AM18" s="13">
        <f>'D3'!N66</f>
        <v>0</v>
      </c>
      <c r="AN18" s="381">
        <f>AM18-AC18</f>
        <v>0</v>
      </c>
      <c r="AO18" s="82">
        <f>AN18/12</f>
        <v>0</v>
      </c>
      <c r="AP18" s="1" t="s">
        <v>340</v>
      </c>
    </row>
    <row r="19" spans="2:42" x14ac:dyDescent="0.25">
      <c r="B19" s="1" t="s">
        <v>175</v>
      </c>
      <c r="G19" s="13">
        <f t="shared" ref="G19:R19" si="7">SUM(G17:G18)</f>
        <v>27.610491658203248</v>
      </c>
      <c r="H19" s="13">
        <f t="shared" si="7"/>
        <v>55.220983316406496</v>
      </c>
      <c r="I19" s="13">
        <f t="shared" si="7"/>
        <v>82.831474974609748</v>
      </c>
      <c r="J19" s="13">
        <f t="shared" si="7"/>
        <v>110.44196663281299</v>
      </c>
      <c r="K19" s="13">
        <f t="shared" si="7"/>
        <v>138.05245829101625</v>
      </c>
      <c r="L19" s="13">
        <f t="shared" si="7"/>
        <v>165.6629499492195</v>
      </c>
      <c r="M19" s="13">
        <f t="shared" si="7"/>
        <v>193.27344160742274</v>
      </c>
      <c r="N19" s="13">
        <f t="shared" si="7"/>
        <v>220.88393326562598</v>
      </c>
      <c r="O19" s="13">
        <f t="shared" si="7"/>
        <v>248.49442492382923</v>
      </c>
      <c r="P19" s="13">
        <f t="shared" si="7"/>
        <v>276.1049165820325</v>
      </c>
      <c r="Q19" s="13">
        <f t="shared" si="7"/>
        <v>303.71540824023577</v>
      </c>
      <c r="R19" s="13">
        <f t="shared" si="7"/>
        <v>331.32589989843905</v>
      </c>
      <c r="S19" s="13"/>
      <c r="T19" s="13">
        <f t="shared" ref="T19:AB19" si="8">SUM(T17:T18)</f>
        <v>82.831474974609748</v>
      </c>
      <c r="U19" s="13">
        <f t="shared" si="8"/>
        <v>165.6629499492195</v>
      </c>
      <c r="V19" s="13">
        <f t="shared" si="8"/>
        <v>248.49442492382923</v>
      </c>
      <c r="W19" s="13">
        <f t="shared" si="8"/>
        <v>331.32589989843905</v>
      </c>
      <c r="X19" s="13">
        <f t="shared" si="8"/>
        <v>334.02965343701482</v>
      </c>
      <c r="Y19" s="13">
        <f t="shared" si="8"/>
        <v>336.73340697559058</v>
      </c>
      <c r="Z19" s="13">
        <f t="shared" si="8"/>
        <v>339.43716051416635</v>
      </c>
      <c r="AA19" s="13">
        <f t="shared" si="8"/>
        <v>342.14091405274218</v>
      </c>
      <c r="AB19" s="1398">
        <f t="shared" si="8"/>
        <v>0</v>
      </c>
      <c r="AC19" s="13">
        <f>SUM(AC17:AC18)</f>
        <v>331.32589989843899</v>
      </c>
      <c r="AD19" s="13">
        <f>SUM(AD17:AD18)</f>
        <v>342.14091405274218</v>
      </c>
      <c r="AE19" s="13">
        <f>SUM(AE17:AE18)</f>
        <v>363.73196696735096</v>
      </c>
      <c r="AF19" s="13">
        <f>SUM(AF17:AF18)</f>
        <v>385.99221576212608</v>
      </c>
      <c r="AG19" s="13">
        <f>SUM(AG17:AG18)</f>
        <v>409.71717341180749</v>
      </c>
      <c r="AK19" s="82">
        <f>AK10+AK11-AK17</f>
        <v>28.237972321397681</v>
      </c>
    </row>
    <row r="20" spans="2:42" x14ac:dyDescent="0.25">
      <c r="G20" s="13"/>
      <c r="H20" s="13"/>
      <c r="I20" s="13"/>
      <c r="J20" s="13"/>
      <c r="K20" s="13"/>
      <c r="L20" s="13"/>
      <c r="M20" s="13"/>
      <c r="N20" s="13"/>
      <c r="O20" s="13"/>
      <c r="P20" s="13"/>
      <c r="Q20" s="13"/>
      <c r="R20" s="13"/>
      <c r="S20" s="13"/>
      <c r="T20" s="13"/>
      <c r="U20" s="13"/>
      <c r="V20" s="13"/>
      <c r="W20" s="13"/>
      <c r="X20" s="13"/>
      <c r="Y20" s="13"/>
      <c r="Z20" s="13"/>
      <c r="AA20" s="13"/>
      <c r="AB20" s="1398"/>
      <c r="AC20" s="13"/>
      <c r="AD20" s="13"/>
      <c r="AE20" s="13"/>
      <c r="AF20" s="13"/>
      <c r="AG20" s="13"/>
    </row>
    <row r="21" spans="2:42" x14ac:dyDescent="0.25">
      <c r="B21" s="1" t="s">
        <v>176</v>
      </c>
      <c r="G21" s="13"/>
      <c r="H21" s="13"/>
      <c r="I21" s="13"/>
      <c r="J21" s="13"/>
      <c r="K21" s="13"/>
      <c r="L21" s="13"/>
      <c r="M21" s="13"/>
      <c r="N21" s="13"/>
      <c r="O21" s="13"/>
      <c r="P21" s="13"/>
      <c r="Q21" s="13"/>
      <c r="R21" s="13"/>
      <c r="S21" s="13"/>
      <c r="T21" s="13"/>
      <c r="U21" s="13"/>
      <c r="V21" s="13"/>
      <c r="W21" s="13"/>
      <c r="X21" s="13"/>
      <c r="Y21" s="13"/>
      <c r="Z21" s="13"/>
      <c r="AA21" s="13"/>
      <c r="AB21" s="1398"/>
      <c r="AC21" s="13"/>
      <c r="AD21" s="13"/>
      <c r="AE21" s="13"/>
      <c r="AF21" s="13"/>
      <c r="AG21" s="13"/>
    </row>
    <row r="22" spans="2:42" x14ac:dyDescent="0.25">
      <c r="C22" s="1" t="str">
        <f>ApndxA2!C22</f>
        <v>Existing Owners</v>
      </c>
      <c r="G22" s="13">
        <f>ApndxA2!G22</f>
        <v>23.874359999999999</v>
      </c>
      <c r="H22" s="13">
        <f>G22</f>
        <v>23.874359999999999</v>
      </c>
      <c r="I22" s="13">
        <f t="shared" ref="I22:R22" si="9">H22</f>
        <v>23.874359999999999</v>
      </c>
      <c r="J22" s="13">
        <f t="shared" si="9"/>
        <v>23.874359999999999</v>
      </c>
      <c r="K22" s="13">
        <f t="shared" si="9"/>
        <v>23.874359999999999</v>
      </c>
      <c r="L22" s="13">
        <f t="shared" si="9"/>
        <v>23.874359999999999</v>
      </c>
      <c r="M22" s="13">
        <f t="shared" si="9"/>
        <v>23.874359999999999</v>
      </c>
      <c r="N22" s="13">
        <f t="shared" si="9"/>
        <v>23.874359999999999</v>
      </c>
      <c r="O22" s="13">
        <f t="shared" si="9"/>
        <v>23.874359999999999</v>
      </c>
      <c r="P22" s="13">
        <f t="shared" si="9"/>
        <v>23.874359999999999</v>
      </c>
      <c r="Q22" s="13">
        <f t="shared" si="9"/>
        <v>23.874359999999999</v>
      </c>
      <c r="R22" s="13">
        <f t="shared" si="9"/>
        <v>23.874359999999999</v>
      </c>
      <c r="S22" s="13"/>
      <c r="T22" s="13">
        <f>I22</f>
        <v>23.874359999999999</v>
      </c>
      <c r="U22" s="13">
        <f>L22</f>
        <v>23.874359999999999</v>
      </c>
      <c r="V22" s="13">
        <f>O22</f>
        <v>23.874359999999999</v>
      </c>
      <c r="W22" s="13">
        <f>R22</f>
        <v>23.874359999999999</v>
      </c>
      <c r="X22" s="13">
        <f>W22</f>
        <v>23.874359999999999</v>
      </c>
      <c r="Y22" s="13">
        <f>X22</f>
        <v>23.874359999999999</v>
      </c>
      <c r="Z22" s="13">
        <f>Y22</f>
        <v>23.874359999999999</v>
      </c>
      <c r="AA22" s="13">
        <f>Z22</f>
        <v>23.874359999999999</v>
      </c>
      <c r="AB22" s="1398">
        <f>'A5'!U24</f>
        <v>23.874359999999999</v>
      </c>
      <c r="AC22" s="13">
        <f>R22</f>
        <v>23.874359999999999</v>
      </c>
      <c r="AD22" s="13">
        <f>AA22</f>
        <v>23.874359999999999</v>
      </c>
      <c r="AE22" s="13">
        <f>AD22</f>
        <v>23.874359999999999</v>
      </c>
      <c r="AF22" s="13">
        <f>AE22</f>
        <v>23.874359999999999</v>
      </c>
      <c r="AG22" s="13">
        <f>AF22</f>
        <v>23.874359999999999</v>
      </c>
    </row>
    <row r="23" spans="2:42" x14ac:dyDescent="0.25">
      <c r="C23" s="1" t="str">
        <f>ApndxA2!C23</f>
        <v>Partner</v>
      </c>
      <c r="G23" s="13">
        <f>G34</f>
        <v>0</v>
      </c>
      <c r="H23" s="13">
        <f t="shared" ref="H23:AG23" si="10">H34</f>
        <v>0</v>
      </c>
      <c r="I23" s="13">
        <f t="shared" si="10"/>
        <v>0</v>
      </c>
      <c r="J23" s="13">
        <f t="shared" si="10"/>
        <v>0</v>
      </c>
      <c r="K23" s="13">
        <f t="shared" si="10"/>
        <v>0</v>
      </c>
      <c r="L23" s="13">
        <f t="shared" si="10"/>
        <v>0</v>
      </c>
      <c r="M23" s="13">
        <f t="shared" si="10"/>
        <v>0</v>
      </c>
      <c r="N23" s="13">
        <f t="shared" si="10"/>
        <v>0</v>
      </c>
      <c r="O23" s="13">
        <f t="shared" si="10"/>
        <v>0</v>
      </c>
      <c r="P23" s="13">
        <f t="shared" si="10"/>
        <v>0</v>
      </c>
      <c r="Q23" s="13">
        <f t="shared" si="10"/>
        <v>0</v>
      </c>
      <c r="R23" s="13">
        <f t="shared" si="10"/>
        <v>0</v>
      </c>
      <c r="S23" s="13"/>
      <c r="T23" s="13">
        <f t="shared" si="10"/>
        <v>0</v>
      </c>
      <c r="U23" s="13">
        <f t="shared" si="10"/>
        <v>0</v>
      </c>
      <c r="V23" s="13">
        <f t="shared" si="10"/>
        <v>0</v>
      </c>
      <c r="W23" s="13">
        <f t="shared" si="10"/>
        <v>0</v>
      </c>
      <c r="X23" s="13">
        <f t="shared" si="10"/>
        <v>0</v>
      </c>
      <c r="Y23" s="13">
        <f t="shared" si="10"/>
        <v>0</v>
      </c>
      <c r="Z23" s="13">
        <f t="shared" si="10"/>
        <v>0</v>
      </c>
      <c r="AA23" s="13">
        <f t="shared" si="10"/>
        <v>0</v>
      </c>
      <c r="AB23" s="1398">
        <v>0</v>
      </c>
      <c r="AC23" s="13">
        <f t="shared" si="10"/>
        <v>0</v>
      </c>
      <c r="AD23" s="13">
        <f t="shared" si="10"/>
        <v>0</v>
      </c>
      <c r="AE23" s="13">
        <f t="shared" si="10"/>
        <v>0</v>
      </c>
      <c r="AF23" s="13">
        <f t="shared" si="10"/>
        <v>0</v>
      </c>
      <c r="AG23" s="13">
        <f t="shared" si="10"/>
        <v>0</v>
      </c>
      <c r="AJ23" s="381">
        <f>AC17-AO16</f>
        <v>331.32589989843899</v>
      </c>
      <c r="AK23" s="82">
        <f>AJ23/12</f>
        <v>27.610491658203248</v>
      </c>
    </row>
    <row r="24" spans="2:42" ht="17.25" x14ac:dyDescent="0.4">
      <c r="C24" s="1" t="str">
        <f>ApndxA2!C24</f>
        <v>Satellite Healthcare</v>
      </c>
      <c r="G24" s="558">
        <f>G40</f>
        <v>672.01228129379786</v>
      </c>
      <c r="H24" s="558">
        <f t="shared" ref="H24:AG24" si="11">H40</f>
        <v>704.32531585376546</v>
      </c>
      <c r="I24" s="558">
        <f t="shared" si="11"/>
        <v>658.5032842883902</v>
      </c>
      <c r="J24" s="558">
        <f t="shared" si="11"/>
        <v>691.30117999590288</v>
      </c>
      <c r="K24" s="558">
        <f t="shared" si="11"/>
        <v>724.3426974076018</v>
      </c>
      <c r="L24" s="558">
        <f t="shared" si="11"/>
        <v>679.25153355725013</v>
      </c>
      <c r="M24" s="558">
        <f t="shared" si="11"/>
        <v>712.78268965050074</v>
      </c>
      <c r="N24" s="558">
        <f t="shared" si="11"/>
        <v>746.55986795163312</v>
      </c>
      <c r="O24" s="558">
        <f t="shared" si="11"/>
        <v>702.20677335303492</v>
      </c>
      <c r="P24" s="558">
        <f t="shared" si="11"/>
        <v>736.47841494471027</v>
      </c>
      <c r="Q24" s="558">
        <f t="shared" si="11"/>
        <v>770.9985029011018</v>
      </c>
      <c r="R24" s="558">
        <f t="shared" si="11"/>
        <v>727.3907500506557</v>
      </c>
      <c r="S24" s="13"/>
      <c r="T24" s="558">
        <f t="shared" si="11"/>
        <v>658.50328428839009</v>
      </c>
      <c r="U24" s="558">
        <f t="shared" si="11"/>
        <v>679.25153355725013</v>
      </c>
      <c r="V24" s="558">
        <f t="shared" si="11"/>
        <v>702.20677335303481</v>
      </c>
      <c r="W24" s="558">
        <f t="shared" si="11"/>
        <v>727.39075005065581</v>
      </c>
      <c r="X24" s="558">
        <f t="shared" si="11"/>
        <v>773.07417564651325</v>
      </c>
      <c r="Y24" s="558">
        <f t="shared" si="11"/>
        <v>820.28244616984648</v>
      </c>
      <c r="Z24" s="558">
        <f t="shared" si="11"/>
        <v>869.01482267363008</v>
      </c>
      <c r="AA24" s="558">
        <f t="shared" si="11"/>
        <v>919.27056073001575</v>
      </c>
      <c r="AB24" s="1400">
        <v>0</v>
      </c>
      <c r="AC24" s="558">
        <f t="shared" si="11"/>
        <v>727.39075005065581</v>
      </c>
      <c r="AD24" s="558">
        <f t="shared" si="11"/>
        <v>919.27056073001529</v>
      </c>
      <c r="AE24" s="558">
        <f t="shared" si="11"/>
        <v>808.69345344430837</v>
      </c>
      <c r="AF24" s="558">
        <f t="shared" si="11"/>
        <v>730.68746428598934</v>
      </c>
      <c r="AG24" s="558">
        <f t="shared" si="11"/>
        <v>654.34690886898443</v>
      </c>
      <c r="AK24" s="82">
        <f>AO16+AK23</f>
        <v>27.610491658203248</v>
      </c>
    </row>
    <row r="25" spans="2:42" x14ac:dyDescent="0.25">
      <c r="B25" s="1" t="s">
        <v>180</v>
      </c>
      <c r="G25" s="13">
        <f t="shared" ref="G25:Q25" si="12">SUM(G22:G24)</f>
        <v>695.88664129379788</v>
      </c>
      <c r="H25" s="13">
        <f t="shared" si="12"/>
        <v>728.19967585376548</v>
      </c>
      <c r="I25" s="13">
        <f t="shared" si="12"/>
        <v>682.37764428839023</v>
      </c>
      <c r="J25" s="13">
        <f t="shared" si="12"/>
        <v>715.17553999590291</v>
      </c>
      <c r="K25" s="13">
        <f t="shared" si="12"/>
        <v>748.21705740760183</v>
      </c>
      <c r="L25" s="13">
        <f t="shared" si="12"/>
        <v>703.12589355725015</v>
      </c>
      <c r="M25" s="13">
        <f t="shared" si="12"/>
        <v>736.65704965050077</v>
      </c>
      <c r="N25" s="13">
        <f t="shared" si="12"/>
        <v>770.43422795163315</v>
      </c>
      <c r="O25" s="13">
        <f t="shared" si="12"/>
        <v>726.08113335303494</v>
      </c>
      <c r="P25" s="13">
        <f t="shared" si="12"/>
        <v>760.35277494471029</v>
      </c>
      <c r="Q25" s="13">
        <f t="shared" si="12"/>
        <v>794.87286290110183</v>
      </c>
      <c r="R25" s="13">
        <f>SUM(R22:R24)</f>
        <v>751.26511005065572</v>
      </c>
      <c r="S25" s="13"/>
      <c r="T25" s="13">
        <f t="shared" ref="T25:Z25" si="13">SUM(T22:T24)</f>
        <v>682.37764428839012</v>
      </c>
      <c r="U25" s="13">
        <f t="shared" si="13"/>
        <v>703.12589355725015</v>
      </c>
      <c r="V25" s="13">
        <f t="shared" si="13"/>
        <v>726.08113335303483</v>
      </c>
      <c r="W25" s="13">
        <f t="shared" si="13"/>
        <v>751.26511005065584</v>
      </c>
      <c r="X25" s="13">
        <f t="shared" si="13"/>
        <v>796.94853564651328</v>
      </c>
      <c r="Y25" s="13">
        <f t="shared" si="13"/>
        <v>844.1568061698465</v>
      </c>
      <c r="Z25" s="13">
        <f t="shared" si="13"/>
        <v>892.8891826736301</v>
      </c>
      <c r="AA25" s="13">
        <f t="shared" ref="AA25:AG25" si="14">SUM(AA22:AA24)</f>
        <v>943.14492073001577</v>
      </c>
      <c r="AB25" s="1398">
        <f t="shared" si="14"/>
        <v>23.874359999999999</v>
      </c>
      <c r="AC25" s="13">
        <f t="shared" si="14"/>
        <v>751.26511005065584</v>
      </c>
      <c r="AD25" s="13">
        <f t="shared" si="14"/>
        <v>943.14492073001531</v>
      </c>
      <c r="AE25" s="13">
        <f t="shared" si="14"/>
        <v>832.5678134443084</v>
      </c>
      <c r="AF25" s="13">
        <f t="shared" si="14"/>
        <v>754.56182428598936</v>
      </c>
      <c r="AG25" s="13">
        <f t="shared" si="14"/>
        <v>678.22126886898445</v>
      </c>
    </row>
    <row r="26" spans="2:42" x14ac:dyDescent="0.25">
      <c r="G26" s="13"/>
      <c r="H26" s="13"/>
      <c r="I26" s="13"/>
      <c r="J26" s="13"/>
      <c r="K26" s="13"/>
      <c r="L26" s="13"/>
      <c r="M26" s="13"/>
      <c r="N26" s="13"/>
      <c r="O26" s="13"/>
      <c r="P26" s="13"/>
      <c r="Q26" s="13"/>
      <c r="R26" s="13"/>
      <c r="S26" s="13"/>
      <c r="T26" s="13"/>
      <c r="U26" s="13"/>
      <c r="V26" s="13"/>
      <c r="W26" s="13"/>
      <c r="X26" s="13"/>
      <c r="Y26" s="13"/>
      <c r="Z26" s="13"/>
      <c r="AA26" s="13"/>
      <c r="AB26" s="1398"/>
      <c r="AC26" s="13"/>
      <c r="AD26" s="13"/>
      <c r="AE26" s="13"/>
      <c r="AF26" s="13"/>
      <c r="AG26" s="13"/>
    </row>
    <row r="27" spans="2:42" ht="15.75" thickBot="1" x14ac:dyDescent="0.3">
      <c r="B27" s="687" t="s">
        <v>181</v>
      </c>
      <c r="C27" s="687"/>
      <c r="D27" s="687"/>
      <c r="E27" s="687"/>
      <c r="F27" s="687"/>
      <c r="G27" s="689">
        <f t="shared" ref="G27:R27" si="15">G19+G25</f>
        <v>723.49713295200115</v>
      </c>
      <c r="H27" s="689">
        <f t="shared" si="15"/>
        <v>783.42065917017203</v>
      </c>
      <c r="I27" s="689">
        <f t="shared" si="15"/>
        <v>765.20911926299993</v>
      </c>
      <c r="J27" s="689">
        <f t="shared" si="15"/>
        <v>825.61750662871589</v>
      </c>
      <c r="K27" s="689">
        <f t="shared" si="15"/>
        <v>886.26951569861808</v>
      </c>
      <c r="L27" s="689">
        <f t="shared" si="15"/>
        <v>868.78884350646968</v>
      </c>
      <c r="M27" s="689">
        <f t="shared" si="15"/>
        <v>929.93049125792345</v>
      </c>
      <c r="N27" s="689">
        <f t="shared" si="15"/>
        <v>991.3181612172591</v>
      </c>
      <c r="O27" s="689">
        <f t="shared" si="15"/>
        <v>974.57555827686417</v>
      </c>
      <c r="P27" s="689">
        <f t="shared" si="15"/>
        <v>1036.4576915267428</v>
      </c>
      <c r="Q27" s="689">
        <f t="shared" si="15"/>
        <v>1098.5882711413376</v>
      </c>
      <c r="R27" s="689">
        <f t="shared" si="15"/>
        <v>1082.5910099490948</v>
      </c>
      <c r="S27" s="689"/>
      <c r="T27" s="689">
        <f t="shared" ref="T27:AA27" si="16">T19+T25</f>
        <v>765.20911926299982</v>
      </c>
      <c r="U27" s="689">
        <f t="shared" si="16"/>
        <v>868.78884350646968</v>
      </c>
      <c r="V27" s="689">
        <f t="shared" si="16"/>
        <v>974.57555827686406</v>
      </c>
      <c r="W27" s="689">
        <f t="shared" si="16"/>
        <v>1082.5910099490948</v>
      </c>
      <c r="X27" s="689">
        <f t="shared" si="16"/>
        <v>1130.9781890835282</v>
      </c>
      <c r="Y27" s="689">
        <f t="shared" si="16"/>
        <v>1180.890213145437</v>
      </c>
      <c r="Z27" s="689">
        <f t="shared" si="16"/>
        <v>1232.3263431877965</v>
      </c>
      <c r="AA27" s="689">
        <f t="shared" si="16"/>
        <v>1285.285834782758</v>
      </c>
      <c r="AB27" s="1399">
        <f t="shared" ref="AB27:AG27" si="17">AB19+AB25</f>
        <v>23.874359999999999</v>
      </c>
      <c r="AC27" s="689">
        <f t="shared" si="17"/>
        <v>1082.5910099490948</v>
      </c>
      <c r="AD27" s="689">
        <f t="shared" si="17"/>
        <v>1285.2858347827575</v>
      </c>
      <c r="AE27" s="689">
        <f t="shared" si="17"/>
        <v>1196.2997804116594</v>
      </c>
      <c r="AF27" s="689">
        <f t="shared" si="17"/>
        <v>1140.5540400481154</v>
      </c>
      <c r="AG27" s="689">
        <f t="shared" si="17"/>
        <v>1087.9384422807921</v>
      </c>
    </row>
    <row r="28" spans="2:42" ht="15.75" thickTop="1" x14ac:dyDescent="0.25">
      <c r="G28" s="13">
        <f t="shared" ref="G28:R28" si="18">G14-G27</f>
        <v>0</v>
      </c>
      <c r="H28" s="13">
        <f t="shared" si="18"/>
        <v>0</v>
      </c>
      <c r="I28" s="13">
        <f t="shared" si="18"/>
        <v>0</v>
      </c>
      <c r="J28" s="13">
        <f t="shared" si="18"/>
        <v>0</v>
      </c>
      <c r="K28" s="13">
        <f t="shared" si="18"/>
        <v>0</v>
      </c>
      <c r="L28" s="13">
        <f t="shared" si="18"/>
        <v>0</v>
      </c>
      <c r="M28" s="13">
        <f t="shared" si="18"/>
        <v>0</v>
      </c>
      <c r="N28" s="13">
        <f t="shared" si="18"/>
        <v>0</v>
      </c>
      <c r="O28" s="13">
        <f t="shared" si="18"/>
        <v>0</v>
      </c>
      <c r="P28" s="13">
        <f t="shared" si="18"/>
        <v>0</v>
      </c>
      <c r="Q28" s="13">
        <f t="shared" si="18"/>
        <v>0</v>
      </c>
      <c r="R28" s="13">
        <f t="shared" si="18"/>
        <v>0</v>
      </c>
      <c r="S28" s="13"/>
      <c r="T28" s="13">
        <f t="shared" ref="T28:AA28" si="19">T14-T27</f>
        <v>0</v>
      </c>
      <c r="U28" s="13">
        <f t="shared" si="19"/>
        <v>0</v>
      </c>
      <c r="V28" s="13">
        <f t="shared" si="19"/>
        <v>0</v>
      </c>
      <c r="W28" s="13">
        <f t="shared" si="19"/>
        <v>0</v>
      </c>
      <c r="X28" s="13">
        <f t="shared" si="19"/>
        <v>0</v>
      </c>
      <c r="Y28" s="13">
        <f t="shared" si="19"/>
        <v>0</v>
      </c>
      <c r="Z28" s="13">
        <f t="shared" si="19"/>
        <v>0</v>
      </c>
      <c r="AA28" s="13">
        <f t="shared" si="19"/>
        <v>0</v>
      </c>
      <c r="AB28" s="1398">
        <f t="shared" ref="AB28:AG28" si="20">AB14-AB27</f>
        <v>0</v>
      </c>
      <c r="AC28" s="13">
        <f t="shared" si="20"/>
        <v>0</v>
      </c>
      <c r="AD28" s="13">
        <f t="shared" si="20"/>
        <v>0</v>
      </c>
      <c r="AE28" s="13">
        <f t="shared" si="20"/>
        <v>0</v>
      </c>
      <c r="AF28" s="13">
        <f t="shared" si="20"/>
        <v>0</v>
      </c>
      <c r="AG28" s="13">
        <f t="shared" si="20"/>
        <v>0</v>
      </c>
    </row>
    <row r="30" spans="2:42" x14ac:dyDescent="0.25">
      <c r="B30" s="106" t="s">
        <v>592</v>
      </c>
      <c r="J30" s="381"/>
    </row>
    <row r="31" spans="2:42" x14ac:dyDescent="0.25">
      <c r="C31" s="1" t="s">
        <v>177</v>
      </c>
      <c r="G31" s="13">
        <f>ApndxA2!J31</f>
        <v>0</v>
      </c>
      <c r="H31" s="13">
        <f>G34</f>
        <v>0</v>
      </c>
      <c r="I31" s="13">
        <f t="shared" ref="I31:R31" si="21">H34</f>
        <v>0</v>
      </c>
      <c r="J31" s="13">
        <f t="shared" si="21"/>
        <v>0</v>
      </c>
      <c r="K31" s="13">
        <f t="shared" si="21"/>
        <v>0</v>
      </c>
      <c r="L31" s="13">
        <f t="shared" si="21"/>
        <v>0</v>
      </c>
      <c r="M31" s="13">
        <f t="shared" si="21"/>
        <v>0</v>
      </c>
      <c r="N31" s="13">
        <f t="shared" si="21"/>
        <v>0</v>
      </c>
      <c r="O31" s="13">
        <f t="shared" si="21"/>
        <v>0</v>
      </c>
      <c r="P31" s="13">
        <f t="shared" si="21"/>
        <v>0</v>
      </c>
      <c r="Q31" s="13">
        <f t="shared" si="21"/>
        <v>0</v>
      </c>
      <c r="R31" s="13">
        <f t="shared" si="21"/>
        <v>0</v>
      </c>
      <c r="T31" s="13">
        <f>G31</f>
        <v>0</v>
      </c>
      <c r="U31" s="13">
        <f t="shared" ref="U31:AA31" si="22">T34</f>
        <v>0</v>
      </c>
      <c r="V31" s="13">
        <f t="shared" si="22"/>
        <v>0</v>
      </c>
      <c r="W31" s="13">
        <f t="shared" si="22"/>
        <v>0</v>
      </c>
      <c r="X31" s="13">
        <f t="shared" si="22"/>
        <v>0</v>
      </c>
      <c r="Y31" s="13">
        <f t="shared" si="22"/>
        <v>0</v>
      </c>
      <c r="Z31" s="13">
        <f t="shared" si="22"/>
        <v>0</v>
      </c>
      <c r="AA31" s="13">
        <f t="shared" si="22"/>
        <v>0</v>
      </c>
      <c r="AC31" s="13">
        <f>T31</f>
        <v>0</v>
      </c>
      <c r="AD31" s="13">
        <f>AC34</f>
        <v>0</v>
      </c>
      <c r="AE31" s="13">
        <f>AD34</f>
        <v>0</v>
      </c>
      <c r="AF31" s="13">
        <f>AE34</f>
        <v>0</v>
      </c>
      <c r="AG31" s="13">
        <f>AF34</f>
        <v>0</v>
      </c>
    </row>
    <row r="32" spans="2:42" x14ac:dyDescent="0.25">
      <c r="C32" s="1" t="s">
        <v>178</v>
      </c>
      <c r="D32" s="1" t="s">
        <v>588</v>
      </c>
      <c r="G32" s="13">
        <f>ApndxB1!G43</f>
        <v>0</v>
      </c>
      <c r="H32" s="13">
        <f>ApndxB1!H43</f>
        <v>0</v>
      </c>
      <c r="I32" s="13">
        <f>ApndxB1!I43</f>
        <v>0</v>
      </c>
      <c r="J32" s="13">
        <f>ApndxB1!J43</f>
        <v>0</v>
      </c>
      <c r="K32" s="13">
        <f>ApndxB1!K43</f>
        <v>0</v>
      </c>
      <c r="L32" s="13">
        <f>ApndxB1!L43</f>
        <v>0</v>
      </c>
      <c r="M32" s="13">
        <f>ApndxB1!M43</f>
        <v>0</v>
      </c>
      <c r="N32" s="13">
        <f>ApndxB1!N43</f>
        <v>0</v>
      </c>
      <c r="O32" s="13">
        <f>ApndxB1!O43</f>
        <v>0</v>
      </c>
      <c r="P32" s="13">
        <f>ApndxB1!P43</f>
        <v>0</v>
      </c>
      <c r="Q32" s="13">
        <f>ApndxB1!Q43</f>
        <v>0</v>
      </c>
      <c r="R32" s="13">
        <f>ApndxB1!R43</f>
        <v>0</v>
      </c>
      <c r="T32" s="13">
        <f>SUM(G32:I32)</f>
        <v>0</v>
      </c>
      <c r="U32" s="13">
        <f>SUM(J32:L32)</f>
        <v>0</v>
      </c>
      <c r="V32" s="13">
        <f>SUM(M32:O32)</f>
        <v>0</v>
      </c>
      <c r="W32" s="13">
        <f>SUM(P32:R32)</f>
        <v>0</v>
      </c>
      <c r="X32" s="13">
        <f>ApndxB1!X43</f>
        <v>0</v>
      </c>
      <c r="Y32" s="13">
        <f>ApndxB1!Y43</f>
        <v>0</v>
      </c>
      <c r="Z32" s="13">
        <f>ApndxB1!Z43</f>
        <v>0</v>
      </c>
      <c r="AA32" s="13">
        <f>ApndxB1!AA43</f>
        <v>0</v>
      </c>
      <c r="AC32" s="13">
        <f>ApndxB1!AC43</f>
        <v>0</v>
      </c>
      <c r="AD32" s="13">
        <f>ApndxB1!AD43</f>
        <v>0</v>
      </c>
      <c r="AE32" s="13">
        <f>ApndxB1!AE43</f>
        <v>0</v>
      </c>
      <c r="AF32" s="13">
        <f>ApndxB1!AF43</f>
        <v>0</v>
      </c>
      <c r="AG32" s="13">
        <f>ApndxB1!AG43</f>
        <v>0</v>
      </c>
    </row>
    <row r="33" spans="2:33" x14ac:dyDescent="0.25">
      <c r="C33" s="1" t="s">
        <v>179</v>
      </c>
      <c r="D33" s="1" t="s">
        <v>591</v>
      </c>
      <c r="G33" s="13"/>
      <c r="H33" s="13"/>
      <c r="I33" s="13">
        <f>T33</f>
        <v>0</v>
      </c>
      <c r="J33" s="13"/>
      <c r="K33" s="13"/>
      <c r="L33" s="13">
        <f>U33</f>
        <v>0</v>
      </c>
      <c r="M33" s="13"/>
      <c r="N33" s="13"/>
      <c r="O33" s="13">
        <f>V33</f>
        <v>0</v>
      </c>
      <c r="P33" s="13"/>
      <c r="Q33" s="13"/>
      <c r="R33" s="13">
        <f>W33</f>
        <v>0</v>
      </c>
      <c r="T33" s="13">
        <f>$AC33/4</f>
        <v>0</v>
      </c>
      <c r="U33" s="13">
        <f>$AC33/4</f>
        <v>0</v>
      </c>
      <c r="V33" s="13">
        <f>$AC33/4</f>
        <v>0</v>
      </c>
      <c r="W33" s="13">
        <f>$AC33/4</f>
        <v>0</v>
      </c>
      <c r="X33" s="13">
        <f>$AD33/4</f>
        <v>0</v>
      </c>
      <c r="Y33" s="13">
        <f>$AD33/4</f>
        <v>0</v>
      </c>
      <c r="Z33" s="13">
        <f>$AD33/4</f>
        <v>0</v>
      </c>
      <c r="AA33" s="13">
        <f>$AD33/4</f>
        <v>0</v>
      </c>
      <c r="AC33" s="13">
        <f>ApndxA3!J25</f>
        <v>0</v>
      </c>
      <c r="AD33" s="13">
        <f>ApndxA3!K25</f>
        <v>0</v>
      </c>
      <c r="AE33" s="13">
        <f>ApndxA3!L25</f>
        <v>0</v>
      </c>
      <c r="AF33" s="13">
        <f>ApndxA3!M25</f>
        <v>0</v>
      </c>
      <c r="AG33" s="13">
        <f>ApndxA3!N25</f>
        <v>0</v>
      </c>
    </row>
    <row r="34" spans="2:33" x14ac:dyDescent="0.25">
      <c r="C34" s="390" t="s">
        <v>199</v>
      </c>
      <c r="D34" s="390"/>
      <c r="E34" s="390"/>
      <c r="F34" s="390"/>
      <c r="G34" s="693">
        <f>SUM(G31:G33)</f>
        <v>0</v>
      </c>
      <c r="H34" s="693">
        <f t="shared" ref="H34:M34" si="23">SUM(H31:H33)</f>
        <v>0</v>
      </c>
      <c r="I34" s="693">
        <f t="shared" si="23"/>
        <v>0</v>
      </c>
      <c r="J34" s="693">
        <f t="shared" si="23"/>
        <v>0</v>
      </c>
      <c r="K34" s="693">
        <f t="shared" si="23"/>
        <v>0</v>
      </c>
      <c r="L34" s="693">
        <f t="shared" si="23"/>
        <v>0</v>
      </c>
      <c r="M34" s="693">
        <f t="shared" si="23"/>
        <v>0</v>
      </c>
      <c r="N34" s="693">
        <f>SUM(N31:N33)</f>
        <v>0</v>
      </c>
      <c r="O34" s="693">
        <f>SUM(O31:O33)</f>
        <v>0</v>
      </c>
      <c r="P34" s="693">
        <f>SUM(P31:P33)</f>
        <v>0</v>
      </c>
      <c r="Q34" s="693">
        <f>SUM(Q31:Q33)</f>
        <v>0</v>
      </c>
      <c r="R34" s="693">
        <f>SUM(R31:R33)</f>
        <v>0</v>
      </c>
      <c r="S34" s="390"/>
      <c r="T34" s="693">
        <f t="shared" ref="T34:AA34" si="24">SUM(T31:T33)</f>
        <v>0</v>
      </c>
      <c r="U34" s="693">
        <f t="shared" si="24"/>
        <v>0</v>
      </c>
      <c r="V34" s="693">
        <f t="shared" si="24"/>
        <v>0</v>
      </c>
      <c r="W34" s="693">
        <f t="shared" si="24"/>
        <v>0</v>
      </c>
      <c r="X34" s="693">
        <f t="shared" si="24"/>
        <v>0</v>
      </c>
      <c r="Y34" s="693">
        <f t="shared" si="24"/>
        <v>0</v>
      </c>
      <c r="Z34" s="693">
        <f t="shared" si="24"/>
        <v>0</v>
      </c>
      <c r="AA34" s="693">
        <f t="shared" si="24"/>
        <v>0</v>
      </c>
      <c r="AB34" s="390"/>
      <c r="AC34" s="693">
        <f>SUM(AC31:AC33)</f>
        <v>0</v>
      </c>
      <c r="AD34" s="693">
        <f>SUM(AD31:AD33)</f>
        <v>0</v>
      </c>
      <c r="AE34" s="693">
        <f>SUM(AE31:AE33)</f>
        <v>0</v>
      </c>
      <c r="AF34" s="693">
        <f>SUM(AF31:AF33)</f>
        <v>0</v>
      </c>
      <c r="AG34" s="693">
        <f>SUM(AG31:AG33)</f>
        <v>0</v>
      </c>
    </row>
    <row r="35" spans="2:33" x14ac:dyDescent="0.25">
      <c r="G35" s="13"/>
      <c r="H35" s="13"/>
      <c r="I35" s="13"/>
      <c r="J35" s="13"/>
      <c r="K35" s="13"/>
      <c r="L35" s="13"/>
      <c r="M35" s="13"/>
      <c r="N35" s="13"/>
      <c r="O35" s="13"/>
      <c r="P35" s="13"/>
      <c r="Q35" s="13"/>
      <c r="R35" s="13"/>
      <c r="T35" s="13"/>
      <c r="U35" s="13"/>
      <c r="V35" s="13"/>
      <c r="W35" s="13"/>
      <c r="X35" s="13"/>
      <c r="Y35" s="13"/>
      <c r="Z35" s="13"/>
      <c r="AA35" s="13"/>
      <c r="AC35" s="13"/>
      <c r="AD35" s="13"/>
      <c r="AE35" s="13"/>
      <c r="AF35" s="13"/>
      <c r="AG35" s="13"/>
    </row>
    <row r="36" spans="2:33" x14ac:dyDescent="0.25">
      <c r="B36" s="106" t="s">
        <v>593</v>
      </c>
      <c r="G36" s="13"/>
      <c r="H36" s="13"/>
      <c r="I36" s="13"/>
      <c r="J36" s="13"/>
      <c r="K36" s="13"/>
      <c r="L36" s="13"/>
      <c r="M36" s="13"/>
      <c r="N36" s="13"/>
      <c r="O36" s="13"/>
      <c r="P36" s="13"/>
      <c r="Q36" s="13"/>
      <c r="R36" s="13"/>
      <c r="T36" s="13"/>
      <c r="U36" s="13"/>
      <c r="V36" s="13"/>
      <c r="W36" s="13"/>
      <c r="X36" s="13"/>
      <c r="Y36" s="13"/>
      <c r="Z36" s="13"/>
      <c r="AA36" s="13"/>
      <c r="AC36" s="13"/>
      <c r="AD36" s="13"/>
      <c r="AE36" s="13"/>
      <c r="AF36" s="13"/>
      <c r="AG36" s="13"/>
    </row>
    <row r="37" spans="2:33" x14ac:dyDescent="0.25">
      <c r="C37" s="1" t="str">
        <f>C31</f>
        <v>Beginning Balance</v>
      </c>
      <c r="G37" s="13">
        <f>ApndxA2!J37</f>
        <v>639.82006616561944</v>
      </c>
      <c r="H37" s="13">
        <f t="shared" ref="H37:R37" si="25">G40</f>
        <v>672.01228129379786</v>
      </c>
      <c r="I37" s="13">
        <f t="shared" si="25"/>
        <v>704.32531585376546</v>
      </c>
      <c r="J37" s="13">
        <f t="shared" si="25"/>
        <v>658.5032842883902</v>
      </c>
      <c r="K37" s="13">
        <f t="shared" si="25"/>
        <v>691.30117999590288</v>
      </c>
      <c r="L37" s="13">
        <f t="shared" si="25"/>
        <v>724.3426974076018</v>
      </c>
      <c r="M37" s="13">
        <f t="shared" si="25"/>
        <v>679.25153355725013</v>
      </c>
      <c r="N37" s="13">
        <f t="shared" si="25"/>
        <v>712.78268965050074</v>
      </c>
      <c r="O37" s="13">
        <f t="shared" si="25"/>
        <v>746.55986795163312</v>
      </c>
      <c r="P37" s="13">
        <f t="shared" si="25"/>
        <v>702.20677335303492</v>
      </c>
      <c r="Q37" s="13">
        <f t="shared" si="25"/>
        <v>736.47841494471027</v>
      </c>
      <c r="R37" s="13">
        <f t="shared" si="25"/>
        <v>770.9985029011018</v>
      </c>
      <c r="T37" s="13">
        <f>G37</f>
        <v>639.82006616561944</v>
      </c>
      <c r="U37" s="13">
        <f t="shared" ref="U37:AA37" si="26">T40</f>
        <v>658.50328428839009</v>
      </c>
      <c r="V37" s="13">
        <f t="shared" si="26"/>
        <v>679.25153355725013</v>
      </c>
      <c r="W37" s="13">
        <f t="shared" si="26"/>
        <v>702.20677335303481</v>
      </c>
      <c r="X37" s="13">
        <f t="shared" si="26"/>
        <v>727.39075005065581</v>
      </c>
      <c r="Y37" s="13">
        <f t="shared" si="26"/>
        <v>773.07417564651325</v>
      </c>
      <c r="Z37" s="13">
        <f t="shared" si="26"/>
        <v>820.28244616984648</v>
      </c>
      <c r="AA37" s="13">
        <f t="shared" si="26"/>
        <v>869.01482267363008</v>
      </c>
      <c r="AC37" s="13">
        <f>T37</f>
        <v>639.82006616561944</v>
      </c>
      <c r="AD37" s="13">
        <f>AC40</f>
        <v>727.39075005065581</v>
      </c>
      <c r="AE37" s="13">
        <f>AD40</f>
        <v>919.27056073001529</v>
      </c>
      <c r="AF37" s="13">
        <f>AE40</f>
        <v>808.69345344430837</v>
      </c>
      <c r="AG37" s="13">
        <f>AF40</f>
        <v>730.68746428598934</v>
      </c>
    </row>
    <row r="38" spans="2:33" x14ac:dyDescent="0.25">
      <c r="C38" s="1" t="s">
        <v>178</v>
      </c>
      <c r="D38" s="1" t="str">
        <f>D32</f>
        <v>Increase</v>
      </c>
      <c r="G38" s="13">
        <f>ApndxB1!G44</f>
        <v>32.19221512817839</v>
      </c>
      <c r="H38" s="13">
        <f>ApndxB1!H44</f>
        <v>32.313034559967633</v>
      </c>
      <c r="I38" s="13">
        <f>ApndxB1!I44</f>
        <v>32.555068954926469</v>
      </c>
      <c r="J38" s="13">
        <f>ApndxB1!J44</f>
        <v>32.797895707512659</v>
      </c>
      <c r="K38" s="13">
        <f>ApndxB1!K44</f>
        <v>33.041517411698941</v>
      </c>
      <c r="L38" s="13">
        <f>ApndxB1!L44</f>
        <v>33.285936669950082</v>
      </c>
      <c r="M38" s="13">
        <f>ApndxB1!M44</f>
        <v>33.531156093250566</v>
      </c>
      <c r="N38" s="13">
        <f>ApndxB1!N44</f>
        <v>33.777178301132381</v>
      </c>
      <c r="O38" s="13">
        <f>ApndxB1!O44</f>
        <v>34.024005921703484</v>
      </c>
      <c r="P38" s="13">
        <f>ApndxB1!P44</f>
        <v>34.271641591675326</v>
      </c>
      <c r="Q38" s="13">
        <f>ApndxB1!Q44</f>
        <v>34.520087956391578</v>
      </c>
      <c r="R38" s="13">
        <f>ApndxB1!R44</f>
        <v>34.769347669855634</v>
      </c>
      <c r="T38" s="13">
        <f>ApndxB1!T44</f>
        <v>97.06031864307235</v>
      </c>
      <c r="U38" s="13">
        <f>ApndxB1!U44</f>
        <v>99.125349789161731</v>
      </c>
      <c r="V38" s="13">
        <f>ApndxB1!V44</f>
        <v>101.33234031608637</v>
      </c>
      <c r="W38" s="13">
        <f>ApndxB1!W44</f>
        <v>103.56107721792276</v>
      </c>
      <c r="X38" s="13">
        <f>ApndxB1!X44</f>
        <v>61.725568633311269</v>
      </c>
      <c r="Y38" s="13">
        <f>ApndxB1!Y44</f>
        <v>63.250413560787052</v>
      </c>
      <c r="Z38" s="13">
        <f>ApndxB1!Z44</f>
        <v>64.774519541237339</v>
      </c>
      <c r="AA38" s="13">
        <f>ApndxB1!AA44</f>
        <v>66.297881093839493</v>
      </c>
      <c r="AC38" s="13">
        <f>ApndxB1!AC44</f>
        <v>401.07908596624316</v>
      </c>
      <c r="AD38" s="13">
        <f>ApndxB1!AD44</f>
        <v>256.04838282917467</v>
      </c>
      <c r="AE38" s="13">
        <f>ApndxB1!AE44</f>
        <v>221.7346007775617</v>
      </c>
      <c r="AF38" s="13">
        <f>ApndxB1!AF44</f>
        <v>171.0320748195644</v>
      </c>
      <c r="AG38" s="13">
        <f>ApndxB1!AG44</f>
        <v>113.61280418072306</v>
      </c>
    </row>
    <row r="39" spans="2:33" x14ac:dyDescent="0.25">
      <c r="C39" s="1" t="s">
        <v>179</v>
      </c>
      <c r="D39" s="1" t="str">
        <f>D33</f>
        <v>Payouts</v>
      </c>
      <c r="G39" s="13"/>
      <c r="H39" s="13"/>
      <c r="I39" s="13">
        <f>T39</f>
        <v>-78.377100520301695</v>
      </c>
      <c r="J39" s="13"/>
      <c r="K39" s="13"/>
      <c r="L39" s="13">
        <f>U39</f>
        <v>-78.377100520301695</v>
      </c>
      <c r="M39" s="13"/>
      <c r="N39" s="13"/>
      <c r="O39" s="13">
        <f>V39</f>
        <v>-78.377100520301695</v>
      </c>
      <c r="P39" s="13"/>
      <c r="Q39" s="13"/>
      <c r="R39" s="13">
        <f>W39</f>
        <v>-78.377100520301695</v>
      </c>
      <c r="T39" s="13">
        <f>$AC39/4</f>
        <v>-78.377100520301695</v>
      </c>
      <c r="U39" s="13">
        <f>$AC39/4</f>
        <v>-78.377100520301695</v>
      </c>
      <c r="V39" s="13">
        <f>$AC39/4</f>
        <v>-78.377100520301695</v>
      </c>
      <c r="W39" s="13">
        <f>$AC39/4</f>
        <v>-78.377100520301695</v>
      </c>
      <c r="X39" s="13">
        <f>$AD39/4</f>
        <v>-16.042143037453798</v>
      </c>
      <c r="Y39" s="13">
        <f>$AD39/4</f>
        <v>-16.042143037453798</v>
      </c>
      <c r="Z39" s="13">
        <f>$AD39/4</f>
        <v>-16.042143037453798</v>
      </c>
      <c r="AA39" s="13">
        <f>$AD39/4</f>
        <v>-16.042143037453798</v>
      </c>
      <c r="AC39" s="13">
        <f>ApndxA3!J24</f>
        <v>-313.50840208120678</v>
      </c>
      <c r="AD39" s="13">
        <f>ApndxA3!K24</f>
        <v>-64.168572149815191</v>
      </c>
      <c r="AE39" s="13">
        <f>ApndxA3!L24</f>
        <v>-332.31170806326861</v>
      </c>
      <c r="AF39" s="13">
        <f>ApndxA3!M24</f>
        <v>-249.03806397788344</v>
      </c>
      <c r="AG39" s="13">
        <f>ApndxA3!N24</f>
        <v>-189.95335959772797</v>
      </c>
    </row>
    <row r="40" spans="2:33" x14ac:dyDescent="0.25">
      <c r="C40" s="390" t="str">
        <f>C34</f>
        <v>Ending Balance</v>
      </c>
      <c r="D40" s="390"/>
      <c r="E40" s="390"/>
      <c r="F40" s="390"/>
      <c r="G40" s="693">
        <f>SUM(G37:G39)</f>
        <v>672.01228129379786</v>
      </c>
      <c r="H40" s="693">
        <f t="shared" ref="H40:M40" si="27">SUM(H37:H39)</f>
        <v>704.32531585376546</v>
      </c>
      <c r="I40" s="693">
        <f t="shared" si="27"/>
        <v>658.5032842883902</v>
      </c>
      <c r="J40" s="693">
        <f t="shared" si="27"/>
        <v>691.30117999590288</v>
      </c>
      <c r="K40" s="693">
        <f t="shared" si="27"/>
        <v>724.3426974076018</v>
      </c>
      <c r="L40" s="693">
        <f t="shared" si="27"/>
        <v>679.25153355725013</v>
      </c>
      <c r="M40" s="693">
        <f t="shared" si="27"/>
        <v>712.78268965050074</v>
      </c>
      <c r="N40" s="693">
        <f>SUM(N37:N39)</f>
        <v>746.55986795163312</v>
      </c>
      <c r="O40" s="693">
        <f>SUM(O37:O39)</f>
        <v>702.20677335303492</v>
      </c>
      <c r="P40" s="693">
        <f>SUM(P37:P39)</f>
        <v>736.47841494471027</v>
      </c>
      <c r="Q40" s="693">
        <f>SUM(Q37:Q39)</f>
        <v>770.9985029011018</v>
      </c>
      <c r="R40" s="693">
        <f>SUM(R37:R39)</f>
        <v>727.3907500506557</v>
      </c>
      <c r="S40" s="390"/>
      <c r="T40" s="693">
        <f t="shared" ref="T40:AA40" si="28">SUM(T37:T39)</f>
        <v>658.50328428839009</v>
      </c>
      <c r="U40" s="693">
        <f t="shared" si="28"/>
        <v>679.25153355725013</v>
      </c>
      <c r="V40" s="693">
        <f t="shared" si="28"/>
        <v>702.20677335303481</v>
      </c>
      <c r="W40" s="693">
        <f t="shared" si="28"/>
        <v>727.39075005065581</v>
      </c>
      <c r="X40" s="693">
        <f t="shared" si="28"/>
        <v>773.07417564651325</v>
      </c>
      <c r="Y40" s="693">
        <f t="shared" si="28"/>
        <v>820.28244616984648</v>
      </c>
      <c r="Z40" s="693">
        <f t="shared" si="28"/>
        <v>869.01482267363008</v>
      </c>
      <c r="AA40" s="693">
        <f t="shared" si="28"/>
        <v>919.27056073001575</v>
      </c>
      <c r="AB40" s="390"/>
      <c r="AC40" s="693">
        <f>SUM(AC37:AC39)</f>
        <v>727.39075005065581</v>
      </c>
      <c r="AD40" s="693">
        <f>SUM(AD37:AD39)</f>
        <v>919.27056073001529</v>
      </c>
      <c r="AE40" s="693">
        <f>SUM(AE37:AE39)</f>
        <v>808.69345344430837</v>
      </c>
      <c r="AF40" s="693">
        <f>SUM(AF37:AF39)</f>
        <v>730.68746428598934</v>
      </c>
      <c r="AG40" s="693">
        <f>SUM(AG37:AG39)</f>
        <v>654.34690886898443</v>
      </c>
    </row>
    <row r="43" spans="2:33" x14ac:dyDescent="0.25">
      <c r="G43" s="381"/>
    </row>
    <row r="44" spans="2:33" x14ac:dyDescent="0.25">
      <c r="G44" s="82"/>
    </row>
  </sheetData>
  <pageMargins left="0.7" right="0.7" top="0.75" bottom="0.75" header="0.3" footer="0.3"/>
  <pageSetup scale="75" fitToWidth="0" orientation="landscape" r:id="rId1"/>
  <colBreaks count="1" manualBreakCount="1">
    <brk id="18" max="42" man="1"/>
  </colBreaks>
  <ignoredErrors>
    <ignoredError sqref="A2:AG4 G24:AA24 C23:F40 A5 AM16:AR18 AO13:AO15 G40:AG40 G34:AG38 G33:S33 AB33 AB39 S39 S32 X32:AG32 C13:AG13 G26:AG26 S25 C9:AA9 AC9:AG9 C12:AA12 AC12:AG12 C15:AG16 C14:AA14 AC14:AG14 C20:AG21 C17:F17 AD17:AG17 C18:AA18 AC18:AG18 C19:AA19 AC19:AG19 G29:AG31 G27:AA28 AC27:AG28 G23:AA23 AC23:AG23 AC24:AG24 C10:F10 S10:AA10 C11:F11 S11:AA11 S17:AA17 AD10:AG10 AD11:AG11" unlockedFormula="1"/>
  </ignoredErrors>
  <legacy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>
    <tabColor theme="5" tint="0.39997558519241921"/>
  </sheetPr>
  <dimension ref="A1:AM37"/>
  <sheetViews>
    <sheetView showGridLines="0" view="pageBreakPreview" zoomScaleNormal="110" zoomScaleSheetLayoutView="100" workbookViewId="0">
      <pane xSplit="6" ySplit="7" topLeftCell="G8" activePane="bottomRight" state="frozenSplit"/>
      <selection activeCell="J9" sqref="J9"/>
      <selection pane="topRight" activeCell="J9" sqref="J9"/>
      <selection pane="bottomLeft" activeCell="J9" sqref="J9"/>
      <selection pane="bottomRight" activeCell="G8" sqref="G8"/>
    </sheetView>
  </sheetViews>
  <sheetFormatPr defaultColWidth="9.42578125" defaultRowHeight="15" x14ac:dyDescent="0.25"/>
  <cols>
    <col min="1" max="1" width="1.5703125" style="1" customWidth="1"/>
    <col min="2" max="5" width="3" style="1" customWidth="1"/>
    <col min="6" max="6" width="18.42578125" style="1" customWidth="1"/>
    <col min="7" max="18" width="9.42578125" style="1" customWidth="1"/>
    <col min="19" max="19" width="4" style="1" customWidth="1"/>
    <col min="20" max="27" width="7.5703125" style="1" customWidth="1"/>
    <col min="28" max="28" width="4" style="1" customWidth="1"/>
    <col min="29" max="33" width="9.5703125" style="1" customWidth="1"/>
    <col min="34" max="16384" width="9.42578125" style="1"/>
  </cols>
  <sheetData>
    <row r="1" spans="1:39" ht="6" customHeight="1" thickBot="1" x14ac:dyDescent="0.3">
      <c r="B1" s="85"/>
      <c r="C1" s="86"/>
      <c r="D1" s="85"/>
      <c r="E1" s="85"/>
      <c r="F1" s="85"/>
      <c r="G1" s="85"/>
      <c r="H1" s="85"/>
      <c r="I1" s="85"/>
      <c r="J1" s="85"/>
      <c r="K1" s="85"/>
      <c r="L1" s="85"/>
      <c r="M1" s="85"/>
      <c r="N1" s="85"/>
      <c r="O1" s="85"/>
      <c r="P1" s="85"/>
      <c r="Q1" s="85"/>
      <c r="R1" s="85"/>
      <c r="S1" s="85"/>
      <c r="T1" s="85"/>
      <c r="U1" s="85"/>
      <c r="V1" s="85"/>
      <c r="W1" s="85"/>
      <c r="X1" s="85"/>
      <c r="Y1" s="85"/>
      <c r="Z1" s="85"/>
      <c r="AA1" s="85"/>
      <c r="AB1" s="85"/>
      <c r="AC1" s="85"/>
      <c r="AD1" s="85"/>
      <c r="AE1" s="85"/>
      <c r="AF1" s="85"/>
      <c r="AG1" s="85"/>
    </row>
    <row r="2" spans="1:39" ht="16.5" thickTop="1" x14ac:dyDescent="0.25">
      <c r="B2" s="110" t="str">
        <f>MainOutline!B2</f>
        <v>WB Santa Cruz</v>
      </c>
      <c r="C2" s="111"/>
      <c r="D2" s="111"/>
      <c r="E2" s="111"/>
      <c r="F2" s="111"/>
      <c r="G2" s="111"/>
      <c r="H2" s="111"/>
      <c r="I2" s="508" t="str">
        <f>'A1'!$C$90</f>
        <v>Acquisition of an existing facility</v>
      </c>
      <c r="J2" s="111"/>
      <c r="K2" s="111"/>
      <c r="L2" s="111"/>
      <c r="M2" s="111"/>
      <c r="N2" s="111"/>
      <c r="O2" s="111"/>
      <c r="P2" s="111"/>
      <c r="Q2" s="111"/>
      <c r="R2" s="1409">
        <f>$A3</f>
        <v>27</v>
      </c>
      <c r="S2" s="111"/>
      <c r="T2" s="111"/>
      <c r="U2" s="111"/>
      <c r="V2" s="508" t="str">
        <f>'A1'!$C$90</f>
        <v>Acquisition of an existing facility</v>
      </c>
      <c r="W2" s="111"/>
      <c r="X2" s="111"/>
      <c r="Y2" s="111"/>
      <c r="Z2" s="111"/>
      <c r="AA2" s="111"/>
      <c r="AB2" s="111"/>
      <c r="AC2" s="111"/>
      <c r="AD2" s="111"/>
      <c r="AE2" s="111"/>
      <c r="AF2" s="111"/>
      <c r="AG2" s="1409">
        <f>$A3+1</f>
        <v>28</v>
      </c>
    </row>
    <row r="3" spans="1:39" ht="15.75" x14ac:dyDescent="0.25">
      <c r="A3" s="123">
        <f>MainOutline!B41</f>
        <v>27</v>
      </c>
      <c r="B3" s="102" t="str">
        <f>MainOutline!C41</f>
        <v>Appendix B4</v>
      </c>
      <c r="C3" s="89"/>
      <c r="D3" s="89"/>
      <c r="E3" s="89"/>
      <c r="F3" s="89"/>
      <c r="G3" s="89"/>
      <c r="H3" s="89"/>
      <c r="I3" s="89"/>
      <c r="J3" s="89"/>
      <c r="K3" s="89"/>
      <c r="L3" s="89"/>
      <c r="M3" s="89"/>
      <c r="N3" s="89"/>
      <c r="O3" s="89"/>
      <c r="P3" s="89"/>
      <c r="Q3" s="89"/>
      <c r="R3" s="89"/>
      <c r="S3" s="89"/>
      <c r="T3" s="89"/>
      <c r="U3" s="89"/>
      <c r="V3" s="89"/>
      <c r="W3" s="89"/>
      <c r="X3" s="89"/>
      <c r="Y3" s="89"/>
      <c r="Z3" s="89"/>
      <c r="AA3" s="89"/>
      <c r="AB3" s="89"/>
      <c r="AC3" s="89"/>
      <c r="AD3" s="89"/>
      <c r="AE3" s="89"/>
      <c r="AF3" s="89"/>
      <c r="AG3" s="89"/>
    </row>
    <row r="4" spans="1:39" ht="16.5" thickBot="1" x14ac:dyDescent="0.3">
      <c r="B4" s="104" t="s">
        <v>45</v>
      </c>
      <c r="C4" s="97"/>
      <c r="D4" s="97"/>
      <c r="E4" s="97"/>
      <c r="F4" s="97"/>
      <c r="G4" s="97"/>
      <c r="H4" s="97"/>
      <c r="I4" s="97"/>
      <c r="J4" s="97"/>
      <c r="K4" s="97"/>
      <c r="L4" s="97"/>
      <c r="M4" s="97"/>
      <c r="N4" s="97"/>
      <c r="O4" s="97"/>
      <c r="P4" s="97"/>
      <c r="Q4" s="97"/>
      <c r="R4" s="388" t="str">
        <f>ApndxB1!R4</f>
        <v>($000)</v>
      </c>
      <c r="S4" s="97"/>
      <c r="T4" s="97"/>
      <c r="U4" s="97"/>
      <c r="V4" s="97"/>
      <c r="W4" s="97"/>
      <c r="X4" s="97"/>
      <c r="Y4" s="97"/>
      <c r="Z4" s="97"/>
      <c r="AA4" s="97"/>
      <c r="AB4" s="97"/>
      <c r="AC4" s="97"/>
      <c r="AD4" s="97"/>
      <c r="AE4" s="97"/>
      <c r="AF4" s="97"/>
      <c r="AG4" s="388" t="str">
        <f>ApndxB1!AG4</f>
        <v>($000)</v>
      </c>
    </row>
    <row r="5" spans="1:39" ht="15.75" thickTop="1" x14ac:dyDescent="0.25">
      <c r="A5" s="123">
        <f>IF('A1'!$B$84=1,1,0)</f>
        <v>0</v>
      </c>
    </row>
    <row r="6" spans="1:39" ht="17.25" x14ac:dyDescent="0.4">
      <c r="G6" s="681" t="s">
        <v>471</v>
      </c>
      <c r="H6" s="681"/>
      <c r="I6" s="681"/>
      <c r="J6" s="681"/>
      <c r="K6" s="681"/>
      <c r="L6" s="681"/>
      <c r="M6" s="681"/>
      <c r="N6" s="681"/>
      <c r="O6" s="681"/>
      <c r="P6" s="681"/>
      <c r="Q6" s="681"/>
      <c r="R6" s="681"/>
      <c r="T6" s="681" t="s">
        <v>472</v>
      </c>
      <c r="U6" s="700"/>
      <c r="V6" s="700"/>
      <c r="W6" s="700"/>
      <c r="X6" s="700"/>
      <c r="Y6" s="700"/>
      <c r="Z6" s="700"/>
      <c r="AA6" s="700"/>
      <c r="AC6" s="681" t="s">
        <v>133</v>
      </c>
      <c r="AD6" s="700"/>
      <c r="AE6" s="700"/>
      <c r="AF6" s="700"/>
      <c r="AG6" s="700"/>
      <c r="AI6" s="1" t="s">
        <v>1101</v>
      </c>
    </row>
    <row r="7" spans="1:39" s="511" customFormat="1" ht="15.75" thickBot="1" x14ac:dyDescent="0.3">
      <c r="G7" s="701">
        <v>1</v>
      </c>
      <c r="H7" s="701">
        <f>G7+1</f>
        <v>2</v>
      </c>
      <c r="I7" s="701">
        <f t="shared" ref="I7:R7" si="0">H7+1</f>
        <v>3</v>
      </c>
      <c r="J7" s="701">
        <f t="shared" si="0"/>
        <v>4</v>
      </c>
      <c r="K7" s="701">
        <f t="shared" si="0"/>
        <v>5</v>
      </c>
      <c r="L7" s="701">
        <f t="shared" si="0"/>
        <v>6</v>
      </c>
      <c r="M7" s="701">
        <f t="shared" si="0"/>
        <v>7</v>
      </c>
      <c r="N7" s="701">
        <f t="shared" si="0"/>
        <v>8</v>
      </c>
      <c r="O7" s="701">
        <f t="shared" si="0"/>
        <v>9</v>
      </c>
      <c r="P7" s="701">
        <f t="shared" si="0"/>
        <v>10</v>
      </c>
      <c r="Q7" s="701">
        <f t="shared" si="0"/>
        <v>11</v>
      </c>
      <c r="R7" s="701">
        <f t="shared" si="0"/>
        <v>12</v>
      </c>
      <c r="T7" s="702" t="s">
        <v>20</v>
      </c>
      <c r="U7" s="702" t="s">
        <v>21</v>
      </c>
      <c r="V7" s="702" t="s">
        <v>22</v>
      </c>
      <c r="W7" s="702" t="s">
        <v>23</v>
      </c>
      <c r="X7" s="703" t="s">
        <v>24</v>
      </c>
      <c r="Y7" s="702" t="s">
        <v>25</v>
      </c>
      <c r="Z7" s="702" t="s">
        <v>26</v>
      </c>
      <c r="AA7" s="702" t="s">
        <v>27</v>
      </c>
      <c r="AC7" s="702">
        <v>1</v>
      </c>
      <c r="AD7" s="702">
        <v>2</v>
      </c>
      <c r="AE7" s="702">
        <v>3</v>
      </c>
      <c r="AF7" s="702">
        <v>4</v>
      </c>
      <c r="AG7" s="703">
        <v>5</v>
      </c>
      <c r="AH7" s="511" t="s">
        <v>389</v>
      </c>
      <c r="AI7" s="511" t="s">
        <v>1102</v>
      </c>
    </row>
    <row r="9" spans="1:39" x14ac:dyDescent="0.25">
      <c r="B9" s="1" t="s">
        <v>45</v>
      </c>
    </row>
    <row r="10" spans="1:39" x14ac:dyDescent="0.25">
      <c r="C10" s="1" t="s">
        <v>40</v>
      </c>
      <c r="G10" s="13">
        <f>ApndxB1!G42</f>
        <v>32.19221512817839</v>
      </c>
      <c r="H10" s="13">
        <f>ApndxB1!H42</f>
        <v>32.313034559967633</v>
      </c>
      <c r="I10" s="13">
        <f>ApndxB1!I42</f>
        <v>32.555068954926469</v>
      </c>
      <c r="J10" s="13">
        <f>ApndxB1!J42</f>
        <v>32.797895707512659</v>
      </c>
      <c r="K10" s="13">
        <f>ApndxB1!K42</f>
        <v>33.041517411698941</v>
      </c>
      <c r="L10" s="13">
        <f>ApndxB1!L42</f>
        <v>33.285936669950082</v>
      </c>
      <c r="M10" s="13">
        <f>ApndxB1!M42</f>
        <v>33.531156093250566</v>
      </c>
      <c r="N10" s="13">
        <f>ApndxB1!N42</f>
        <v>33.777178301132381</v>
      </c>
      <c r="O10" s="13">
        <f>ApndxB1!O42</f>
        <v>34.024005921703484</v>
      </c>
      <c r="P10" s="13">
        <f>ApndxB1!P42</f>
        <v>34.271641591675326</v>
      </c>
      <c r="Q10" s="13">
        <f>ApndxB1!Q42</f>
        <v>34.520087956391578</v>
      </c>
      <c r="R10" s="13">
        <f>ApndxB1!R42</f>
        <v>34.769347669855634</v>
      </c>
      <c r="T10" s="13">
        <f>ApndxB1!T42</f>
        <v>97.06031864307235</v>
      </c>
      <c r="U10" s="13">
        <f>ApndxB1!U42</f>
        <v>99.125349789161731</v>
      </c>
      <c r="V10" s="13">
        <f>ApndxB1!V42</f>
        <v>101.33234031608637</v>
      </c>
      <c r="W10" s="13">
        <f>ApndxB1!W42</f>
        <v>103.56107721792276</v>
      </c>
      <c r="X10" s="13">
        <f>ApndxB1!X42</f>
        <v>61.725568633311269</v>
      </c>
      <c r="Y10" s="13">
        <f>ApndxB1!Y42</f>
        <v>63.250413560787052</v>
      </c>
      <c r="Z10" s="13">
        <f>ApndxB1!Z42</f>
        <v>64.774519541237339</v>
      </c>
      <c r="AA10" s="13">
        <f>ApndxB1!AA42</f>
        <v>66.297881093839493</v>
      </c>
      <c r="AC10" s="13">
        <f>ApndxB1!AC42</f>
        <v>401.07908596624316</v>
      </c>
      <c r="AD10" s="13">
        <f>ApndxB1!AD42</f>
        <v>256.04838282917467</v>
      </c>
      <c r="AE10" s="13">
        <f>ApndxB1!AE42</f>
        <v>221.7346007775617</v>
      </c>
      <c r="AF10" s="13">
        <f>ApndxB1!AF42</f>
        <v>171.0320748195644</v>
      </c>
      <c r="AG10" s="13">
        <f>ApndxB1!AG42</f>
        <v>113.61280418072306</v>
      </c>
      <c r="AH10" s="13"/>
    </row>
    <row r="11" spans="1:39" x14ac:dyDescent="0.25">
      <c r="C11" s="1" t="s">
        <v>178</v>
      </c>
      <c r="D11" s="1" t="s">
        <v>163</v>
      </c>
      <c r="G11" s="13">
        <f>ApndxB1!G35</f>
        <v>1.0597042857142858</v>
      </c>
      <c r="H11" s="13">
        <f>ApndxB1!H35</f>
        <v>1.0597042857142858</v>
      </c>
      <c r="I11" s="13">
        <f>ApndxB1!I35</f>
        <v>1.0597042857142858</v>
      </c>
      <c r="J11" s="13">
        <f>ApndxB1!J35</f>
        <v>1.0597042857142858</v>
      </c>
      <c r="K11" s="13">
        <f>ApndxB1!K35</f>
        <v>1.0597042857142858</v>
      </c>
      <c r="L11" s="13">
        <f>ApndxB1!L35</f>
        <v>1.0597042857142858</v>
      </c>
      <c r="M11" s="13">
        <f>ApndxB1!M35</f>
        <v>1.0597042857142858</v>
      </c>
      <c r="N11" s="13">
        <f>ApndxB1!N35</f>
        <v>1.0597042857142858</v>
      </c>
      <c r="O11" s="13">
        <f>ApndxB1!O35</f>
        <v>1.0597042857142858</v>
      </c>
      <c r="P11" s="13">
        <f>ApndxB1!P35</f>
        <v>1.0597042857142858</v>
      </c>
      <c r="Q11" s="13">
        <f>ApndxB1!Q35</f>
        <v>1.0597042857142858</v>
      </c>
      <c r="R11" s="13">
        <f>ApndxB1!R35</f>
        <v>1.0597042857142858</v>
      </c>
      <c r="T11" s="13">
        <f>ApndxB1!T35</f>
        <v>3.1791128571428571</v>
      </c>
      <c r="U11" s="13">
        <f>ApndxB1!U35</f>
        <v>3.1791128571428571</v>
      </c>
      <c r="V11" s="13">
        <f>ApndxB1!V35</f>
        <v>3.1791128571428571</v>
      </c>
      <c r="W11" s="13">
        <f>ApndxB1!W35</f>
        <v>3.1791128571428571</v>
      </c>
      <c r="X11" s="13">
        <f>ApndxB1!X35</f>
        <v>30.929112857142858</v>
      </c>
      <c r="Y11" s="13">
        <f>ApndxB1!Y35</f>
        <v>30.929112857142858</v>
      </c>
      <c r="Z11" s="13">
        <f>ApndxB1!Z35</f>
        <v>30.929112857142858</v>
      </c>
      <c r="AA11" s="13">
        <f>ApndxB1!AA35</f>
        <v>30.929112857142858</v>
      </c>
      <c r="AB11" s="13"/>
      <c r="AC11" s="13">
        <f>ApndxB1!AC35</f>
        <v>12.71645142857143</v>
      </c>
      <c r="AD11" s="13">
        <f>ApndxB1!AD35</f>
        <v>123.71645142857143</v>
      </c>
      <c r="AE11" s="13">
        <f>ApndxB1!AE35</f>
        <v>113.48829142857143</v>
      </c>
      <c r="AF11" s="13">
        <f>ApndxB1!AF35</f>
        <v>113.48829142857143</v>
      </c>
      <c r="AG11" s="13">
        <f>ApndxB1!AG35</f>
        <v>113.48829142857143</v>
      </c>
      <c r="AH11" s="13"/>
    </row>
    <row r="12" spans="1:39" x14ac:dyDescent="0.25">
      <c r="C12" s="1" t="s">
        <v>179</v>
      </c>
      <c r="D12" s="1" t="s">
        <v>182</v>
      </c>
      <c r="G12" s="13">
        <f>-ApndxB3!G10+'A5'!U13</f>
        <v>-48.408326114718584</v>
      </c>
      <c r="H12" s="13">
        <f>ApndxB3!G10-ApndxB3!H10</f>
        <v>-48.408326114718584</v>
      </c>
      <c r="I12" s="13">
        <f>ApndxB3!H10-ApndxB3!I10</f>
        <v>-48.408326114718577</v>
      </c>
      <c r="J12" s="13">
        <f>ApndxB3!I10-ApndxB3!J10</f>
        <v>-48.408326114718591</v>
      </c>
      <c r="K12" s="13">
        <f>ApndxB3!J10-ApndxB3!K10</f>
        <v>-48.408326114718591</v>
      </c>
      <c r="L12" s="13">
        <f>ApndxB3!K10-ApndxB3!L10</f>
        <v>-48.408326114718562</v>
      </c>
      <c r="M12" s="13">
        <f>ApndxB3!L10-ApndxB3!M10</f>
        <v>-48.408326114718591</v>
      </c>
      <c r="N12" s="13">
        <f>ApndxB3!M10-ApndxB3!N10</f>
        <v>-48.408326114718591</v>
      </c>
      <c r="O12" s="13">
        <f>ApndxB3!N10-ApndxB3!O10</f>
        <v>-48.408326114718591</v>
      </c>
      <c r="P12" s="13">
        <f>ApndxB3!O10-ApndxB3!P10</f>
        <v>-48.408326114718591</v>
      </c>
      <c r="Q12" s="13">
        <f>ApndxB3!P10-ApndxB3!Q10</f>
        <v>-48.408326114718591</v>
      </c>
      <c r="R12" s="13">
        <f>ApndxB3!Q10-ApndxB3!R10</f>
        <v>-48.408326114718534</v>
      </c>
      <c r="S12" s="13"/>
      <c r="T12" s="13">
        <f>SUM(G12:I12)</f>
        <v>-145.22497834415574</v>
      </c>
      <c r="U12" s="13">
        <f>SUM(J12:L12)</f>
        <v>-145.22497834415574</v>
      </c>
      <c r="V12" s="13">
        <f>SUM(M12:O12)</f>
        <v>-145.22497834415577</v>
      </c>
      <c r="W12" s="13">
        <f>SUM(P12:R12)</f>
        <v>-145.22497834415572</v>
      </c>
      <c r="X12" s="13">
        <f>ApndxB3!W10-ApndxB3!X10</f>
        <v>-3.2852966080135957</v>
      </c>
      <c r="Y12" s="13">
        <f>ApndxB3!X10-ApndxB3!Y10</f>
        <v>-3.2852966080135957</v>
      </c>
      <c r="Z12" s="13">
        <f>ApndxB3!Y10-ApndxB3!Z10</f>
        <v>-3.2852966080135957</v>
      </c>
      <c r="AA12" s="13">
        <f>ApndxB3!Z10-ApndxB3!AA10</f>
        <v>-3.2852966080135957</v>
      </c>
      <c r="AB12" s="13"/>
      <c r="AC12" s="13">
        <f>SUM(T12:W12)</f>
        <v>-580.89991337662298</v>
      </c>
      <c r="AD12" s="13">
        <f>ApndxB3!AC10-ApndxB3!AD10</f>
        <v>-13.141186432054383</v>
      </c>
      <c r="AE12" s="13">
        <f>ApndxB3!AD10-ApndxB3!AE10</f>
        <v>-25.375909499805175</v>
      </c>
      <c r="AF12" s="13">
        <f>ApndxB3!AE10-ApndxB3!AF10</f>
        <v>-24.962505475132048</v>
      </c>
      <c r="AG12" s="13">
        <f>ApndxB3!AF10-ApndxB3!AG10</f>
        <v>-25.96849444577947</v>
      </c>
      <c r="AH12" s="13">
        <f>ApndxB3!AG10-ApndxB3!AH10</f>
        <v>-23.494542857415468</v>
      </c>
      <c r="AI12" s="13">
        <f>ApndxA2!S10</f>
        <v>580.89991337662298</v>
      </c>
      <c r="AK12" s="82">
        <f>AI12/12</f>
        <v>48.408326114718584</v>
      </c>
      <c r="AL12" s="1" t="s">
        <v>575</v>
      </c>
      <c r="AM12" s="1" t="s">
        <v>526</v>
      </c>
    </row>
    <row r="13" spans="1:39" x14ac:dyDescent="0.25">
      <c r="C13" s="1" t="s">
        <v>179</v>
      </c>
      <c r="D13" s="1" t="s">
        <v>189</v>
      </c>
      <c r="G13" s="13">
        <f>-ApndxB3!G11+'A5'!U14</f>
        <v>-7.4401378648823426</v>
      </c>
      <c r="H13" s="13">
        <f>ApndxB3!G11-ApndxB3!H11</f>
        <v>-7.4401378648823426</v>
      </c>
      <c r="I13" s="13">
        <f>ApndxB3!H11-ApndxB3!I11</f>
        <v>-7.4401378648823435</v>
      </c>
      <c r="J13" s="13">
        <f>ApndxB3!I11-ApndxB3!J11</f>
        <v>-7.4401378648823417</v>
      </c>
      <c r="K13" s="13">
        <f>ApndxB3!J11-ApndxB3!K11</f>
        <v>-7.4401378648823417</v>
      </c>
      <c r="L13" s="13">
        <f>ApndxB3!K11-ApndxB3!L11</f>
        <v>-7.4401378648823453</v>
      </c>
      <c r="M13" s="13">
        <f>ApndxB3!L11-ApndxB3!M11</f>
        <v>-7.4401378648823453</v>
      </c>
      <c r="N13" s="13">
        <f>ApndxB3!M11-ApndxB3!N11</f>
        <v>-7.4401378648823453</v>
      </c>
      <c r="O13" s="13">
        <f>ApndxB3!N11-ApndxB3!O11</f>
        <v>-7.4401378648823453</v>
      </c>
      <c r="P13" s="13">
        <f>ApndxB3!O11-ApndxB3!P11</f>
        <v>-7.4401378648823453</v>
      </c>
      <c r="Q13" s="13">
        <f>ApndxB3!P11-ApndxB3!Q11</f>
        <v>-7.4401378648823453</v>
      </c>
      <c r="R13" s="13">
        <f>ApndxB3!Q11-ApndxB3!R11</f>
        <v>-7.4401378648823453</v>
      </c>
      <c r="S13" s="13"/>
      <c r="T13" s="13">
        <f>SUM(G13:I13)</f>
        <v>-22.320413594647029</v>
      </c>
      <c r="U13" s="13">
        <f>SUM(J13:L13)</f>
        <v>-22.320413594647029</v>
      </c>
      <c r="V13" s="13">
        <f>SUM(M13:O13)</f>
        <v>-22.320413594647036</v>
      </c>
      <c r="W13" s="13">
        <f>SUM(P13:R13)</f>
        <v>-22.320413594647036</v>
      </c>
      <c r="X13" s="13">
        <f>ApndxB3!W11-ApndxB3!X11</f>
        <v>-0.85142439315748675</v>
      </c>
      <c r="Y13" s="13">
        <f>ApndxB3!X11-ApndxB3!Y11</f>
        <v>-0.85142439315748675</v>
      </c>
      <c r="Z13" s="13">
        <f>ApndxB3!Y11-ApndxB3!Z11</f>
        <v>-0.85142439315748675</v>
      </c>
      <c r="AA13" s="13">
        <f>ApndxB3!Z11-ApndxB3!AA11</f>
        <v>-0.85142439315747254</v>
      </c>
      <c r="AB13" s="13"/>
      <c r="AC13" s="13">
        <f>SUM(T13:W13)</f>
        <v>-89.281654378588129</v>
      </c>
      <c r="AD13" s="13">
        <f>ApndxB3!AC11-ApndxB3!AD11</f>
        <v>-3.4056975726299328</v>
      </c>
      <c r="AE13" s="13">
        <f>ApndxB3!AD11-ApndxB3!AE11</f>
        <v>-6.8266101356789051</v>
      </c>
      <c r="AF13" s="13">
        <f>ApndxB3!AE11-ApndxB3!AF11</f>
        <v>-7.0853941005870809</v>
      </c>
      <c r="AG13" s="13">
        <f>ApndxB3!AF11-ApndxB3!AG11</f>
        <v>-7.5898741605489022</v>
      </c>
      <c r="AH13" s="13">
        <f>ApndxB3!AG11-ApndxB3!AH11</f>
        <v>-5.6971119675764328</v>
      </c>
      <c r="AI13" s="13">
        <f>ApndxA2!S11</f>
        <v>89.281654378588115</v>
      </c>
      <c r="AK13" s="82">
        <f>AI13/12</f>
        <v>7.4401378648823426</v>
      </c>
    </row>
    <row r="14" spans="1:39" ht="17.25" x14ac:dyDescent="0.4">
      <c r="C14" s="1" t="s">
        <v>178</v>
      </c>
      <c r="D14" s="1" t="s">
        <v>183</v>
      </c>
      <c r="G14" s="558">
        <f>ApndxB3!G17-ApndxB3!AI17</f>
        <v>27.610491658203248</v>
      </c>
      <c r="H14" s="558">
        <f>ApndxB3!H17-ApndxB3!G17</f>
        <v>27.610491658203248</v>
      </c>
      <c r="I14" s="558">
        <f>ApndxB3!I17-ApndxB3!H17</f>
        <v>27.610491658203252</v>
      </c>
      <c r="J14" s="558">
        <f>ApndxB3!J17-ApndxB3!I17</f>
        <v>27.610491658203244</v>
      </c>
      <c r="K14" s="558">
        <f>ApndxB3!K17-ApndxB3!J17</f>
        <v>27.610491658203259</v>
      </c>
      <c r="L14" s="558">
        <f>ApndxB3!L17-ApndxB3!K17</f>
        <v>27.610491658203244</v>
      </c>
      <c r="M14" s="558">
        <f>ApndxB3!M17-ApndxB3!L17</f>
        <v>27.610491658203244</v>
      </c>
      <c r="N14" s="558">
        <f>ApndxB3!N17-ApndxB3!M17</f>
        <v>27.610491658203244</v>
      </c>
      <c r="O14" s="558">
        <f>ApndxB3!O17-ApndxB3!N17</f>
        <v>27.610491658203244</v>
      </c>
      <c r="P14" s="558">
        <f>ApndxB3!P17-ApndxB3!O17</f>
        <v>27.610491658203273</v>
      </c>
      <c r="Q14" s="558">
        <f>ApndxB3!Q17-ApndxB3!P17</f>
        <v>27.610491658203273</v>
      </c>
      <c r="R14" s="558">
        <f>ApndxB3!R17-ApndxB3!Q17</f>
        <v>27.610491658203273</v>
      </c>
      <c r="S14" s="558"/>
      <c r="T14" s="558">
        <f>SUM(G14:I14)</f>
        <v>82.831474974609748</v>
      </c>
      <c r="U14" s="558">
        <f>SUM(J14:L14)</f>
        <v>82.831474974609748</v>
      </c>
      <c r="V14" s="558">
        <f>SUM(M14:O14)</f>
        <v>82.831474974609733</v>
      </c>
      <c r="W14" s="558">
        <f>SUM(P14:R14)</f>
        <v>82.831474974609819</v>
      </c>
      <c r="X14" s="558">
        <f>ApndxB3!X17-ApndxB3!W17</f>
        <v>2.7037535385757678</v>
      </c>
      <c r="Y14" s="558">
        <f>ApndxB3!Y17-ApndxB3!X17</f>
        <v>2.7037535385757678</v>
      </c>
      <c r="Z14" s="558">
        <f>ApndxB3!Z17-ApndxB3!Y17</f>
        <v>2.7037535385757678</v>
      </c>
      <c r="AA14" s="558">
        <f>ApndxB3!AA17-ApndxB3!Z17</f>
        <v>2.7037535385758247</v>
      </c>
      <c r="AB14" s="558"/>
      <c r="AC14" s="558">
        <f>SUM(T14:W14)</f>
        <v>331.32589989843905</v>
      </c>
      <c r="AD14" s="558">
        <f>ApndxB3!AD17-ApndxB3!AC17</f>
        <v>10.815014154303185</v>
      </c>
      <c r="AE14" s="558">
        <f>ApndxB3!AE17-ApndxB3!AD17</f>
        <v>21.591052914608781</v>
      </c>
      <c r="AF14" s="558">
        <f>ApndxB3!AF17-ApndxB3!AE17</f>
        <v>22.260248794775123</v>
      </c>
      <c r="AG14" s="558">
        <f>ApndxB3!AG17-ApndxB3!AF17</f>
        <v>23.724957649681414</v>
      </c>
      <c r="AH14" s="714">
        <f>ApndxB3!AH17-ApndxB3!AG17</f>
        <v>18.570116430617361</v>
      </c>
      <c r="AI14" s="13">
        <f>ApndxA2!S17</f>
        <v>331.32589989843899</v>
      </c>
      <c r="AK14" s="82">
        <f>AI14/12</f>
        <v>27.610491658203248</v>
      </c>
      <c r="AL14" s="1">
        <f>ApndxB3!AO16</f>
        <v>0</v>
      </c>
      <c r="AM14" s="1">
        <f>ApndxB3!AC17</f>
        <v>331.32589989843899</v>
      </c>
    </row>
    <row r="15" spans="1:39" x14ac:dyDescent="0.25">
      <c r="G15" s="13">
        <f t="shared" ref="G15:R15" si="1">SUM(G10:G14)</f>
        <v>5.0139470924949947</v>
      </c>
      <c r="H15" s="13">
        <f t="shared" si="1"/>
        <v>5.1347665242842382</v>
      </c>
      <c r="I15" s="13">
        <f t="shared" si="1"/>
        <v>5.376800919243081</v>
      </c>
      <c r="J15" s="13">
        <f t="shared" si="1"/>
        <v>5.619627671829253</v>
      </c>
      <c r="K15" s="13">
        <f t="shared" si="1"/>
        <v>5.8632493760155491</v>
      </c>
      <c r="L15" s="13">
        <f t="shared" si="1"/>
        <v>6.1076686342667017</v>
      </c>
      <c r="M15" s="13">
        <f t="shared" si="1"/>
        <v>6.3528880575671565</v>
      </c>
      <c r="N15" s="13">
        <f t="shared" si="1"/>
        <v>6.5989102654489713</v>
      </c>
      <c r="O15" s="13">
        <f t="shared" si="1"/>
        <v>6.8457378860200748</v>
      </c>
      <c r="P15" s="13">
        <f t="shared" si="1"/>
        <v>7.0933735559919455</v>
      </c>
      <c r="Q15" s="13">
        <f t="shared" si="1"/>
        <v>7.3418199207081969</v>
      </c>
      <c r="R15" s="13">
        <f t="shared" si="1"/>
        <v>7.5910796341723099</v>
      </c>
      <c r="S15" s="13"/>
      <c r="T15" s="13">
        <f t="shared" ref="T15:AA15" si="2">SUM(T10:T14)</f>
        <v>15.525514536022186</v>
      </c>
      <c r="U15" s="13">
        <f t="shared" si="2"/>
        <v>17.590545682111568</v>
      </c>
      <c r="V15" s="13">
        <f t="shared" si="2"/>
        <v>19.797536209036153</v>
      </c>
      <c r="W15" s="13">
        <f t="shared" si="2"/>
        <v>22.02627311087268</v>
      </c>
      <c r="X15" s="13">
        <f t="shared" si="2"/>
        <v>91.221714027858809</v>
      </c>
      <c r="Y15" s="13">
        <f t="shared" si="2"/>
        <v>92.746558955334592</v>
      </c>
      <c r="Z15" s="13">
        <f t="shared" si="2"/>
        <v>94.270664935784879</v>
      </c>
      <c r="AA15" s="13">
        <f t="shared" si="2"/>
        <v>95.794026488387104</v>
      </c>
      <c r="AB15" s="13"/>
      <c r="AC15" s="13">
        <f>SUM(AC10:AC14)</f>
        <v>74.939869538042501</v>
      </c>
      <c r="AD15" s="13">
        <f>SUM(AD10:AD14)</f>
        <v>374.03296440736494</v>
      </c>
      <c r="AE15" s="13">
        <f>SUM(AE10:AE14)</f>
        <v>324.61142548525783</v>
      </c>
      <c r="AF15" s="13">
        <f>SUM(AF10:AF14)</f>
        <v>274.73271546719184</v>
      </c>
      <c r="AG15" s="13">
        <f>SUM(AG10:AG14)</f>
        <v>217.26768465264752</v>
      </c>
      <c r="AH15" s="13"/>
    </row>
    <row r="16" spans="1:39" x14ac:dyDescent="0.25"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  <c r="R16" s="13"/>
      <c r="S16" s="13"/>
      <c r="T16" s="13"/>
      <c r="U16" s="13"/>
      <c r="V16" s="13"/>
      <c r="W16" s="13"/>
      <c r="X16" s="13"/>
      <c r="Y16" s="13"/>
      <c r="Z16" s="13"/>
      <c r="AA16" s="13"/>
      <c r="AB16" s="13"/>
      <c r="AC16" s="13"/>
      <c r="AD16" s="13"/>
      <c r="AE16" s="13"/>
      <c r="AF16" s="13"/>
      <c r="AG16" s="13"/>
      <c r="AH16" s="13"/>
    </row>
    <row r="17" spans="2:38" x14ac:dyDescent="0.25">
      <c r="B17" s="1" t="s">
        <v>184</v>
      </c>
      <c r="G17" s="13"/>
      <c r="H17" s="13"/>
      <c r="I17" s="13"/>
      <c r="J17" s="13"/>
      <c r="K17" s="13"/>
      <c r="L17" s="13"/>
      <c r="M17" s="13"/>
      <c r="N17" s="13"/>
      <c r="O17" s="13"/>
      <c r="P17" s="13"/>
      <c r="Q17" s="13"/>
      <c r="R17" s="13"/>
      <c r="S17" s="13"/>
      <c r="T17" s="13"/>
      <c r="U17" s="13"/>
      <c r="V17" s="13"/>
      <c r="W17" s="13"/>
      <c r="X17" s="13"/>
      <c r="Y17" s="13"/>
      <c r="Z17" s="13"/>
      <c r="AA17" s="13"/>
      <c r="AB17" s="13"/>
      <c r="AC17" s="13"/>
      <c r="AD17" s="13"/>
      <c r="AE17" s="13"/>
      <c r="AF17" s="13"/>
      <c r="AG17" s="13"/>
      <c r="AH17" s="13"/>
    </row>
    <row r="18" spans="2:38" x14ac:dyDescent="0.25">
      <c r="C18" s="1" t="s">
        <v>185</v>
      </c>
      <c r="G18" s="13">
        <f>-'C10'!D56</f>
        <v>-10</v>
      </c>
      <c r="H18" s="13">
        <f>-'C10'!E56</f>
        <v>0</v>
      </c>
      <c r="I18" s="13">
        <f>-'C10'!F56</f>
        <v>0</v>
      </c>
      <c r="J18" s="13">
        <f>-'C10'!G56</f>
        <v>0</v>
      </c>
      <c r="K18" s="13">
        <f>-'C10'!H56</f>
        <v>0</v>
      </c>
      <c r="L18" s="13">
        <f>-'C10'!I56</f>
        <v>0</v>
      </c>
      <c r="M18" s="13">
        <f>-'C10'!J56</f>
        <v>0</v>
      </c>
      <c r="N18" s="13">
        <f>-'C10'!K56</f>
        <v>0</v>
      </c>
      <c r="O18" s="13">
        <f>-'C10'!L56</f>
        <v>0</v>
      </c>
      <c r="P18" s="13">
        <f>-'C10'!M56</f>
        <v>0</v>
      </c>
      <c r="Q18" s="13">
        <f>-'C10'!N56</f>
        <v>0</v>
      </c>
      <c r="R18" s="13">
        <f>-'C10'!O56</f>
        <v>0</v>
      </c>
      <c r="S18" s="13"/>
      <c r="T18" s="13">
        <f>SUM(G18:I18)</f>
        <v>-10</v>
      </c>
      <c r="U18" s="13">
        <f>SUM(J18:L18)</f>
        <v>0</v>
      </c>
      <c r="V18" s="13">
        <f>SUM(M18:O18)</f>
        <v>0</v>
      </c>
      <c r="W18" s="13">
        <f>SUM(P18:R18)</f>
        <v>0</v>
      </c>
      <c r="X18" s="13">
        <f>-'C10'!D63</f>
        <v>-255</v>
      </c>
      <c r="Y18" s="13">
        <f>-'C10'!E63</f>
        <v>0</v>
      </c>
      <c r="Z18" s="13">
        <f>-'C10'!F63</f>
        <v>0</v>
      </c>
      <c r="AA18" s="13">
        <f>-'C10'!G63</f>
        <v>0</v>
      </c>
      <c r="AB18" s="13"/>
      <c r="AC18" s="13">
        <f>SUM(T18:W18)</f>
        <v>-10</v>
      </c>
      <c r="AD18" s="13">
        <f>SUM(X18:AA18)</f>
        <v>-255</v>
      </c>
      <c r="AE18" s="13">
        <f>-'C10'!J30</f>
        <v>0</v>
      </c>
      <c r="AF18" s="13">
        <f>-'C10'!K30</f>
        <v>0</v>
      </c>
      <c r="AG18" s="13">
        <f>-'C10'!L30</f>
        <v>0</v>
      </c>
      <c r="AH18" s="13"/>
    </row>
    <row r="19" spans="2:38" ht="17.25" x14ac:dyDescent="0.4">
      <c r="C19" s="1" t="s">
        <v>65</v>
      </c>
      <c r="G19" s="558">
        <v>0</v>
      </c>
      <c r="H19" s="558">
        <v>0</v>
      </c>
      <c r="I19" s="558">
        <v>0</v>
      </c>
      <c r="J19" s="558">
        <v>0</v>
      </c>
      <c r="K19" s="558">
        <v>0</v>
      </c>
      <c r="L19" s="558">
        <v>0</v>
      </c>
      <c r="M19" s="558">
        <v>0</v>
      </c>
      <c r="N19" s="558">
        <v>0</v>
      </c>
      <c r="O19" s="558">
        <v>0</v>
      </c>
      <c r="P19" s="558">
        <v>0</v>
      </c>
      <c r="Q19" s="558">
        <v>0</v>
      </c>
      <c r="R19" s="558">
        <v>0</v>
      </c>
      <c r="S19" s="558"/>
      <c r="T19" s="558">
        <f>SUM(G19:I19)</f>
        <v>0</v>
      </c>
      <c r="U19" s="558">
        <f>SUM(J19:L19)</f>
        <v>0</v>
      </c>
      <c r="V19" s="558">
        <f>SUM(M19:O19)</f>
        <v>0</v>
      </c>
      <c r="W19" s="558">
        <f>SUM(P19:R19)</f>
        <v>0</v>
      </c>
      <c r="X19" s="558">
        <v>0</v>
      </c>
      <c r="Y19" s="558">
        <v>0</v>
      </c>
      <c r="Z19" s="558">
        <v>0</v>
      </c>
      <c r="AA19" s="558">
        <v>0</v>
      </c>
      <c r="AB19" s="558"/>
      <c r="AC19" s="558">
        <v>0</v>
      </c>
      <c r="AD19" s="558">
        <v>0</v>
      </c>
      <c r="AE19" s="558">
        <v>0</v>
      </c>
      <c r="AF19" s="558">
        <v>0</v>
      </c>
      <c r="AG19" s="558">
        <v>0</v>
      </c>
      <c r="AH19" s="13"/>
    </row>
    <row r="20" spans="2:38" x14ac:dyDescent="0.25">
      <c r="G20" s="13">
        <f t="shared" ref="G20:L20" si="3">SUM(G18:G19)</f>
        <v>-10</v>
      </c>
      <c r="H20" s="13">
        <f t="shared" si="3"/>
        <v>0</v>
      </c>
      <c r="I20" s="13">
        <f t="shared" si="3"/>
        <v>0</v>
      </c>
      <c r="J20" s="13">
        <f t="shared" si="3"/>
        <v>0</v>
      </c>
      <c r="K20" s="13">
        <f t="shared" si="3"/>
        <v>0</v>
      </c>
      <c r="L20" s="13">
        <f t="shared" si="3"/>
        <v>0</v>
      </c>
      <c r="M20" s="13">
        <f t="shared" ref="M20:AA20" si="4">SUM(M18:M19)</f>
        <v>0</v>
      </c>
      <c r="N20" s="13">
        <f t="shared" si="4"/>
        <v>0</v>
      </c>
      <c r="O20" s="13">
        <f t="shared" si="4"/>
        <v>0</v>
      </c>
      <c r="P20" s="13">
        <f t="shared" si="4"/>
        <v>0</v>
      </c>
      <c r="Q20" s="13">
        <f t="shared" si="4"/>
        <v>0</v>
      </c>
      <c r="R20" s="13">
        <f t="shared" si="4"/>
        <v>0</v>
      </c>
      <c r="S20" s="13"/>
      <c r="T20" s="13">
        <f t="shared" si="4"/>
        <v>-10</v>
      </c>
      <c r="U20" s="13">
        <f t="shared" si="4"/>
        <v>0</v>
      </c>
      <c r="V20" s="13">
        <f t="shared" si="4"/>
        <v>0</v>
      </c>
      <c r="W20" s="13">
        <f t="shared" si="4"/>
        <v>0</v>
      </c>
      <c r="X20" s="13">
        <f t="shared" si="4"/>
        <v>-255</v>
      </c>
      <c r="Y20" s="13">
        <f t="shared" si="4"/>
        <v>0</v>
      </c>
      <c r="Z20" s="13">
        <f t="shared" si="4"/>
        <v>0</v>
      </c>
      <c r="AA20" s="13">
        <f t="shared" si="4"/>
        <v>0</v>
      </c>
      <c r="AB20" s="13"/>
      <c r="AC20" s="13">
        <f>SUM(AC18:AC19)</f>
        <v>-10</v>
      </c>
      <c r="AD20" s="13">
        <f>SUM(AD18:AD19)</f>
        <v>-255</v>
      </c>
      <c r="AE20" s="13">
        <f>SUM(AE18:AE19)</f>
        <v>0</v>
      </c>
      <c r="AF20" s="13">
        <f>SUM(AF18:AF19)</f>
        <v>0</v>
      </c>
      <c r="AG20" s="13">
        <f>SUM(AG18:AG19)</f>
        <v>0</v>
      </c>
      <c r="AH20" s="13"/>
    </row>
    <row r="21" spans="2:38" x14ac:dyDescent="0.25">
      <c r="G21" s="13"/>
      <c r="H21" s="13"/>
      <c r="I21" s="13"/>
      <c r="J21" s="13"/>
      <c r="K21" s="13"/>
      <c r="L21" s="13"/>
      <c r="M21" s="13"/>
      <c r="N21" s="13"/>
      <c r="O21" s="13"/>
      <c r="P21" s="13"/>
      <c r="Q21" s="13"/>
      <c r="R21" s="13"/>
      <c r="S21" s="13"/>
      <c r="T21" s="13"/>
      <c r="U21" s="13"/>
      <c r="V21" s="13"/>
      <c r="W21" s="13"/>
      <c r="X21" s="13"/>
      <c r="Y21" s="13"/>
      <c r="Z21" s="13"/>
      <c r="AA21" s="13"/>
      <c r="AB21" s="13"/>
      <c r="AC21" s="13"/>
      <c r="AD21" s="13"/>
      <c r="AE21" s="13"/>
      <c r="AF21" s="13"/>
      <c r="AG21" s="13"/>
      <c r="AH21" s="13"/>
    </row>
    <row r="22" spans="2:38" x14ac:dyDescent="0.25">
      <c r="B22" s="1" t="s">
        <v>186</v>
      </c>
      <c r="G22" s="13"/>
      <c r="H22" s="13"/>
      <c r="I22" s="13"/>
      <c r="J22" s="13"/>
      <c r="K22" s="13"/>
      <c r="L22" s="13"/>
      <c r="M22" s="13"/>
      <c r="N22" s="13"/>
      <c r="O22" s="13"/>
      <c r="P22" s="13"/>
      <c r="Q22" s="13"/>
      <c r="R22" s="13"/>
      <c r="S22" s="13"/>
      <c r="T22" s="13"/>
      <c r="U22" s="13"/>
      <c r="V22" s="13"/>
      <c r="W22" s="13"/>
      <c r="X22" s="13"/>
      <c r="Y22" s="13"/>
      <c r="Z22" s="13"/>
      <c r="AA22" s="13"/>
      <c r="AB22" s="13"/>
      <c r="AC22" s="13"/>
      <c r="AD22" s="13"/>
      <c r="AE22" s="13"/>
      <c r="AF22" s="13"/>
      <c r="AG22" s="13"/>
      <c r="AH22" s="13"/>
    </row>
    <row r="23" spans="2:38" x14ac:dyDescent="0.25">
      <c r="C23" s="1" t="str">
        <f>ApndxA3!C23</f>
        <v>Debt Financing (Paydown)</v>
      </c>
      <c r="G23" s="13">
        <f>ApndxB3!G18-ApndxB3!AM18</f>
        <v>0</v>
      </c>
      <c r="H23" s="13">
        <f>ApndxB3!H18-ApndxB3!G18</f>
        <v>0</v>
      </c>
      <c r="I23" s="13">
        <f>ApndxB3!I18-ApndxB3!H18</f>
        <v>0</v>
      </c>
      <c r="J23" s="13">
        <f>ApndxB3!J18-ApndxB3!I18</f>
        <v>0</v>
      </c>
      <c r="K23" s="13">
        <f>ApndxB3!K18-ApndxB3!J18</f>
        <v>0</v>
      </c>
      <c r="L23" s="13">
        <f>ApndxB3!L18-ApndxB3!K18</f>
        <v>0</v>
      </c>
      <c r="M23" s="13">
        <f>ApndxB3!M18-ApndxB3!L18</f>
        <v>0</v>
      </c>
      <c r="N23" s="13">
        <f>ApndxB3!N18-ApndxB3!M18</f>
        <v>0</v>
      </c>
      <c r="O23" s="13">
        <f>ApndxB3!O18-ApndxB3!N18</f>
        <v>0</v>
      </c>
      <c r="P23" s="13">
        <f>ApndxB3!P18-ApndxB3!O18</f>
        <v>0</v>
      </c>
      <c r="Q23" s="13">
        <f>ApndxB3!Q18-ApndxB3!P18</f>
        <v>0</v>
      </c>
      <c r="R23" s="13">
        <f>ApndxB3!R18-ApndxB3!Q18</f>
        <v>0</v>
      </c>
      <c r="S23" s="13"/>
      <c r="T23" s="13">
        <f>SUM(G23:I23)</f>
        <v>0</v>
      </c>
      <c r="U23" s="13">
        <f>SUM(J23:L23)</f>
        <v>0</v>
      </c>
      <c r="V23" s="13">
        <f>SUM(M23:O23)</f>
        <v>0</v>
      </c>
      <c r="W23" s="13">
        <f>SUM(P23:R23)</f>
        <v>0</v>
      </c>
      <c r="X23" s="13">
        <f>ApndxB3!X18-ApndxB3!W18</f>
        <v>0</v>
      </c>
      <c r="Y23" s="13">
        <f>ApndxB3!Y18-ApndxB3!X18</f>
        <v>0</v>
      </c>
      <c r="Z23" s="13">
        <f>ApndxB3!Z18-ApndxB3!Y18</f>
        <v>0</v>
      </c>
      <c r="AA23" s="13">
        <f>ApndxB3!AA18-ApndxB3!Z18</f>
        <v>0</v>
      </c>
      <c r="AB23" s="13"/>
      <c r="AC23" s="13">
        <f>-'D3'!F65</f>
        <v>0</v>
      </c>
      <c r="AD23" s="13">
        <f>-'D3'!G65</f>
        <v>0</v>
      </c>
      <c r="AE23" s="13">
        <f>-'D3'!H65</f>
        <v>0</v>
      </c>
      <c r="AF23" s="13">
        <f>-'D3'!I65</f>
        <v>0</v>
      </c>
      <c r="AG23" s="13">
        <f>-'D3'!J65</f>
        <v>0</v>
      </c>
      <c r="AH23" s="13"/>
    </row>
    <row r="24" spans="2:38" x14ac:dyDescent="0.25">
      <c r="C24" s="1" t="str">
        <f>ApndxA3!C24</f>
        <v>SH (Distributions) Proceeds</v>
      </c>
      <c r="G24" s="714">
        <v>0</v>
      </c>
      <c r="H24" s="714">
        <v>0</v>
      </c>
      <c r="I24" s="714">
        <f>T24</f>
        <v>-78.377100520301695</v>
      </c>
      <c r="J24" s="714">
        <v>0</v>
      </c>
      <c r="K24" s="714">
        <v>0</v>
      </c>
      <c r="L24" s="714">
        <f>U24</f>
        <v>-78.377100520301695</v>
      </c>
      <c r="M24" s="714">
        <v>0</v>
      </c>
      <c r="N24" s="714">
        <v>0</v>
      </c>
      <c r="O24" s="714">
        <f>V24</f>
        <v>-78.377100520301695</v>
      </c>
      <c r="P24" s="714">
        <v>0</v>
      </c>
      <c r="Q24" s="714">
        <v>0</v>
      </c>
      <c r="R24" s="714">
        <f>W24</f>
        <v>-78.377100520301695</v>
      </c>
      <c r="S24" s="13"/>
      <c r="T24" s="714">
        <f t="shared" ref="T24:W25" si="5">$AC24/4</f>
        <v>-78.377100520301695</v>
      </c>
      <c r="U24" s="714">
        <f t="shared" si="5"/>
        <v>-78.377100520301695</v>
      </c>
      <c r="V24" s="714">
        <f t="shared" si="5"/>
        <v>-78.377100520301695</v>
      </c>
      <c r="W24" s="714">
        <f t="shared" si="5"/>
        <v>-78.377100520301695</v>
      </c>
      <c r="X24" s="714">
        <f>$AD24/4</f>
        <v>-16.042143037453798</v>
      </c>
      <c r="Y24" s="714">
        <f t="shared" ref="Y24:AA25" si="6">$AD24/4</f>
        <v>-16.042143037453798</v>
      </c>
      <c r="Z24" s="714">
        <f t="shared" si="6"/>
        <v>-16.042143037453798</v>
      </c>
      <c r="AA24" s="714">
        <f t="shared" si="6"/>
        <v>-16.042143037453798</v>
      </c>
      <c r="AB24" s="13"/>
      <c r="AC24" s="714">
        <f>ApndxA3!J24</f>
        <v>-313.50840208120678</v>
      </c>
      <c r="AD24" s="714">
        <f>ApndxA3!K24</f>
        <v>-64.168572149815191</v>
      </c>
      <c r="AE24" s="714">
        <f>ApndxA3!L24</f>
        <v>-332.31170806326861</v>
      </c>
      <c r="AF24" s="714">
        <f>ApndxA3!M24</f>
        <v>-249.03806397788344</v>
      </c>
      <c r="AG24" s="714">
        <f>ApndxA3!N24</f>
        <v>-189.95335959772797</v>
      </c>
      <c r="AH24" s="13"/>
    </row>
    <row r="25" spans="2:38" ht="17.25" x14ac:dyDescent="0.4">
      <c r="C25" s="1" t="str">
        <f>ApndxA3!C25</f>
        <v>Partner (Distributions) Proceeds</v>
      </c>
      <c r="G25" s="558">
        <v>0</v>
      </c>
      <c r="H25" s="558">
        <v>0</v>
      </c>
      <c r="I25" s="558">
        <f>T25</f>
        <v>0</v>
      </c>
      <c r="J25" s="558">
        <v>0</v>
      </c>
      <c r="K25" s="558">
        <v>0</v>
      </c>
      <c r="L25" s="558">
        <f>U25</f>
        <v>0</v>
      </c>
      <c r="M25" s="558">
        <v>0</v>
      </c>
      <c r="N25" s="558">
        <v>0</v>
      </c>
      <c r="O25" s="558">
        <f>V25</f>
        <v>0</v>
      </c>
      <c r="P25" s="558">
        <v>0</v>
      </c>
      <c r="Q25" s="558">
        <v>0</v>
      </c>
      <c r="R25" s="558">
        <f>W25</f>
        <v>0</v>
      </c>
      <c r="S25" s="558"/>
      <c r="T25" s="558">
        <f t="shared" si="5"/>
        <v>0</v>
      </c>
      <c r="U25" s="558">
        <f t="shared" si="5"/>
        <v>0</v>
      </c>
      <c r="V25" s="558">
        <f t="shared" si="5"/>
        <v>0</v>
      </c>
      <c r="W25" s="558">
        <f t="shared" si="5"/>
        <v>0</v>
      </c>
      <c r="X25" s="558">
        <f>$AD25/4</f>
        <v>0</v>
      </c>
      <c r="Y25" s="558">
        <f t="shared" si="6"/>
        <v>0</v>
      </c>
      <c r="Z25" s="558">
        <f t="shared" si="6"/>
        <v>0</v>
      </c>
      <c r="AA25" s="558">
        <f t="shared" si="6"/>
        <v>0</v>
      </c>
      <c r="AB25" s="558"/>
      <c r="AC25" s="558">
        <f>ApndxA3!J25</f>
        <v>0</v>
      </c>
      <c r="AD25" s="558">
        <f>ApndxA3!K25</f>
        <v>0</v>
      </c>
      <c r="AE25" s="558">
        <f>ApndxA3!L25</f>
        <v>0</v>
      </c>
      <c r="AF25" s="558">
        <f>ApndxA3!M25</f>
        <v>0</v>
      </c>
      <c r="AG25" s="558">
        <f>ApndxA3!N25</f>
        <v>0</v>
      </c>
      <c r="AH25" s="13"/>
    </row>
    <row r="26" spans="2:38" x14ac:dyDescent="0.25">
      <c r="G26" s="13">
        <f t="shared" ref="G26:R26" si="7">SUM(G23:G25)</f>
        <v>0</v>
      </c>
      <c r="H26" s="13">
        <f t="shared" si="7"/>
        <v>0</v>
      </c>
      <c r="I26" s="13">
        <f t="shared" si="7"/>
        <v>-78.377100520301695</v>
      </c>
      <c r="J26" s="13">
        <f t="shared" si="7"/>
        <v>0</v>
      </c>
      <c r="K26" s="13">
        <f t="shared" si="7"/>
        <v>0</v>
      </c>
      <c r="L26" s="13">
        <f t="shared" si="7"/>
        <v>-78.377100520301695</v>
      </c>
      <c r="M26" s="13">
        <f t="shared" si="7"/>
        <v>0</v>
      </c>
      <c r="N26" s="13">
        <f t="shared" si="7"/>
        <v>0</v>
      </c>
      <c r="O26" s="13">
        <f t="shared" si="7"/>
        <v>-78.377100520301695</v>
      </c>
      <c r="P26" s="13">
        <f t="shared" si="7"/>
        <v>0</v>
      </c>
      <c r="Q26" s="13">
        <f t="shared" si="7"/>
        <v>0</v>
      </c>
      <c r="R26" s="13">
        <f t="shared" si="7"/>
        <v>-78.377100520301695</v>
      </c>
      <c r="S26" s="13"/>
      <c r="T26" s="13">
        <f t="shared" ref="T26:AA26" si="8">SUM(T23:T25)</f>
        <v>-78.377100520301695</v>
      </c>
      <c r="U26" s="13">
        <f t="shared" si="8"/>
        <v>-78.377100520301695</v>
      </c>
      <c r="V26" s="13">
        <f t="shared" si="8"/>
        <v>-78.377100520301695</v>
      </c>
      <c r="W26" s="13">
        <f t="shared" si="8"/>
        <v>-78.377100520301695</v>
      </c>
      <c r="X26" s="13">
        <f t="shared" si="8"/>
        <v>-16.042143037453798</v>
      </c>
      <c r="Y26" s="13">
        <f t="shared" si="8"/>
        <v>-16.042143037453798</v>
      </c>
      <c r="Z26" s="13">
        <f t="shared" si="8"/>
        <v>-16.042143037453798</v>
      </c>
      <c r="AA26" s="13">
        <f t="shared" si="8"/>
        <v>-16.042143037453798</v>
      </c>
      <c r="AB26" s="13"/>
      <c r="AC26" s="13">
        <f>SUM(AC23:AC25)</f>
        <v>-313.50840208120678</v>
      </c>
      <c r="AD26" s="13">
        <f>SUM(AD23:AD25)</f>
        <v>-64.168572149815191</v>
      </c>
      <c r="AE26" s="13">
        <f>SUM(AE23:AE25)</f>
        <v>-332.31170806326861</v>
      </c>
      <c r="AF26" s="13">
        <f>SUM(AF23:AF25)</f>
        <v>-249.03806397788344</v>
      </c>
      <c r="AG26" s="13">
        <f>SUM(AG23:AG25)</f>
        <v>-189.95335959772797</v>
      </c>
      <c r="AH26" s="13"/>
      <c r="AJ26" s="1" t="s">
        <v>484</v>
      </c>
      <c r="AK26" s="1" t="s">
        <v>187</v>
      </c>
    </row>
    <row r="27" spans="2:38" x14ac:dyDescent="0.25"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  <c r="X27" s="13"/>
      <c r="Y27" s="13"/>
      <c r="Z27" s="13"/>
      <c r="AA27" s="13"/>
      <c r="AB27" s="13"/>
      <c r="AC27" s="13"/>
      <c r="AD27" s="13"/>
      <c r="AE27" s="13"/>
      <c r="AF27" s="13"/>
      <c r="AG27" s="13"/>
      <c r="AH27" s="13"/>
      <c r="AJ27" s="1" t="s">
        <v>524</v>
      </c>
      <c r="AK27" s="1" t="s">
        <v>274</v>
      </c>
      <c r="AL27" s="1" t="s">
        <v>73</v>
      </c>
    </row>
    <row r="28" spans="2:38" x14ac:dyDescent="0.25">
      <c r="B28" s="1" t="s">
        <v>574</v>
      </c>
      <c r="G28" s="13">
        <f>ApndxA3!J28</f>
        <v>639.82006616561944</v>
      </c>
      <c r="H28" s="13">
        <f>G30</f>
        <v>634.8340132581144</v>
      </c>
      <c r="I28" s="13">
        <f>H30</f>
        <v>639.96877978239866</v>
      </c>
      <c r="J28" s="13">
        <f>I30</f>
        <v>566.96848018134006</v>
      </c>
      <c r="K28" s="13">
        <f>J30</f>
        <v>572.58810785316928</v>
      </c>
      <c r="L28" s="13">
        <f>K30</f>
        <v>578.45135722918485</v>
      </c>
      <c r="M28" s="13">
        <f t="shared" ref="M28:R28" si="9">L30</f>
        <v>506.18192534314983</v>
      </c>
      <c r="N28" s="13">
        <f t="shared" si="9"/>
        <v>512.53481340071698</v>
      </c>
      <c r="O28" s="13">
        <f t="shared" si="9"/>
        <v>519.13372366616591</v>
      </c>
      <c r="P28" s="13">
        <f t="shared" si="9"/>
        <v>447.6023610318843</v>
      </c>
      <c r="Q28" s="13">
        <f t="shared" si="9"/>
        <v>454.69573458787625</v>
      </c>
      <c r="R28" s="13">
        <f t="shared" si="9"/>
        <v>462.03755450858444</v>
      </c>
      <c r="S28" s="13"/>
      <c r="T28" s="13">
        <f>G28</f>
        <v>639.82006616561944</v>
      </c>
      <c r="U28" s="13">
        <f t="shared" ref="U28:AA28" si="10">T30</f>
        <v>566.96848018133994</v>
      </c>
      <c r="V28" s="13">
        <f t="shared" si="10"/>
        <v>506.18192534314983</v>
      </c>
      <c r="W28" s="13">
        <f t="shared" si="10"/>
        <v>447.6023610318843</v>
      </c>
      <c r="X28" s="13">
        <f t="shared" si="10"/>
        <v>391.25153362245527</v>
      </c>
      <c r="Y28" s="13">
        <f t="shared" si="10"/>
        <v>211.43110461286028</v>
      </c>
      <c r="Z28" s="13">
        <f t="shared" si="10"/>
        <v>288.13552053074108</v>
      </c>
      <c r="AA28" s="13">
        <f t="shared" si="10"/>
        <v>366.36404242907213</v>
      </c>
      <c r="AB28" s="13"/>
      <c r="AC28" s="13">
        <f>G28</f>
        <v>639.82006616561944</v>
      </c>
      <c r="AD28" s="13">
        <f>AC30</f>
        <v>391.25153362245516</v>
      </c>
      <c r="AE28" s="13">
        <f>AD30</f>
        <v>446.11592588000491</v>
      </c>
      <c r="AF28" s="13">
        <f>AE30</f>
        <v>438.41564330199412</v>
      </c>
      <c r="AG28" s="13">
        <f>AF30</f>
        <v>464.11029479130252</v>
      </c>
      <c r="AH28" s="13"/>
      <c r="AJ28" s="80">
        <f>'A1'!V62</f>
        <v>639.82006616561944</v>
      </c>
      <c r="AK28" s="1">
        <f>ApndxB5!T38</f>
        <v>0</v>
      </c>
      <c r="AL28" s="1">
        <f>ApndxB6!AF38</f>
        <v>0</v>
      </c>
    </row>
    <row r="29" spans="2:38" x14ac:dyDescent="0.25">
      <c r="C29" s="1" t="s">
        <v>312</v>
      </c>
      <c r="G29" s="13">
        <f t="shared" ref="G29:R29" si="11">G15+G20+G26</f>
        <v>-4.9860529075050053</v>
      </c>
      <c r="H29" s="13">
        <f t="shared" si="11"/>
        <v>5.1347665242842382</v>
      </c>
      <c r="I29" s="13">
        <f t="shared" si="11"/>
        <v>-73.000299601058614</v>
      </c>
      <c r="J29" s="13">
        <f t="shared" si="11"/>
        <v>5.619627671829253</v>
      </c>
      <c r="K29" s="13">
        <f t="shared" si="11"/>
        <v>5.8632493760155491</v>
      </c>
      <c r="L29" s="13">
        <f t="shared" si="11"/>
        <v>-72.269431886034994</v>
      </c>
      <c r="M29" s="13">
        <f t="shared" si="11"/>
        <v>6.3528880575671565</v>
      </c>
      <c r="N29" s="13">
        <f t="shared" si="11"/>
        <v>6.5989102654489713</v>
      </c>
      <c r="O29" s="13">
        <f t="shared" si="11"/>
        <v>-71.531362634281621</v>
      </c>
      <c r="P29" s="13">
        <f t="shared" si="11"/>
        <v>7.0933735559919455</v>
      </c>
      <c r="Q29" s="13">
        <f t="shared" si="11"/>
        <v>7.3418199207081969</v>
      </c>
      <c r="R29" s="13">
        <f t="shared" si="11"/>
        <v>-70.786020886129393</v>
      </c>
      <c r="S29" s="13"/>
      <c r="T29" s="13">
        <f t="shared" ref="T29:AA29" si="12">T15+T20+T26</f>
        <v>-72.851585984279509</v>
      </c>
      <c r="U29" s="13">
        <f t="shared" si="12"/>
        <v>-60.786554838190128</v>
      </c>
      <c r="V29" s="13">
        <f t="shared" si="12"/>
        <v>-58.579564311265543</v>
      </c>
      <c r="W29" s="13">
        <f t="shared" si="12"/>
        <v>-56.350827409429016</v>
      </c>
      <c r="X29" s="13">
        <f t="shared" si="12"/>
        <v>-179.82042900959499</v>
      </c>
      <c r="Y29" s="13">
        <f t="shared" si="12"/>
        <v>76.704415917880794</v>
      </c>
      <c r="Z29" s="13">
        <f t="shared" si="12"/>
        <v>78.228521898331081</v>
      </c>
      <c r="AA29" s="13">
        <f t="shared" si="12"/>
        <v>79.751883450933306</v>
      </c>
      <c r="AB29" s="13"/>
      <c r="AC29" s="13">
        <f>AC15+AC20+AC26</f>
        <v>-248.56853254316428</v>
      </c>
      <c r="AD29" s="13">
        <f>AD15+AD20+AD26</f>
        <v>54.864392257549753</v>
      </c>
      <c r="AE29" s="13">
        <f>AE15+AE20+AE26</f>
        <v>-7.7002825780107855</v>
      </c>
      <c r="AF29" s="13">
        <f>AF15+AF20+AF26</f>
        <v>25.694651489308399</v>
      </c>
      <c r="AG29" s="13">
        <f>AG15+AG20+AG26</f>
        <v>27.31432505491955</v>
      </c>
      <c r="AH29" s="13"/>
    </row>
    <row r="30" spans="2:38" ht="15.75" thickBot="1" x14ac:dyDescent="0.3">
      <c r="B30" s="698" t="s">
        <v>187</v>
      </c>
      <c r="C30" s="698"/>
      <c r="D30" s="698"/>
      <c r="E30" s="698"/>
      <c r="F30" s="698"/>
      <c r="G30" s="699">
        <f t="shared" ref="G30:R30" si="13">G28+G29</f>
        <v>634.8340132581144</v>
      </c>
      <c r="H30" s="699">
        <f t="shared" si="13"/>
        <v>639.96877978239866</v>
      </c>
      <c r="I30" s="699">
        <f t="shared" si="13"/>
        <v>566.96848018134006</v>
      </c>
      <c r="J30" s="699">
        <f t="shared" si="13"/>
        <v>572.58810785316928</v>
      </c>
      <c r="K30" s="699">
        <f t="shared" si="13"/>
        <v>578.45135722918485</v>
      </c>
      <c r="L30" s="699">
        <f t="shared" si="13"/>
        <v>506.18192534314983</v>
      </c>
      <c r="M30" s="699">
        <f t="shared" si="13"/>
        <v>512.53481340071698</v>
      </c>
      <c r="N30" s="699">
        <f t="shared" si="13"/>
        <v>519.13372366616591</v>
      </c>
      <c r="O30" s="699">
        <f t="shared" si="13"/>
        <v>447.6023610318843</v>
      </c>
      <c r="P30" s="699">
        <f t="shared" si="13"/>
        <v>454.69573458787625</v>
      </c>
      <c r="Q30" s="699">
        <f t="shared" si="13"/>
        <v>462.03755450858444</v>
      </c>
      <c r="R30" s="699">
        <f t="shared" si="13"/>
        <v>391.25153362245504</v>
      </c>
      <c r="S30" s="699"/>
      <c r="T30" s="699">
        <f t="shared" ref="T30:AA30" si="14">T28+T29</f>
        <v>566.96848018133994</v>
      </c>
      <c r="U30" s="699">
        <f t="shared" si="14"/>
        <v>506.18192534314983</v>
      </c>
      <c r="V30" s="699">
        <f t="shared" si="14"/>
        <v>447.6023610318843</v>
      </c>
      <c r="W30" s="699">
        <f t="shared" si="14"/>
        <v>391.25153362245527</v>
      </c>
      <c r="X30" s="699">
        <f t="shared" si="14"/>
        <v>211.43110461286028</v>
      </c>
      <c r="Y30" s="699">
        <f t="shared" si="14"/>
        <v>288.13552053074108</v>
      </c>
      <c r="Z30" s="699">
        <f t="shared" si="14"/>
        <v>366.36404242907213</v>
      </c>
      <c r="AA30" s="699">
        <f t="shared" si="14"/>
        <v>446.11592588000542</v>
      </c>
      <c r="AB30" s="699"/>
      <c r="AC30" s="699">
        <f>AC28+AC29</f>
        <v>391.25153362245516</v>
      </c>
      <c r="AD30" s="699">
        <f>AD28+AD29</f>
        <v>446.11592588000491</v>
      </c>
      <c r="AE30" s="699">
        <f>AE28+AE29</f>
        <v>438.41564330199412</v>
      </c>
      <c r="AF30" s="699">
        <f>AF28+AF29</f>
        <v>464.11029479130252</v>
      </c>
      <c r="AG30" s="699">
        <f>AG28+AG29</f>
        <v>491.42461984622207</v>
      </c>
      <c r="AH30" s="13"/>
    </row>
    <row r="31" spans="2:38" ht="15.75" thickTop="1" x14ac:dyDescent="0.25">
      <c r="G31" s="13"/>
      <c r="H31" s="13"/>
      <c r="I31" s="13"/>
      <c r="J31" s="13"/>
      <c r="K31" s="13"/>
      <c r="L31" s="13"/>
      <c r="M31" s="13"/>
      <c r="N31" s="13"/>
      <c r="O31" s="13"/>
      <c r="P31" s="13"/>
      <c r="Q31" s="13"/>
      <c r="R31" s="13"/>
      <c r="S31" s="13"/>
      <c r="T31" s="13"/>
      <c r="U31" s="13"/>
      <c r="V31" s="13"/>
      <c r="W31" s="13"/>
      <c r="X31" s="13"/>
      <c r="Y31" s="13"/>
      <c r="Z31" s="13"/>
      <c r="AA31" s="13"/>
      <c r="AB31" s="13"/>
      <c r="AC31" s="13"/>
      <c r="AD31" s="13"/>
      <c r="AE31" s="13"/>
      <c r="AF31" s="13"/>
      <c r="AG31" s="13"/>
      <c r="AH31" s="13"/>
    </row>
    <row r="32" spans="2:38" x14ac:dyDescent="0.25"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13"/>
      <c r="T32" s="13"/>
      <c r="U32" s="13"/>
      <c r="V32" s="13"/>
      <c r="W32" s="13"/>
      <c r="X32" s="13"/>
      <c r="Y32" s="13"/>
      <c r="Z32" s="13"/>
      <c r="AA32" s="13"/>
      <c r="AB32" s="13"/>
      <c r="AC32" s="13">
        <f>ApndxA3!J32</f>
        <v>391.25153362245516</v>
      </c>
      <c r="AD32" s="13">
        <f>ApndxA3!K32</f>
        <v>446.11592588000491</v>
      </c>
      <c r="AE32" s="13">
        <f>ApndxA3!L32</f>
        <v>438.41564330199412</v>
      </c>
      <c r="AF32" s="13">
        <f>ApndxA3!M32</f>
        <v>464.11029479130252</v>
      </c>
      <c r="AG32" s="13">
        <f>ApndxA3!N32</f>
        <v>491.42461984622207</v>
      </c>
      <c r="AH32" s="13"/>
    </row>
    <row r="34" spans="2:6" x14ac:dyDescent="0.25">
      <c r="B34" s="1" t="s">
        <v>957</v>
      </c>
      <c r="F34" s="173">
        <f>IF(SUM('A1'!$AG$9:$AH$9)&gt;0,1,0)</f>
        <v>0</v>
      </c>
    </row>
    <row r="35" spans="2:6" x14ac:dyDescent="0.25">
      <c r="B35" s="1" t="s">
        <v>958</v>
      </c>
      <c r="F35" s="173">
        <f>IF(SUM('A1'!$AI$9:$AJ$9)&gt;0,1,0)</f>
        <v>1</v>
      </c>
    </row>
    <row r="36" spans="2:6" x14ac:dyDescent="0.25">
      <c r="B36" s="1" t="s">
        <v>959</v>
      </c>
      <c r="F36" s="377">
        <f>IF(F34+F35&gt;0,1,0)</f>
        <v>1</v>
      </c>
    </row>
    <row r="37" spans="2:6" x14ac:dyDescent="0.25">
      <c r="B37" s="1" t="s">
        <v>883</v>
      </c>
      <c r="F37" s="173">
        <f>IF('A1'!$AL$67&gt;0,1,0)</f>
        <v>0</v>
      </c>
    </row>
  </sheetData>
  <pageMargins left="0.7" right="0.7" top="0.75" bottom="0.75" header="0.3" footer="0.3"/>
  <pageSetup scale="75" fitToWidth="0" orientation="landscape" r:id="rId1"/>
  <colBreaks count="1" manualBreakCount="1">
    <brk id="18" max="30" man="1"/>
  </colBreaks>
  <ignoredErrors>
    <ignoredError sqref="T19:W19" formulaRange="1"/>
  </ignoredErrors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>
    <tabColor theme="5" tint="0.39997558519241921"/>
    <pageSetUpPr fitToPage="1"/>
  </sheetPr>
  <dimension ref="A1:V49"/>
  <sheetViews>
    <sheetView showGridLines="0" view="pageBreakPreview" zoomScale="85" zoomScaleNormal="132" zoomScaleSheetLayoutView="85" workbookViewId="0"/>
  </sheetViews>
  <sheetFormatPr defaultColWidth="9.42578125" defaultRowHeight="15" x14ac:dyDescent="0.25"/>
  <cols>
    <col min="1" max="1" width="1.5703125" style="1" customWidth="1"/>
    <col min="2" max="5" width="3" style="1" customWidth="1"/>
    <col min="6" max="6" width="11.5703125" style="1" customWidth="1"/>
    <col min="7" max="18" width="9" style="1" customWidth="1"/>
    <col min="19" max="19" width="2.42578125" style="1" customWidth="1"/>
    <col min="20" max="20" width="9.42578125" style="1" customWidth="1"/>
    <col min="21" max="21" width="9.42578125" style="1"/>
    <col min="22" max="22" width="9.42578125" style="1" bestFit="1" customWidth="1"/>
    <col min="23" max="16384" width="9.42578125" style="1"/>
  </cols>
  <sheetData>
    <row r="1" spans="1:22" ht="6" customHeight="1" thickBot="1" x14ac:dyDescent="0.3">
      <c r="B1" s="85"/>
      <c r="C1" s="86"/>
      <c r="D1" s="85"/>
      <c r="E1" s="85"/>
      <c r="F1" s="85"/>
      <c r="G1" s="85"/>
      <c r="H1" s="85"/>
      <c r="I1" s="85"/>
      <c r="J1" s="85"/>
      <c r="K1" s="85"/>
      <c r="L1" s="85"/>
      <c r="M1" s="85"/>
      <c r="N1" s="85"/>
      <c r="O1" s="85"/>
      <c r="P1" s="85"/>
      <c r="Q1" s="85"/>
      <c r="R1" s="85"/>
      <c r="S1" s="85"/>
      <c r="T1" s="85"/>
    </row>
    <row r="2" spans="1:22" ht="16.5" thickTop="1" x14ac:dyDescent="0.25">
      <c r="B2" s="110" t="str">
        <f>MainOutline!B2</f>
        <v>WB Santa Cruz</v>
      </c>
      <c r="C2" s="111"/>
      <c r="D2" s="111"/>
      <c r="E2" s="111"/>
      <c r="F2" s="111"/>
      <c r="G2" s="111"/>
      <c r="H2" s="111"/>
      <c r="I2" s="111"/>
      <c r="J2" s="508" t="str">
        <f>'A1'!$C$90</f>
        <v>Acquisition of an existing facility</v>
      </c>
      <c r="K2" s="111"/>
      <c r="L2" s="111"/>
      <c r="M2" s="111"/>
      <c r="N2" s="111"/>
      <c r="O2" s="111"/>
      <c r="P2" s="111"/>
      <c r="Q2" s="111"/>
      <c r="R2" s="111"/>
      <c r="S2" s="111"/>
      <c r="T2" s="1409">
        <f>$A3</f>
        <v>29</v>
      </c>
    </row>
    <row r="3" spans="1:22" ht="15.75" x14ac:dyDescent="0.25">
      <c r="A3" s="123">
        <f>MainOutline!B42</f>
        <v>29</v>
      </c>
      <c r="B3" s="102" t="str">
        <f>MainOutline!C42</f>
        <v>Appendix B5</v>
      </c>
      <c r="C3" s="89"/>
      <c r="D3" s="89"/>
      <c r="E3" s="89"/>
      <c r="F3" s="89"/>
      <c r="G3" s="89"/>
      <c r="H3" s="89"/>
      <c r="I3" s="89"/>
      <c r="J3" s="708" t="str">
        <f>IF('A1'!$B$84=2,"EXHIBIT NOT USED","")</f>
        <v>EXHIBIT NOT USED</v>
      </c>
      <c r="K3" s="89"/>
      <c r="L3" s="89"/>
      <c r="M3" s="89"/>
      <c r="N3" s="89"/>
      <c r="O3" s="89"/>
      <c r="P3" s="89"/>
      <c r="Q3" s="89"/>
      <c r="R3" s="89"/>
      <c r="S3" s="89"/>
      <c r="T3" s="89"/>
    </row>
    <row r="4" spans="1:22" ht="16.5" thickBot="1" x14ac:dyDescent="0.3">
      <c r="B4" s="104" t="s">
        <v>326</v>
      </c>
      <c r="C4" s="97"/>
      <c r="D4" s="97"/>
      <c r="E4" s="97"/>
      <c r="F4" s="97"/>
      <c r="G4" s="97"/>
      <c r="H4" s="97"/>
      <c r="I4" s="97"/>
      <c r="J4" s="97"/>
      <c r="K4" s="97"/>
      <c r="L4" s="97"/>
      <c r="M4" s="97"/>
      <c r="N4" s="97"/>
      <c r="O4" s="97"/>
      <c r="P4" s="97"/>
      <c r="Q4" s="97"/>
      <c r="R4" s="97"/>
      <c r="S4" s="97"/>
      <c r="T4" s="138" t="str">
        <f>ApndxB1!AG4</f>
        <v>($000)</v>
      </c>
    </row>
    <row r="5" spans="1:22" ht="15.75" thickTop="1" x14ac:dyDescent="0.25">
      <c r="A5" s="123">
        <f>IF('A1'!$B$84=1,1,0)</f>
        <v>0</v>
      </c>
      <c r="B5" s="123">
        <f>'A1'!Q37</f>
        <v>1</v>
      </c>
    </row>
    <row r="6" spans="1:22" x14ac:dyDescent="0.25">
      <c r="G6" s="307">
        <f>IF(G7&gt;0,1,0)</f>
        <v>1</v>
      </c>
      <c r="H6" s="307">
        <f t="shared" ref="H6:R6" si="0">IF(H7&gt;0,1,0)</f>
        <v>0</v>
      </c>
      <c r="I6" s="307">
        <f t="shared" si="0"/>
        <v>0</v>
      </c>
      <c r="J6" s="307">
        <f t="shared" si="0"/>
        <v>0</v>
      </c>
      <c r="K6" s="307">
        <f t="shared" si="0"/>
        <v>0</v>
      </c>
      <c r="L6" s="307">
        <f t="shared" si="0"/>
        <v>0</v>
      </c>
      <c r="M6" s="307">
        <f t="shared" si="0"/>
        <v>0</v>
      </c>
      <c r="N6" s="307">
        <f t="shared" si="0"/>
        <v>0</v>
      </c>
      <c r="O6" s="307">
        <f t="shared" si="0"/>
        <v>0</v>
      </c>
      <c r="P6" s="307">
        <f t="shared" si="0"/>
        <v>0</v>
      </c>
      <c r="Q6" s="307">
        <f t="shared" si="0"/>
        <v>0</v>
      </c>
      <c r="R6" s="307">
        <f t="shared" si="0"/>
        <v>0</v>
      </c>
      <c r="S6" s="307"/>
      <c r="T6" s="307">
        <f>IF(SUM(G6:R6)=0,0,1)</f>
        <v>1</v>
      </c>
    </row>
    <row r="7" spans="1:22" s="709" customFormat="1" x14ac:dyDescent="0.25">
      <c r="B7" s="710" t="s">
        <v>314</v>
      </c>
      <c r="G7" s="711">
        <f>'A1'!Q37</f>
        <v>1</v>
      </c>
      <c r="H7" s="711">
        <f t="shared" ref="H7:R7" si="1">G7-1</f>
        <v>0</v>
      </c>
      <c r="I7" s="711">
        <f t="shared" si="1"/>
        <v>-1</v>
      </c>
      <c r="J7" s="711">
        <f t="shared" si="1"/>
        <v>-2</v>
      </c>
      <c r="K7" s="711">
        <f t="shared" si="1"/>
        <v>-3</v>
      </c>
      <c r="L7" s="711">
        <f t="shared" si="1"/>
        <v>-4</v>
      </c>
      <c r="M7" s="711">
        <f t="shared" si="1"/>
        <v>-5</v>
      </c>
      <c r="N7" s="711">
        <f t="shared" si="1"/>
        <v>-6</v>
      </c>
      <c r="O7" s="711">
        <f t="shared" si="1"/>
        <v>-7</v>
      </c>
      <c r="P7" s="711">
        <f t="shared" si="1"/>
        <v>-8</v>
      </c>
      <c r="Q7" s="711">
        <f t="shared" si="1"/>
        <v>-9</v>
      </c>
      <c r="R7" s="711">
        <f t="shared" si="1"/>
        <v>-10</v>
      </c>
      <c r="S7" s="1"/>
      <c r="T7" s="711" t="s">
        <v>13</v>
      </c>
    </row>
    <row r="8" spans="1:22" s="712" customFormat="1" ht="21" customHeight="1" x14ac:dyDescent="0.25">
      <c r="C8" s="712" t="s">
        <v>315</v>
      </c>
      <c r="G8" s="713">
        <f>'A1'!Q37+'A1'!Q38</f>
        <v>1</v>
      </c>
      <c r="H8" s="713">
        <f>G8-1</f>
        <v>0</v>
      </c>
      <c r="I8" s="713">
        <f t="shared" ref="I8:R8" si="2">H8-1</f>
        <v>-1</v>
      </c>
      <c r="J8" s="713">
        <f t="shared" si="2"/>
        <v>-2</v>
      </c>
      <c r="K8" s="713">
        <f t="shared" si="2"/>
        <v>-3</v>
      </c>
      <c r="L8" s="713">
        <f t="shared" si="2"/>
        <v>-4</v>
      </c>
      <c r="M8" s="713">
        <f t="shared" si="2"/>
        <v>-5</v>
      </c>
      <c r="N8" s="713">
        <f t="shared" si="2"/>
        <v>-6</v>
      </c>
      <c r="O8" s="713">
        <f t="shared" si="2"/>
        <v>-7</v>
      </c>
      <c r="P8" s="713">
        <f t="shared" si="2"/>
        <v>-8</v>
      </c>
      <c r="Q8" s="713">
        <f t="shared" si="2"/>
        <v>-9</v>
      </c>
      <c r="R8" s="713">
        <f t="shared" si="2"/>
        <v>-10</v>
      </c>
      <c r="T8" s="713"/>
    </row>
    <row r="9" spans="1:22" x14ac:dyDescent="0.25">
      <c r="B9" s="106" t="s">
        <v>305</v>
      </c>
    </row>
    <row r="10" spans="1:22" x14ac:dyDescent="0.25">
      <c r="C10" s="82" t="s">
        <v>160</v>
      </c>
      <c r="G10" s="13">
        <f>G6*G49*$A$5</f>
        <v>0</v>
      </c>
      <c r="H10" s="13">
        <f t="shared" ref="H10:R10" si="3">H6*H49*$A$5</f>
        <v>0</v>
      </c>
      <c r="I10" s="13">
        <f t="shared" si="3"/>
        <v>0</v>
      </c>
      <c r="J10" s="13">
        <f t="shared" si="3"/>
        <v>0</v>
      </c>
      <c r="K10" s="13">
        <f t="shared" si="3"/>
        <v>0</v>
      </c>
      <c r="L10" s="13">
        <f t="shared" si="3"/>
        <v>0</v>
      </c>
      <c r="M10" s="13">
        <f t="shared" si="3"/>
        <v>0</v>
      </c>
      <c r="N10" s="13">
        <f t="shared" si="3"/>
        <v>0</v>
      </c>
      <c r="O10" s="13">
        <f t="shared" si="3"/>
        <v>0</v>
      </c>
      <c r="P10" s="13">
        <f t="shared" si="3"/>
        <v>0</v>
      </c>
      <c r="Q10" s="13">
        <f t="shared" si="3"/>
        <v>0</v>
      </c>
      <c r="R10" s="13">
        <f t="shared" si="3"/>
        <v>0</v>
      </c>
      <c r="S10" s="13"/>
      <c r="T10" s="13">
        <f>SUM(G10:R10)</f>
        <v>0</v>
      </c>
    </row>
    <row r="11" spans="1:22" x14ac:dyDescent="0.25">
      <c r="C11" s="82" t="s">
        <v>156</v>
      </c>
      <c r="G11" s="13">
        <f>'C9'!$G9*ApndxB5!G6*$A$5</f>
        <v>0</v>
      </c>
      <c r="H11" s="13">
        <f>G11*H$6</f>
        <v>0</v>
      </c>
      <c r="I11" s="13">
        <f t="shared" ref="I11:R12" si="4">H11*I$6</f>
        <v>0</v>
      </c>
      <c r="J11" s="13">
        <f t="shared" si="4"/>
        <v>0</v>
      </c>
      <c r="K11" s="13">
        <f t="shared" si="4"/>
        <v>0</v>
      </c>
      <c r="L11" s="13">
        <f t="shared" si="4"/>
        <v>0</v>
      </c>
      <c r="M11" s="13">
        <f t="shared" si="4"/>
        <v>0</v>
      </c>
      <c r="N11" s="13">
        <f t="shared" si="4"/>
        <v>0</v>
      </c>
      <c r="O11" s="13">
        <f t="shared" si="4"/>
        <v>0</v>
      </c>
      <c r="P11" s="13">
        <f t="shared" si="4"/>
        <v>0</v>
      </c>
      <c r="Q11" s="13">
        <f t="shared" si="4"/>
        <v>0</v>
      </c>
      <c r="R11" s="13">
        <f t="shared" si="4"/>
        <v>0</v>
      </c>
      <c r="S11" s="13"/>
      <c r="T11" s="13">
        <f>SUM(G11:R11)</f>
        <v>0</v>
      </c>
      <c r="V11" s="435"/>
    </row>
    <row r="12" spans="1:22" x14ac:dyDescent="0.25">
      <c r="C12" s="82" t="s">
        <v>157</v>
      </c>
      <c r="G12" s="13">
        <f>$A$5*G6*'A1'!Q41*'A1'!AS17/1000</f>
        <v>0</v>
      </c>
      <c r="H12" s="13">
        <f>G12*H$6</f>
        <v>0</v>
      </c>
      <c r="I12" s="13">
        <f t="shared" si="4"/>
        <v>0</v>
      </c>
      <c r="J12" s="13">
        <f t="shared" si="4"/>
        <v>0</v>
      </c>
      <c r="K12" s="13">
        <f t="shared" si="4"/>
        <v>0</v>
      </c>
      <c r="L12" s="13">
        <f t="shared" si="4"/>
        <v>0</v>
      </c>
      <c r="M12" s="13">
        <f t="shared" si="4"/>
        <v>0</v>
      </c>
      <c r="N12" s="13">
        <f t="shared" si="4"/>
        <v>0</v>
      </c>
      <c r="O12" s="13">
        <f t="shared" si="4"/>
        <v>0</v>
      </c>
      <c r="P12" s="13">
        <f t="shared" si="4"/>
        <v>0</v>
      </c>
      <c r="Q12" s="13">
        <f t="shared" si="4"/>
        <v>0</v>
      </c>
      <c r="R12" s="13">
        <f t="shared" si="4"/>
        <v>0</v>
      </c>
      <c r="S12" s="13"/>
      <c r="T12" s="13">
        <f>SUM(G12:R12)</f>
        <v>0</v>
      </c>
    </row>
    <row r="13" spans="1:22" hidden="1" x14ac:dyDescent="0.25">
      <c r="C13" s="82"/>
      <c r="G13" s="13"/>
      <c r="H13" s="13"/>
      <c r="I13" s="13"/>
      <c r="J13" s="13"/>
      <c r="K13" s="13"/>
      <c r="L13" s="13"/>
      <c r="M13" s="13"/>
      <c r="N13" s="13"/>
      <c r="O13" s="13"/>
      <c r="P13" s="13"/>
      <c r="Q13" s="13"/>
      <c r="R13" s="13"/>
      <c r="S13" s="13"/>
      <c r="T13" s="13"/>
    </row>
    <row r="14" spans="1:22" ht="15.75" thickBot="1" x14ac:dyDescent="0.3">
      <c r="B14" s="687"/>
      <c r="C14" s="687"/>
      <c r="D14" s="687" t="s">
        <v>307</v>
      </c>
      <c r="E14" s="687"/>
      <c r="F14" s="687"/>
      <c r="G14" s="688">
        <f t="shared" ref="G14:R14" si="5">SUM(G10:G12)</f>
        <v>0</v>
      </c>
      <c r="H14" s="688">
        <f t="shared" si="5"/>
        <v>0</v>
      </c>
      <c r="I14" s="688">
        <f t="shared" si="5"/>
        <v>0</v>
      </c>
      <c r="J14" s="688">
        <f t="shared" si="5"/>
        <v>0</v>
      </c>
      <c r="K14" s="688">
        <f t="shared" si="5"/>
        <v>0</v>
      </c>
      <c r="L14" s="688">
        <f t="shared" si="5"/>
        <v>0</v>
      </c>
      <c r="M14" s="688">
        <f t="shared" si="5"/>
        <v>0</v>
      </c>
      <c r="N14" s="688">
        <f t="shared" si="5"/>
        <v>0</v>
      </c>
      <c r="O14" s="688">
        <f t="shared" si="5"/>
        <v>0</v>
      </c>
      <c r="P14" s="688">
        <f t="shared" si="5"/>
        <v>0</v>
      </c>
      <c r="Q14" s="688">
        <f t="shared" si="5"/>
        <v>0</v>
      </c>
      <c r="R14" s="688">
        <f t="shared" si="5"/>
        <v>0</v>
      </c>
      <c r="S14" s="688"/>
      <c r="T14" s="688">
        <f>SUM(T10:T12)</f>
        <v>0</v>
      </c>
    </row>
    <row r="15" spans="1:22" ht="15.75" thickTop="1" x14ac:dyDescent="0.25">
      <c r="G15" s="381"/>
      <c r="H15" s="381"/>
      <c r="I15" s="381"/>
      <c r="J15" s="381"/>
      <c r="K15" s="381"/>
      <c r="L15" s="381"/>
      <c r="M15" s="381"/>
      <c r="N15" s="381"/>
      <c r="O15" s="381"/>
      <c r="P15" s="381"/>
      <c r="Q15" s="381"/>
      <c r="R15" s="381"/>
      <c r="S15" s="381"/>
      <c r="T15" s="381"/>
    </row>
    <row r="17" spans="2:22" x14ac:dyDescent="0.25">
      <c r="B17" s="106" t="s">
        <v>309</v>
      </c>
    </row>
    <row r="18" spans="2:22" x14ac:dyDescent="0.25">
      <c r="C18" s="1" t="s">
        <v>197</v>
      </c>
    </row>
    <row r="19" spans="2:22" x14ac:dyDescent="0.25">
      <c r="D19" s="1" t="s">
        <v>42</v>
      </c>
      <c r="G19" s="13">
        <f t="shared" ref="G19:R19" si="6">G38*G6</f>
        <v>0</v>
      </c>
      <c r="H19" s="13">
        <f t="shared" si="6"/>
        <v>0</v>
      </c>
      <c r="I19" s="13">
        <f t="shared" si="6"/>
        <v>0</v>
      </c>
      <c r="J19" s="13">
        <f t="shared" si="6"/>
        <v>0</v>
      </c>
      <c r="K19" s="13">
        <f t="shared" si="6"/>
        <v>0</v>
      </c>
      <c r="L19" s="13">
        <f t="shared" si="6"/>
        <v>0</v>
      </c>
      <c r="M19" s="13">
        <f t="shared" si="6"/>
        <v>0</v>
      </c>
      <c r="N19" s="13">
        <f t="shared" si="6"/>
        <v>0</v>
      </c>
      <c r="O19" s="13">
        <f t="shared" si="6"/>
        <v>0</v>
      </c>
      <c r="P19" s="13">
        <f t="shared" si="6"/>
        <v>0</v>
      </c>
      <c r="Q19" s="13">
        <f t="shared" si="6"/>
        <v>0</v>
      </c>
      <c r="R19" s="13">
        <f t="shared" si="6"/>
        <v>0</v>
      </c>
      <c r="S19" s="13"/>
      <c r="T19" s="13">
        <f>SUMPRODUCT(G19:R19,$G$46:$R$46)</f>
        <v>0</v>
      </c>
      <c r="V19" s="13">
        <f>ApndxA2!$H9</f>
        <v>0</v>
      </c>
    </row>
    <row r="20" spans="2:22" ht="17.25" x14ac:dyDescent="0.4">
      <c r="D20" s="1" t="s">
        <v>171</v>
      </c>
      <c r="G20" s="558">
        <f>'C10'!D50*G6</f>
        <v>23.874359999999999</v>
      </c>
      <c r="H20" s="558">
        <f>'C10'!E50*H6</f>
        <v>0</v>
      </c>
      <c r="I20" s="558">
        <f>'C10'!F50*I6</f>
        <v>0</v>
      </c>
      <c r="J20" s="558">
        <f>'C10'!G50*J6</f>
        <v>0</v>
      </c>
      <c r="K20" s="558">
        <f>'C10'!H50*K6</f>
        <v>0</v>
      </c>
      <c r="L20" s="558">
        <f>'C10'!I50*L6</f>
        <v>0</v>
      </c>
      <c r="M20" s="558">
        <f>'C10'!J50*M6</f>
        <v>0</v>
      </c>
      <c r="N20" s="558">
        <f>'C10'!K50*N6</f>
        <v>0</v>
      </c>
      <c r="O20" s="558">
        <f>'C10'!L50*O6</f>
        <v>0</v>
      </c>
      <c r="P20" s="558">
        <f>'C10'!M50*P6</f>
        <v>0</v>
      </c>
      <c r="Q20" s="558">
        <f>'C10'!N50*Q6</f>
        <v>0</v>
      </c>
      <c r="R20" s="558">
        <f>'C10'!O50*R6</f>
        <v>0</v>
      </c>
      <c r="S20" s="13"/>
      <c r="T20" s="558">
        <f>SUMPRODUCT(G20:R20,$G$46:$R$46)</f>
        <v>23.874359999999999</v>
      </c>
      <c r="V20" s="558">
        <f>ApndxA2!$H12</f>
        <v>0</v>
      </c>
    </row>
    <row r="21" spans="2:22" x14ac:dyDescent="0.25">
      <c r="E21" s="1" t="s">
        <v>13</v>
      </c>
      <c r="G21" s="13">
        <f t="shared" ref="G21:R21" si="7">SUM(G19:G20)</f>
        <v>23.874359999999999</v>
      </c>
      <c r="H21" s="13">
        <f t="shared" si="7"/>
        <v>0</v>
      </c>
      <c r="I21" s="13">
        <f t="shared" si="7"/>
        <v>0</v>
      </c>
      <c r="J21" s="13">
        <f t="shared" si="7"/>
        <v>0</v>
      </c>
      <c r="K21" s="13">
        <f t="shared" si="7"/>
        <v>0</v>
      </c>
      <c r="L21" s="13">
        <f t="shared" si="7"/>
        <v>0</v>
      </c>
      <c r="M21" s="13">
        <f t="shared" si="7"/>
        <v>0</v>
      </c>
      <c r="N21" s="13">
        <f t="shared" si="7"/>
        <v>0</v>
      </c>
      <c r="O21" s="13">
        <f t="shared" si="7"/>
        <v>0</v>
      </c>
      <c r="P21" s="13">
        <f t="shared" si="7"/>
        <v>0</v>
      </c>
      <c r="Q21" s="13">
        <f t="shared" si="7"/>
        <v>0</v>
      </c>
      <c r="R21" s="13">
        <f t="shared" si="7"/>
        <v>0</v>
      </c>
      <c r="S21" s="13"/>
      <c r="T21" s="13">
        <f>SUM(T19:T20)</f>
        <v>23.874359999999999</v>
      </c>
      <c r="V21" s="13">
        <f>ApndxA2!$H14</f>
        <v>0</v>
      </c>
    </row>
    <row r="22" spans="2:22" x14ac:dyDescent="0.25">
      <c r="G22" s="13"/>
      <c r="H22" s="13"/>
      <c r="I22" s="13"/>
      <c r="J22" s="13"/>
      <c r="K22" s="13"/>
      <c r="L22" s="13"/>
      <c r="M22" s="13"/>
      <c r="N22" s="13"/>
      <c r="O22" s="13"/>
      <c r="P22" s="13"/>
      <c r="Q22" s="13"/>
      <c r="R22" s="13"/>
      <c r="S22" s="13"/>
      <c r="T22" s="13"/>
      <c r="V22" s="13"/>
    </row>
    <row r="23" spans="2:22" x14ac:dyDescent="0.25">
      <c r="C23" s="1" t="s">
        <v>573</v>
      </c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V23" s="13"/>
    </row>
    <row r="24" spans="2:22" x14ac:dyDescent="0.25">
      <c r="D24" s="1" t="s">
        <v>174</v>
      </c>
      <c r="G24" s="13">
        <f>'A1'!$Q$25*G42/30*G6</f>
        <v>0</v>
      </c>
      <c r="H24" s="13">
        <f>'A1'!$Q$25*H42/30*H6</f>
        <v>0</v>
      </c>
      <c r="I24" s="13">
        <f>'A1'!$Q$25*I42/30*I6</f>
        <v>0</v>
      </c>
      <c r="J24" s="13">
        <f>'A1'!$Q$25*J42/30*J6</f>
        <v>0</v>
      </c>
      <c r="K24" s="13">
        <f>'A1'!$Q$25*K42/30*K6</f>
        <v>0</v>
      </c>
      <c r="L24" s="13">
        <f>'A1'!$Q$25*L42/30*L6</f>
        <v>0</v>
      </c>
      <c r="M24" s="13">
        <f>'A1'!$Q$25*M42/30*M6</f>
        <v>0</v>
      </c>
      <c r="N24" s="13">
        <f>'A1'!$Q$25*N42/30*N6</f>
        <v>0</v>
      </c>
      <c r="O24" s="13">
        <f>'A1'!$Q$25*O42/30*O6</f>
        <v>0</v>
      </c>
      <c r="P24" s="13">
        <f>'A1'!$Q$25*P42/30*P6</f>
        <v>0</v>
      </c>
      <c r="Q24" s="13">
        <f>'A1'!$Q$25*Q42/30*Q6</f>
        <v>0</v>
      </c>
      <c r="R24" s="13">
        <f>'A1'!$Q$25*R42/30*R6</f>
        <v>0</v>
      </c>
      <c r="S24" s="13"/>
      <c r="T24" s="13">
        <f>SUMPRODUCT(G24:R24,$G$46:$R$46)</f>
        <v>0</v>
      </c>
      <c r="V24" s="13">
        <f>ApndxA2!$H17</f>
        <v>0</v>
      </c>
    </row>
    <row r="25" spans="2:22" x14ac:dyDescent="0.25">
      <c r="D25" s="1" t="s">
        <v>221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  <c r="L25" s="13">
        <v>0</v>
      </c>
      <c r="M25" s="13">
        <v>0</v>
      </c>
      <c r="N25" s="13">
        <v>0</v>
      </c>
      <c r="O25" s="13">
        <v>0</v>
      </c>
      <c r="P25" s="13">
        <v>0</v>
      </c>
      <c r="Q25" s="13">
        <v>0</v>
      </c>
      <c r="R25" s="13">
        <v>0</v>
      </c>
      <c r="S25" s="13"/>
      <c r="T25" s="13">
        <f>SUMPRODUCT(G25:R25,$G$46:$R$46)</f>
        <v>0</v>
      </c>
      <c r="V25" s="13">
        <f>ApndxA2!$H18</f>
        <v>0</v>
      </c>
    </row>
    <row r="26" spans="2:22" ht="17.25" x14ac:dyDescent="0.4">
      <c r="D26" s="1" t="s">
        <v>176</v>
      </c>
      <c r="G26" s="13">
        <f>IF(B5=0,0,(-G14+ApndxA2!G25)*A5)</f>
        <v>0</v>
      </c>
      <c r="H26" s="13">
        <f t="shared" ref="H26:R26" si="8">(G26-H14)*H6</f>
        <v>0</v>
      </c>
      <c r="I26" s="13">
        <f t="shared" si="8"/>
        <v>0</v>
      </c>
      <c r="J26" s="13">
        <f t="shared" si="8"/>
        <v>0</v>
      </c>
      <c r="K26" s="13">
        <f t="shared" si="8"/>
        <v>0</v>
      </c>
      <c r="L26" s="13">
        <f t="shared" si="8"/>
        <v>0</v>
      </c>
      <c r="M26" s="13">
        <f t="shared" si="8"/>
        <v>0</v>
      </c>
      <c r="N26" s="13">
        <f t="shared" si="8"/>
        <v>0</v>
      </c>
      <c r="O26" s="13">
        <f t="shared" si="8"/>
        <v>0</v>
      </c>
      <c r="P26" s="13">
        <f t="shared" si="8"/>
        <v>0</v>
      </c>
      <c r="Q26" s="13">
        <f t="shared" si="8"/>
        <v>0</v>
      </c>
      <c r="R26" s="13">
        <f t="shared" si="8"/>
        <v>0</v>
      </c>
      <c r="S26" s="13"/>
      <c r="T26" s="13">
        <f>SUMPRODUCT(G26:R26,$G$46:$R$46)</f>
        <v>0</v>
      </c>
      <c r="V26" s="558">
        <f>ApndxA2!$H25</f>
        <v>0</v>
      </c>
    </row>
    <row r="27" spans="2:22" ht="15.75" thickBot="1" x14ac:dyDescent="0.3">
      <c r="B27" s="687"/>
      <c r="C27" s="687"/>
      <c r="D27" s="687"/>
      <c r="E27" s="687" t="s">
        <v>13</v>
      </c>
      <c r="F27" s="687"/>
      <c r="G27" s="688">
        <f>SUM(G24:G26)</f>
        <v>0</v>
      </c>
      <c r="H27" s="688">
        <f t="shared" ref="H27:R27" si="9">SUM(H24:H26)</f>
        <v>0</v>
      </c>
      <c r="I27" s="688">
        <f t="shared" si="9"/>
        <v>0</v>
      </c>
      <c r="J27" s="688">
        <f t="shared" si="9"/>
        <v>0</v>
      </c>
      <c r="K27" s="688">
        <f t="shared" si="9"/>
        <v>0</v>
      </c>
      <c r="L27" s="688">
        <f t="shared" si="9"/>
        <v>0</v>
      </c>
      <c r="M27" s="688">
        <f t="shared" si="9"/>
        <v>0</v>
      </c>
      <c r="N27" s="688">
        <f t="shared" si="9"/>
        <v>0</v>
      </c>
      <c r="O27" s="688">
        <f t="shared" si="9"/>
        <v>0</v>
      </c>
      <c r="P27" s="688">
        <f t="shared" si="9"/>
        <v>0</v>
      </c>
      <c r="Q27" s="688">
        <f t="shared" si="9"/>
        <v>0</v>
      </c>
      <c r="R27" s="688">
        <f t="shared" si="9"/>
        <v>0</v>
      </c>
      <c r="S27" s="688"/>
      <c r="T27" s="688">
        <f>SUM(T24:T26)</f>
        <v>0</v>
      </c>
      <c r="V27" s="13">
        <f>ApndxA2!$H27</f>
        <v>0</v>
      </c>
    </row>
    <row r="28" spans="2:22" ht="15.75" thickTop="1" x14ac:dyDescent="0.25">
      <c r="G28" s="381"/>
      <c r="H28" s="381"/>
      <c r="I28" s="381"/>
      <c r="J28" s="381"/>
      <c r="K28" s="381"/>
      <c r="L28" s="381"/>
      <c r="M28" s="381"/>
      <c r="N28" s="381"/>
      <c r="O28" s="381"/>
      <c r="P28" s="381"/>
      <c r="Q28" s="381"/>
      <c r="R28" s="381"/>
      <c r="S28" s="381"/>
      <c r="T28" s="381"/>
      <c r="V28" s="13"/>
    </row>
    <row r="29" spans="2:22" x14ac:dyDescent="0.25">
      <c r="B29" s="106" t="s">
        <v>311</v>
      </c>
    </row>
    <row r="30" spans="2:22" x14ac:dyDescent="0.25">
      <c r="C30" s="1" t="s">
        <v>304</v>
      </c>
      <c r="G30" s="13">
        <f t="shared" ref="G30:S30" si="10">-G14</f>
        <v>0</v>
      </c>
      <c r="H30" s="13">
        <f t="shared" si="10"/>
        <v>0</v>
      </c>
      <c r="I30" s="13">
        <f t="shared" si="10"/>
        <v>0</v>
      </c>
      <c r="J30" s="13">
        <f t="shared" si="10"/>
        <v>0</v>
      </c>
      <c r="K30" s="13">
        <f t="shared" si="10"/>
        <v>0</v>
      </c>
      <c r="L30" s="13">
        <f t="shared" si="10"/>
        <v>0</v>
      </c>
      <c r="M30" s="13">
        <f t="shared" si="10"/>
        <v>0</v>
      </c>
      <c r="N30" s="13">
        <f t="shared" si="10"/>
        <v>0</v>
      </c>
      <c r="O30" s="13">
        <f t="shared" si="10"/>
        <v>0</v>
      </c>
      <c r="P30" s="13">
        <f t="shared" si="10"/>
        <v>0</v>
      </c>
      <c r="Q30" s="13">
        <f t="shared" si="10"/>
        <v>0</v>
      </c>
      <c r="R30" s="13">
        <f t="shared" si="10"/>
        <v>0</v>
      </c>
      <c r="S30" s="13">
        <f t="shared" si="10"/>
        <v>0</v>
      </c>
      <c r="T30" s="13">
        <f>SUM(G30:R30)</f>
        <v>0</v>
      </c>
    </row>
    <row r="31" spans="2:22" x14ac:dyDescent="0.25">
      <c r="C31" s="1" t="s">
        <v>178</v>
      </c>
      <c r="D31" s="1" t="s">
        <v>183</v>
      </c>
      <c r="G31" s="13">
        <f>G24</f>
        <v>0</v>
      </c>
      <c r="H31" s="13">
        <f t="shared" ref="H31:R31" si="11">(H24-G24)*H6</f>
        <v>0</v>
      </c>
      <c r="I31" s="13">
        <f t="shared" si="11"/>
        <v>0</v>
      </c>
      <c r="J31" s="13">
        <f t="shared" si="11"/>
        <v>0</v>
      </c>
      <c r="K31" s="13">
        <f t="shared" si="11"/>
        <v>0</v>
      </c>
      <c r="L31" s="13">
        <f t="shared" si="11"/>
        <v>0</v>
      </c>
      <c r="M31" s="13">
        <f t="shared" si="11"/>
        <v>0</v>
      </c>
      <c r="N31" s="13">
        <f t="shared" si="11"/>
        <v>0</v>
      </c>
      <c r="O31" s="13">
        <f t="shared" si="11"/>
        <v>0</v>
      </c>
      <c r="P31" s="13">
        <f t="shared" si="11"/>
        <v>0</v>
      </c>
      <c r="Q31" s="13">
        <f t="shared" si="11"/>
        <v>0</v>
      </c>
      <c r="R31" s="13">
        <f t="shared" si="11"/>
        <v>0</v>
      </c>
      <c r="S31" s="13">
        <f>ApndxB5!S24</f>
        <v>0</v>
      </c>
      <c r="T31" s="13">
        <f>SUM(G31:R31)</f>
        <v>0</v>
      </c>
    </row>
    <row r="32" spans="2:22" ht="17.25" x14ac:dyDescent="0.4">
      <c r="C32" s="1" t="s">
        <v>179</v>
      </c>
      <c r="D32" s="1" t="s">
        <v>185</v>
      </c>
      <c r="G32" s="558">
        <f>-('A1'!AS33+'A1'!AS34)/1000*G6</f>
        <v>0</v>
      </c>
      <c r="H32" s="558">
        <v>0</v>
      </c>
      <c r="I32" s="558">
        <v>0</v>
      </c>
      <c r="J32" s="558">
        <v>0</v>
      </c>
      <c r="K32" s="558">
        <v>0</v>
      </c>
      <c r="L32" s="558">
        <v>0</v>
      </c>
      <c r="M32" s="558">
        <v>0</v>
      </c>
      <c r="N32" s="558">
        <v>0</v>
      </c>
      <c r="O32" s="558">
        <v>0</v>
      </c>
      <c r="P32" s="558">
        <v>0</v>
      </c>
      <c r="Q32" s="558">
        <v>0</v>
      </c>
      <c r="R32" s="558">
        <v>0</v>
      </c>
      <c r="S32" s="558"/>
      <c r="T32" s="558">
        <f>SUM(G32:R32)</f>
        <v>0</v>
      </c>
      <c r="V32" s="1">
        <f>ApndxA2!P26</f>
        <v>0</v>
      </c>
    </row>
    <row r="33" spans="2:22" ht="17.25" hidden="1" x14ac:dyDescent="0.4">
      <c r="G33" s="558"/>
      <c r="H33" s="558"/>
      <c r="I33" s="558"/>
      <c r="J33" s="558"/>
      <c r="K33" s="558"/>
      <c r="L33" s="558"/>
      <c r="M33" s="558"/>
      <c r="N33" s="558"/>
      <c r="O33" s="558"/>
      <c r="P33" s="558"/>
      <c r="Q33" s="558"/>
      <c r="R33" s="558"/>
      <c r="S33" s="558"/>
      <c r="T33" s="558"/>
      <c r="V33" s="1">
        <f>ApndxA2!P27</f>
        <v>0</v>
      </c>
    </row>
    <row r="34" spans="2:22" x14ac:dyDescent="0.25">
      <c r="G34" s="13">
        <f>SUM(G30:G32)</f>
        <v>0</v>
      </c>
      <c r="H34" s="13">
        <f t="shared" ref="H34:R34" si="12">SUM(H30:H32)</f>
        <v>0</v>
      </c>
      <c r="I34" s="13">
        <f t="shared" si="12"/>
        <v>0</v>
      </c>
      <c r="J34" s="13">
        <f t="shared" si="12"/>
        <v>0</v>
      </c>
      <c r="K34" s="13">
        <f t="shared" si="12"/>
        <v>0</v>
      </c>
      <c r="L34" s="13">
        <f t="shared" si="12"/>
        <v>0</v>
      </c>
      <c r="M34" s="13">
        <f t="shared" si="12"/>
        <v>0</v>
      </c>
      <c r="N34" s="13">
        <f t="shared" si="12"/>
        <v>0</v>
      </c>
      <c r="O34" s="13">
        <f t="shared" si="12"/>
        <v>0</v>
      </c>
      <c r="P34" s="13">
        <f t="shared" si="12"/>
        <v>0</v>
      </c>
      <c r="Q34" s="13">
        <f t="shared" si="12"/>
        <v>0</v>
      </c>
      <c r="R34" s="13">
        <f t="shared" si="12"/>
        <v>0</v>
      </c>
      <c r="S34" s="13"/>
      <c r="T34" s="13">
        <f>SUM(T30:T32)</f>
        <v>0</v>
      </c>
    </row>
    <row r="35" spans="2:22" x14ac:dyDescent="0.25">
      <c r="G35" s="13"/>
      <c r="H35" s="13"/>
      <c r="I35" s="13"/>
      <c r="J35" s="13"/>
      <c r="K35" s="13"/>
      <c r="L35" s="13"/>
      <c r="M35" s="13"/>
      <c r="N35" s="13"/>
      <c r="O35" s="13"/>
      <c r="P35" s="13"/>
      <c r="Q35" s="13"/>
      <c r="R35" s="13"/>
      <c r="S35" s="13"/>
      <c r="T35" s="13"/>
    </row>
    <row r="36" spans="2:22" x14ac:dyDescent="0.25">
      <c r="B36" s="1" t="s">
        <v>574</v>
      </c>
      <c r="G36" s="13">
        <f>ApndxA3!H28*G6</f>
        <v>0</v>
      </c>
      <c r="H36" s="13">
        <f t="shared" ref="H36:R36" si="13">G38*H6</f>
        <v>0</v>
      </c>
      <c r="I36" s="13">
        <f t="shared" si="13"/>
        <v>0</v>
      </c>
      <c r="J36" s="13">
        <f t="shared" si="13"/>
        <v>0</v>
      </c>
      <c r="K36" s="13">
        <f t="shared" si="13"/>
        <v>0</v>
      </c>
      <c r="L36" s="13">
        <f t="shared" si="13"/>
        <v>0</v>
      </c>
      <c r="M36" s="13">
        <f t="shared" si="13"/>
        <v>0</v>
      </c>
      <c r="N36" s="13">
        <f t="shared" si="13"/>
        <v>0</v>
      </c>
      <c r="O36" s="13">
        <f t="shared" si="13"/>
        <v>0</v>
      </c>
      <c r="P36" s="13">
        <f t="shared" si="13"/>
        <v>0</v>
      </c>
      <c r="Q36" s="13">
        <f t="shared" si="13"/>
        <v>0</v>
      </c>
      <c r="R36" s="13">
        <f t="shared" si="13"/>
        <v>0</v>
      </c>
      <c r="S36" s="13"/>
      <c r="T36" s="13">
        <f>G36</f>
        <v>0</v>
      </c>
    </row>
    <row r="37" spans="2:22" x14ac:dyDescent="0.25">
      <c r="C37" s="1" t="s">
        <v>312</v>
      </c>
      <c r="G37" s="13">
        <f>G34</f>
        <v>0</v>
      </c>
      <c r="H37" s="13">
        <f t="shared" ref="H37:Q37" si="14">H34</f>
        <v>0</v>
      </c>
      <c r="I37" s="13">
        <f t="shared" si="14"/>
        <v>0</v>
      </c>
      <c r="J37" s="13">
        <f t="shared" si="14"/>
        <v>0</v>
      </c>
      <c r="K37" s="13">
        <f t="shared" si="14"/>
        <v>0</v>
      </c>
      <c r="L37" s="13">
        <f t="shared" si="14"/>
        <v>0</v>
      </c>
      <c r="M37" s="13">
        <f t="shared" si="14"/>
        <v>0</v>
      </c>
      <c r="N37" s="13">
        <f t="shared" si="14"/>
        <v>0</v>
      </c>
      <c r="O37" s="13">
        <f t="shared" si="14"/>
        <v>0</v>
      </c>
      <c r="P37" s="13">
        <f t="shared" si="14"/>
        <v>0</v>
      </c>
      <c r="Q37" s="13">
        <f t="shared" si="14"/>
        <v>0</v>
      </c>
      <c r="R37" s="13">
        <f>R34</f>
        <v>0</v>
      </c>
      <c r="S37" s="13"/>
      <c r="T37" s="13">
        <f>SUM(G37:R37)</f>
        <v>0</v>
      </c>
    </row>
    <row r="38" spans="2:22" ht="15.75" thickBot="1" x14ac:dyDescent="0.3">
      <c r="B38" s="698" t="s">
        <v>187</v>
      </c>
      <c r="C38" s="698"/>
      <c r="D38" s="698"/>
      <c r="E38" s="698"/>
      <c r="F38" s="698"/>
      <c r="G38" s="699">
        <f t="shared" ref="G38:R38" si="15">(G36+G37)*G6</f>
        <v>0</v>
      </c>
      <c r="H38" s="699">
        <f t="shared" si="15"/>
        <v>0</v>
      </c>
      <c r="I38" s="699">
        <f t="shared" si="15"/>
        <v>0</v>
      </c>
      <c r="J38" s="699">
        <f t="shared" si="15"/>
        <v>0</v>
      </c>
      <c r="K38" s="699">
        <f t="shared" si="15"/>
        <v>0</v>
      </c>
      <c r="L38" s="699">
        <f t="shared" si="15"/>
        <v>0</v>
      </c>
      <c r="M38" s="699">
        <f t="shared" si="15"/>
        <v>0</v>
      </c>
      <c r="N38" s="699">
        <f t="shared" si="15"/>
        <v>0</v>
      </c>
      <c r="O38" s="699">
        <f t="shared" si="15"/>
        <v>0</v>
      </c>
      <c r="P38" s="699">
        <f t="shared" si="15"/>
        <v>0</v>
      </c>
      <c r="Q38" s="699">
        <f t="shared" si="15"/>
        <v>0</v>
      </c>
      <c r="R38" s="699">
        <f t="shared" si="15"/>
        <v>0</v>
      </c>
      <c r="S38" s="699"/>
      <c r="T38" s="699">
        <f>T36+T37</f>
        <v>0</v>
      </c>
    </row>
    <row r="39" spans="2:22" ht="15.75" thickTop="1" x14ac:dyDescent="0.25">
      <c r="G39" s="13"/>
      <c r="H39" s="13"/>
      <c r="I39" s="13"/>
      <c r="J39" s="13"/>
      <c r="K39" s="13"/>
      <c r="L39" s="13"/>
      <c r="M39" s="13"/>
      <c r="N39" s="13"/>
      <c r="O39" s="13"/>
      <c r="P39" s="13"/>
      <c r="Q39" s="13"/>
      <c r="R39" s="13"/>
      <c r="S39" s="13"/>
      <c r="T39" s="13"/>
    </row>
    <row r="41" spans="2:22" x14ac:dyDescent="0.25">
      <c r="B41" s="1" t="s">
        <v>192</v>
      </c>
      <c r="G41" s="381">
        <f t="shared" ref="G41:T41" si="16">G11+G12</f>
        <v>0</v>
      </c>
      <c r="H41" s="381">
        <f t="shared" si="16"/>
        <v>0</v>
      </c>
      <c r="I41" s="381">
        <f t="shared" si="16"/>
        <v>0</v>
      </c>
      <c r="J41" s="381">
        <f t="shared" si="16"/>
        <v>0</v>
      </c>
      <c r="K41" s="381">
        <f t="shared" si="16"/>
        <v>0</v>
      </c>
      <c r="L41" s="381">
        <f t="shared" si="16"/>
        <v>0</v>
      </c>
      <c r="M41" s="381">
        <f t="shared" si="16"/>
        <v>0</v>
      </c>
      <c r="N41" s="381">
        <f t="shared" si="16"/>
        <v>0</v>
      </c>
      <c r="O41" s="381">
        <f t="shared" si="16"/>
        <v>0</v>
      </c>
      <c r="P41" s="381">
        <f t="shared" si="16"/>
        <v>0</v>
      </c>
      <c r="Q41" s="381">
        <f t="shared" si="16"/>
        <v>0</v>
      </c>
      <c r="R41" s="381">
        <f t="shared" si="16"/>
        <v>0</v>
      </c>
      <c r="S41" s="381">
        <f t="shared" si="16"/>
        <v>0</v>
      </c>
      <c r="T41" s="381">
        <f t="shared" si="16"/>
        <v>0</v>
      </c>
    </row>
    <row r="42" spans="2:22" x14ac:dyDescent="0.25">
      <c r="C42" s="1" t="s">
        <v>310</v>
      </c>
      <c r="G42" s="381">
        <f>G41</f>
        <v>0</v>
      </c>
      <c r="H42" s="381">
        <f>AVERAGE(G41:H41)</f>
        <v>0</v>
      </c>
      <c r="I42" s="381">
        <f t="shared" ref="I42:R42" si="17">AVERAGE(H41:I41)</f>
        <v>0</v>
      </c>
      <c r="J42" s="381">
        <f t="shared" si="17"/>
        <v>0</v>
      </c>
      <c r="K42" s="381">
        <f t="shared" si="17"/>
        <v>0</v>
      </c>
      <c r="L42" s="381">
        <f t="shared" si="17"/>
        <v>0</v>
      </c>
      <c r="M42" s="381">
        <f t="shared" si="17"/>
        <v>0</v>
      </c>
      <c r="N42" s="381">
        <f t="shared" si="17"/>
        <v>0</v>
      </c>
      <c r="O42" s="381">
        <f t="shared" si="17"/>
        <v>0</v>
      </c>
      <c r="P42" s="381">
        <f t="shared" si="17"/>
        <v>0</v>
      </c>
      <c r="Q42" s="381">
        <f t="shared" si="17"/>
        <v>0</v>
      </c>
      <c r="R42" s="381">
        <f t="shared" si="17"/>
        <v>0</v>
      </c>
    </row>
    <row r="45" spans="2:22" s="81" customFormat="1" x14ac:dyDescent="0.25">
      <c r="F45" s="81" t="s">
        <v>308</v>
      </c>
      <c r="G45" s="81">
        <f t="shared" ref="G45:Q45" si="18">G21-G27</f>
        <v>23.874359999999999</v>
      </c>
      <c r="H45" s="81">
        <f t="shared" si="18"/>
        <v>0</v>
      </c>
      <c r="I45" s="81">
        <f t="shared" si="18"/>
        <v>0</v>
      </c>
      <c r="J45" s="81">
        <f t="shared" si="18"/>
        <v>0</v>
      </c>
      <c r="K45" s="81">
        <f t="shared" si="18"/>
        <v>0</v>
      </c>
      <c r="L45" s="81">
        <f t="shared" si="18"/>
        <v>0</v>
      </c>
      <c r="M45" s="81">
        <f t="shared" si="18"/>
        <v>0</v>
      </c>
      <c r="N45" s="81">
        <f t="shared" si="18"/>
        <v>0</v>
      </c>
      <c r="O45" s="81">
        <f t="shared" si="18"/>
        <v>0</v>
      </c>
      <c r="P45" s="81">
        <f t="shared" si="18"/>
        <v>0</v>
      </c>
      <c r="Q45" s="81">
        <f t="shared" si="18"/>
        <v>0</v>
      </c>
    </row>
    <row r="46" spans="2:22" x14ac:dyDescent="0.25">
      <c r="D46" s="1" t="s">
        <v>313</v>
      </c>
      <c r="G46" s="536">
        <f t="shared" ref="G46:R46" si="19">IF(AND(G6=1,H6=0),1,0)</f>
        <v>1</v>
      </c>
      <c r="H46" s="536">
        <f t="shared" si="19"/>
        <v>0</v>
      </c>
      <c r="I46" s="536">
        <f t="shared" si="19"/>
        <v>0</v>
      </c>
      <c r="J46" s="536">
        <f t="shared" si="19"/>
        <v>0</v>
      </c>
      <c r="K46" s="536">
        <f t="shared" si="19"/>
        <v>0</v>
      </c>
      <c r="L46" s="536">
        <f t="shared" si="19"/>
        <v>0</v>
      </c>
      <c r="M46" s="536">
        <f t="shared" si="19"/>
        <v>0</v>
      </c>
      <c r="N46" s="536">
        <f t="shared" si="19"/>
        <v>0</v>
      </c>
      <c r="O46" s="536">
        <f t="shared" si="19"/>
        <v>0</v>
      </c>
      <c r="P46" s="536">
        <f t="shared" si="19"/>
        <v>0</v>
      </c>
      <c r="Q46" s="536">
        <f t="shared" si="19"/>
        <v>0</v>
      </c>
      <c r="R46" s="536">
        <f t="shared" si="19"/>
        <v>0</v>
      </c>
    </row>
    <row r="48" spans="2:22" x14ac:dyDescent="0.25">
      <c r="G48" s="1">
        <f>MATCH(G8,'C11'!$O$11:$O$46,0)</f>
        <v>1</v>
      </c>
      <c r="H48" s="1">
        <f>MATCH(H8,'C11'!$O$11:$O$46,0)</f>
        <v>2</v>
      </c>
      <c r="I48" s="1">
        <f>MATCH(I8,'C11'!$O$11:$O$46,0)</f>
        <v>3</v>
      </c>
      <c r="J48" s="1">
        <f>MATCH(J8,'C11'!$O$11:$O$46,0)</f>
        <v>4</v>
      </c>
      <c r="K48" s="1">
        <f>MATCH(K8,'C11'!$O$11:$O$46,0)</f>
        <v>5</v>
      </c>
      <c r="L48" s="1">
        <f>MATCH(L8,'C11'!$O$11:$O$46,0)</f>
        <v>6</v>
      </c>
      <c r="M48" s="1">
        <f>MATCH(M8,'C11'!$O$11:$O$46,0)</f>
        <v>7</v>
      </c>
      <c r="N48" s="1">
        <f>MATCH(N8,'C11'!$O$11:$O$46,0)</f>
        <v>8</v>
      </c>
      <c r="O48" s="1">
        <f>MATCH(O8,'C11'!$O$11:$O$46,0)</f>
        <v>9</v>
      </c>
      <c r="P48" s="1">
        <f>MATCH(P8,'C11'!$O$11:$O$46,0)</f>
        <v>10</v>
      </c>
      <c r="Q48" s="1">
        <f>MATCH(Q8,'C11'!$O$11:$O$46,0)</f>
        <v>11</v>
      </c>
      <c r="R48" s="1">
        <f>MATCH(R8,'C11'!$O$11:$O$46,0)</f>
        <v>12</v>
      </c>
    </row>
    <row r="49" spans="6:19" x14ac:dyDescent="0.25">
      <c r="F49" s="1" t="s">
        <v>422</v>
      </c>
      <c r="G49" s="1">
        <f>LOOKUP(G48,'C11'!$N$11:$N$46,'C11'!$P$11:$P$46)</f>
        <v>0</v>
      </c>
      <c r="H49" s="1">
        <f>LOOKUP(H48,'C11'!$N$11:$N$46,'C11'!$P$11:$P$46)</f>
        <v>0</v>
      </c>
      <c r="I49" s="1">
        <f>LOOKUP(I48,'C11'!$N$11:$N$46,'C11'!$P$11:$P$46)</f>
        <v>0</v>
      </c>
      <c r="J49" s="1">
        <f>LOOKUP(J48,'C11'!$N$11:$N$46,'C11'!$P$11:$P$46)</f>
        <v>0</v>
      </c>
      <c r="K49" s="1">
        <f>LOOKUP(K48,'C11'!$N$11:$N$46,'C11'!$P$11:$P$46)</f>
        <v>0</v>
      </c>
      <c r="L49" s="1">
        <f>LOOKUP(L48,'C11'!$N$11:$N$46,'C11'!$P$11:$P$46)</f>
        <v>0</v>
      </c>
      <c r="M49" s="1">
        <f>LOOKUP(M48,'C11'!$N$11:$N$46,'C11'!$P$11:$P$46)</f>
        <v>0</v>
      </c>
      <c r="N49" s="1">
        <f>LOOKUP(N48,'C11'!$N$11:$N$46,'C11'!$P$11:$P$46)</f>
        <v>0</v>
      </c>
      <c r="O49" s="1">
        <f>LOOKUP(O48,'C11'!$N$11:$N$46,'C11'!$P$11:$P$46)</f>
        <v>0</v>
      </c>
      <c r="P49" s="1">
        <f>LOOKUP(P48,'C11'!$N$11:$N$46,'C11'!$P$11:$P$46)</f>
        <v>0</v>
      </c>
      <c r="Q49" s="1">
        <f>LOOKUP(Q48,'C11'!$N$11:$N$46,'C11'!$P$11:$P$46)</f>
        <v>0</v>
      </c>
      <c r="R49" s="1">
        <f>LOOKUP(R48,'C11'!$N$11:$N$46,'C11'!$P$11:$P$46)</f>
        <v>0</v>
      </c>
      <c r="S49" s="1" t="e">
        <f>LOOKUP(S48,'C11'!$N$11:$N$46,'C11'!$P$11:$P$46)</f>
        <v>#N/A</v>
      </c>
    </row>
  </sheetData>
  <conditionalFormatting sqref="G7:R7 T7">
    <cfRule type="expression" dxfId="23" priority="3">
      <formula>G$6=0</formula>
    </cfRule>
  </conditionalFormatting>
  <conditionalFormatting sqref="T8 G8:R8">
    <cfRule type="expression" dxfId="22" priority="1">
      <formula>G$6=0</formula>
    </cfRule>
  </conditionalFormatting>
  <printOptions horizontalCentered="1"/>
  <pageMargins left="0.5" right="0.5" top="0.75" bottom="0.75" header="0.3" footer="0.3"/>
  <pageSetup scale="75" orientation="landscape" r:id="rId1"/>
  <ignoredErrors>
    <ignoredError sqref="G18:V36 A2:T10 G38:V46 G37:U37 A12:T14 A11:F11 H11:T11" unlockedFormula="1"/>
  </ignoredErrors>
  <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>
    <tabColor theme="5" tint="0.39997558519241921"/>
    <pageSetUpPr fitToPage="1"/>
  </sheetPr>
  <dimension ref="A1:AH51"/>
  <sheetViews>
    <sheetView showGridLines="0" view="pageBreakPreview" zoomScale="85" zoomScaleNormal="132" zoomScaleSheetLayoutView="85" workbookViewId="0"/>
  </sheetViews>
  <sheetFormatPr defaultColWidth="9.42578125" defaultRowHeight="15" outlineLevelCol="1" x14ac:dyDescent="0.25"/>
  <cols>
    <col min="1" max="1" width="0.5703125" style="1" customWidth="1"/>
    <col min="2" max="2" width="2.42578125" style="1" customWidth="1"/>
    <col min="3" max="4" width="2" style="1" customWidth="1"/>
    <col min="5" max="5" width="3" style="1" customWidth="1"/>
    <col min="6" max="6" width="13.5703125" style="1" customWidth="1"/>
    <col min="7" max="18" width="8.42578125" style="1" customWidth="1"/>
    <col min="19" max="30" width="8.42578125" style="1" hidden="1" customWidth="1" outlineLevel="1"/>
    <col min="31" max="31" width="2.42578125" style="1" customWidth="1" collapsed="1"/>
    <col min="32" max="32" width="8.42578125" style="1" customWidth="1"/>
    <col min="33" max="16384" width="9.42578125" style="1"/>
  </cols>
  <sheetData>
    <row r="1" spans="1:32" ht="6" customHeight="1" thickBot="1" x14ac:dyDescent="0.3">
      <c r="B1" s="85"/>
      <c r="C1" s="86"/>
      <c r="D1" s="85"/>
      <c r="E1" s="85"/>
      <c r="F1" s="85"/>
      <c r="G1" s="85"/>
      <c r="H1" s="85"/>
      <c r="I1" s="85"/>
      <c r="J1" s="85"/>
      <c r="K1" s="85"/>
      <c r="L1" s="85"/>
      <c r="M1" s="85"/>
      <c r="N1" s="85"/>
      <c r="O1" s="85"/>
      <c r="P1" s="85"/>
      <c r="Q1" s="85"/>
      <c r="R1" s="85"/>
      <c r="S1" s="85"/>
      <c r="T1" s="85"/>
      <c r="U1" s="85"/>
      <c r="V1" s="85"/>
      <c r="W1" s="85"/>
      <c r="X1" s="85"/>
      <c r="Y1" s="85"/>
      <c r="Z1" s="85"/>
      <c r="AA1" s="85"/>
      <c r="AB1" s="85"/>
      <c r="AC1" s="85"/>
      <c r="AD1" s="85"/>
      <c r="AE1" s="85"/>
      <c r="AF1" s="85"/>
    </row>
    <row r="2" spans="1:32" ht="16.5" thickTop="1" x14ac:dyDescent="0.25">
      <c r="B2" s="110" t="str">
        <f>MainOutline!B2</f>
        <v>WB Santa Cruz</v>
      </c>
      <c r="C2" s="111"/>
      <c r="D2" s="111"/>
      <c r="E2" s="111"/>
      <c r="F2" s="111"/>
      <c r="G2" s="111"/>
      <c r="H2" s="111"/>
      <c r="I2" s="111"/>
      <c r="J2" s="508" t="str">
        <f>'A1'!$C$90</f>
        <v>Acquisition of an existing facility</v>
      </c>
      <c r="K2" s="111"/>
      <c r="L2" s="111"/>
      <c r="M2" s="111"/>
      <c r="N2" s="111"/>
      <c r="O2" s="111"/>
      <c r="P2" s="111"/>
      <c r="Q2" s="111"/>
      <c r="R2" s="111"/>
      <c r="S2" s="111"/>
      <c r="T2" s="111"/>
      <c r="U2" s="111"/>
      <c r="V2" s="111"/>
      <c r="W2" s="111"/>
      <c r="X2" s="111"/>
      <c r="Y2" s="111"/>
      <c r="Z2" s="111"/>
      <c r="AA2" s="111"/>
      <c r="AB2" s="111"/>
      <c r="AC2" s="111"/>
      <c r="AD2" s="111"/>
      <c r="AE2" s="111"/>
      <c r="AF2" s="1409">
        <f>$A3</f>
        <v>30</v>
      </c>
    </row>
    <row r="3" spans="1:32" ht="15.75" x14ac:dyDescent="0.25">
      <c r="A3" s="123">
        <f>MainOutline!B43</f>
        <v>30</v>
      </c>
      <c r="B3" s="102" t="str">
        <f>MainOutline!C43</f>
        <v>Appendix B6</v>
      </c>
      <c r="C3" s="89"/>
      <c r="D3" s="89"/>
      <c r="E3" s="89"/>
      <c r="F3" s="89"/>
      <c r="G3" s="89"/>
      <c r="H3" s="89"/>
      <c r="I3" s="89"/>
      <c r="J3" s="708" t="str">
        <f>IF('A1'!$B$84=2,"EXHIBIT NOT USED","")</f>
        <v>EXHIBIT NOT USED</v>
      </c>
      <c r="K3" s="89"/>
      <c r="L3" s="89"/>
      <c r="M3" s="89"/>
      <c r="N3" s="89"/>
      <c r="O3" s="89"/>
      <c r="P3" s="89"/>
      <c r="Q3" s="89"/>
      <c r="R3" s="89"/>
      <c r="S3" s="89"/>
      <c r="T3" s="89"/>
      <c r="U3" s="89"/>
      <c r="V3" s="89"/>
      <c r="W3" s="89"/>
      <c r="X3" s="89"/>
      <c r="Y3" s="89"/>
      <c r="Z3" s="89"/>
      <c r="AA3" s="89"/>
      <c r="AB3" s="89"/>
      <c r="AC3" s="89"/>
      <c r="AD3" s="89"/>
      <c r="AE3" s="89"/>
      <c r="AF3" s="89"/>
    </row>
    <row r="4" spans="1:32" ht="16.5" thickBot="1" x14ac:dyDescent="0.3">
      <c r="B4" s="104" t="s">
        <v>334</v>
      </c>
      <c r="C4" s="97"/>
      <c r="D4" s="97"/>
      <c r="E4" s="97"/>
      <c r="F4" s="97"/>
      <c r="G4" s="97"/>
      <c r="H4" s="97"/>
      <c r="I4" s="97"/>
      <c r="J4" s="97"/>
      <c r="K4" s="97"/>
      <c r="L4" s="97"/>
      <c r="M4" s="97"/>
      <c r="N4" s="97"/>
      <c r="O4" s="97"/>
      <c r="P4" s="97"/>
      <c r="Q4" s="97"/>
      <c r="R4" s="97"/>
      <c r="S4" s="97"/>
      <c r="T4" s="97"/>
      <c r="U4" s="97"/>
      <c r="V4" s="97"/>
      <c r="W4" s="97"/>
      <c r="X4" s="97"/>
      <c r="Y4" s="97"/>
      <c r="Z4" s="97"/>
      <c r="AA4" s="97"/>
      <c r="AB4" s="97"/>
      <c r="AC4" s="97"/>
      <c r="AD4" s="97"/>
      <c r="AE4" s="97"/>
      <c r="AF4" s="138" t="str">
        <f>ApndxB1!AG4</f>
        <v>($000)</v>
      </c>
    </row>
    <row r="5" spans="1:32" ht="15.75" thickTop="1" x14ac:dyDescent="0.25">
      <c r="B5" s="123">
        <f>IF('A1'!$B$84=1,1,0)</f>
        <v>0</v>
      </c>
    </row>
    <row r="6" spans="1:32" x14ac:dyDescent="0.25">
      <c r="G6" s="307">
        <f t="shared" ref="G6:L6" si="0">IF(G7&gt;0,1,0)*$B$5</f>
        <v>0</v>
      </c>
      <c r="H6" s="307">
        <f t="shared" si="0"/>
        <v>0</v>
      </c>
      <c r="I6" s="307">
        <f t="shared" si="0"/>
        <v>0</v>
      </c>
      <c r="J6" s="307">
        <f t="shared" si="0"/>
        <v>0</v>
      </c>
      <c r="K6" s="307">
        <f t="shared" si="0"/>
        <v>0</v>
      </c>
      <c r="L6" s="307">
        <f t="shared" si="0"/>
        <v>0</v>
      </c>
      <c r="M6" s="307">
        <f t="shared" ref="M6:R6" si="1">IF(M7&gt;0,1,0)</f>
        <v>0</v>
      </c>
      <c r="N6" s="307">
        <f t="shared" si="1"/>
        <v>0</v>
      </c>
      <c r="O6" s="307">
        <f t="shared" si="1"/>
        <v>0</v>
      </c>
      <c r="P6" s="307">
        <f t="shared" si="1"/>
        <v>0</v>
      </c>
      <c r="Q6" s="307">
        <f t="shared" si="1"/>
        <v>0</v>
      </c>
      <c r="R6" s="307">
        <f t="shared" si="1"/>
        <v>0</v>
      </c>
      <c r="S6" s="173">
        <f t="shared" ref="S6:AD6" si="2">IF(S7&gt;0,1,0)</f>
        <v>0</v>
      </c>
      <c r="T6" s="173">
        <f t="shared" si="2"/>
        <v>0</v>
      </c>
      <c r="U6" s="173">
        <f t="shared" si="2"/>
        <v>0</v>
      </c>
      <c r="V6" s="173">
        <f t="shared" si="2"/>
        <v>0</v>
      </c>
      <c r="W6" s="173">
        <f t="shared" si="2"/>
        <v>0</v>
      </c>
      <c r="X6" s="173">
        <f t="shared" si="2"/>
        <v>0</v>
      </c>
      <c r="Y6" s="173">
        <f t="shared" si="2"/>
        <v>0</v>
      </c>
      <c r="Z6" s="173">
        <f t="shared" si="2"/>
        <v>0</v>
      </c>
      <c r="AA6" s="173">
        <f t="shared" si="2"/>
        <v>0</v>
      </c>
      <c r="AB6" s="173">
        <f t="shared" si="2"/>
        <v>0</v>
      </c>
      <c r="AC6" s="173">
        <f t="shared" si="2"/>
        <v>0</v>
      </c>
      <c r="AD6" s="173">
        <f t="shared" si="2"/>
        <v>0</v>
      </c>
      <c r="AE6" s="173"/>
      <c r="AF6" s="307">
        <f>IF(SUM(G6:R6)=0,0,1)</f>
        <v>0</v>
      </c>
    </row>
    <row r="7" spans="1:32" s="709" customFormat="1" x14ac:dyDescent="0.25">
      <c r="B7" s="710" t="s">
        <v>314</v>
      </c>
      <c r="G7" s="711">
        <f>'A1'!Q38</f>
        <v>0</v>
      </c>
      <c r="H7" s="711">
        <f t="shared" ref="H7:R7" si="3">G7-1</f>
        <v>-1</v>
      </c>
      <c r="I7" s="711">
        <f t="shared" si="3"/>
        <v>-2</v>
      </c>
      <c r="J7" s="711">
        <f t="shared" si="3"/>
        <v>-3</v>
      </c>
      <c r="K7" s="711">
        <f t="shared" si="3"/>
        <v>-4</v>
      </c>
      <c r="L7" s="711">
        <f t="shared" si="3"/>
        <v>-5</v>
      </c>
      <c r="M7" s="711">
        <f t="shared" si="3"/>
        <v>-6</v>
      </c>
      <c r="N7" s="711">
        <f t="shared" si="3"/>
        <v>-7</v>
      </c>
      <c r="O7" s="711">
        <f t="shared" si="3"/>
        <v>-8</v>
      </c>
      <c r="P7" s="711">
        <f t="shared" si="3"/>
        <v>-9</v>
      </c>
      <c r="Q7" s="711">
        <f t="shared" si="3"/>
        <v>-10</v>
      </c>
      <c r="R7" s="711">
        <f t="shared" si="3"/>
        <v>-11</v>
      </c>
      <c r="S7" s="711">
        <f t="shared" ref="S7:AD7" si="4">R7-1</f>
        <v>-12</v>
      </c>
      <c r="T7" s="711">
        <f t="shared" si="4"/>
        <v>-13</v>
      </c>
      <c r="U7" s="711">
        <f t="shared" si="4"/>
        <v>-14</v>
      </c>
      <c r="V7" s="711">
        <f t="shared" si="4"/>
        <v>-15</v>
      </c>
      <c r="W7" s="711">
        <f t="shared" si="4"/>
        <v>-16</v>
      </c>
      <c r="X7" s="711">
        <f t="shared" si="4"/>
        <v>-17</v>
      </c>
      <c r="Y7" s="711">
        <f t="shared" si="4"/>
        <v>-18</v>
      </c>
      <c r="Z7" s="711">
        <f t="shared" si="4"/>
        <v>-19</v>
      </c>
      <c r="AA7" s="711">
        <f t="shared" si="4"/>
        <v>-20</v>
      </c>
      <c r="AB7" s="711">
        <f t="shared" si="4"/>
        <v>-21</v>
      </c>
      <c r="AC7" s="711">
        <f t="shared" si="4"/>
        <v>-22</v>
      </c>
      <c r="AD7" s="711">
        <f t="shared" si="4"/>
        <v>-23</v>
      </c>
      <c r="AE7" s="1"/>
      <c r="AF7" s="711" t="s">
        <v>13</v>
      </c>
    </row>
    <row r="8" spans="1:32" ht="21" customHeight="1" x14ac:dyDescent="0.25"/>
    <row r="9" spans="1:32" x14ac:dyDescent="0.25">
      <c r="B9" s="106" t="s">
        <v>305</v>
      </c>
    </row>
    <row r="10" spans="1:32" x14ac:dyDescent="0.25">
      <c r="C10" s="82" t="s">
        <v>160</v>
      </c>
      <c r="G10" s="13">
        <f>G6*G49</f>
        <v>0</v>
      </c>
      <c r="H10" s="13">
        <f t="shared" ref="H10:R10" si="5">H6*H49</f>
        <v>0</v>
      </c>
      <c r="I10" s="13">
        <f t="shared" si="5"/>
        <v>0</v>
      </c>
      <c r="J10" s="13">
        <f t="shared" si="5"/>
        <v>0</v>
      </c>
      <c r="K10" s="13">
        <f t="shared" si="5"/>
        <v>0</v>
      </c>
      <c r="L10" s="13">
        <f t="shared" si="5"/>
        <v>0</v>
      </c>
      <c r="M10" s="13">
        <f t="shared" si="5"/>
        <v>0</v>
      </c>
      <c r="N10" s="13">
        <f t="shared" si="5"/>
        <v>0</v>
      </c>
      <c r="O10" s="13">
        <f t="shared" si="5"/>
        <v>0</v>
      </c>
      <c r="P10" s="13">
        <f t="shared" si="5"/>
        <v>0</v>
      </c>
      <c r="Q10" s="13">
        <f t="shared" si="5"/>
        <v>0</v>
      </c>
      <c r="R10" s="13">
        <f t="shared" si="5"/>
        <v>0</v>
      </c>
      <c r="S10" s="13">
        <f t="shared" ref="S10:AD10" si="6">S6*S49</f>
        <v>0</v>
      </c>
      <c r="T10" s="13">
        <f t="shared" si="6"/>
        <v>0</v>
      </c>
      <c r="U10" s="13">
        <f t="shared" si="6"/>
        <v>0</v>
      </c>
      <c r="V10" s="13">
        <f t="shared" si="6"/>
        <v>0</v>
      </c>
      <c r="W10" s="13">
        <f t="shared" si="6"/>
        <v>0</v>
      </c>
      <c r="X10" s="13">
        <f t="shared" si="6"/>
        <v>0</v>
      </c>
      <c r="Y10" s="13">
        <f t="shared" si="6"/>
        <v>0</v>
      </c>
      <c r="Z10" s="13">
        <f t="shared" si="6"/>
        <v>0</v>
      </c>
      <c r="AA10" s="13">
        <f t="shared" si="6"/>
        <v>0</v>
      </c>
      <c r="AB10" s="13">
        <f t="shared" si="6"/>
        <v>0</v>
      </c>
      <c r="AC10" s="13">
        <f t="shared" si="6"/>
        <v>0</v>
      </c>
      <c r="AD10" s="13">
        <f t="shared" si="6"/>
        <v>0</v>
      </c>
      <c r="AE10" s="13"/>
      <c r="AF10" s="13">
        <f>SUM(G10:R10)</f>
        <v>0</v>
      </c>
    </row>
    <row r="11" spans="1:32" x14ac:dyDescent="0.25">
      <c r="C11" s="82" t="s">
        <v>156</v>
      </c>
      <c r="G11" s="13">
        <f>'C9'!$G9*ApndxB5!G6*G6</f>
        <v>0</v>
      </c>
      <c r="H11" s="13">
        <f>G11*H$6</f>
        <v>0</v>
      </c>
      <c r="I11" s="13">
        <f t="shared" ref="I11:R12" si="7">H11*I$6</f>
        <v>0</v>
      </c>
      <c r="J11" s="13">
        <f t="shared" si="7"/>
        <v>0</v>
      </c>
      <c r="K11" s="13">
        <f t="shared" si="7"/>
        <v>0</v>
      </c>
      <c r="L11" s="13">
        <f t="shared" si="7"/>
        <v>0</v>
      </c>
      <c r="M11" s="13">
        <f t="shared" si="7"/>
        <v>0</v>
      </c>
      <c r="N11" s="13">
        <f t="shared" si="7"/>
        <v>0</v>
      </c>
      <c r="O11" s="13">
        <f t="shared" si="7"/>
        <v>0</v>
      </c>
      <c r="P11" s="13">
        <f t="shared" si="7"/>
        <v>0</v>
      </c>
      <c r="Q11" s="13">
        <f t="shared" si="7"/>
        <v>0</v>
      </c>
      <c r="R11" s="13">
        <f t="shared" si="7"/>
        <v>0</v>
      </c>
      <c r="S11" s="13">
        <f t="shared" ref="S11:AD11" si="8">R11*S$6</f>
        <v>0</v>
      </c>
      <c r="T11" s="13">
        <f t="shared" si="8"/>
        <v>0</v>
      </c>
      <c r="U11" s="13">
        <f t="shared" si="8"/>
        <v>0</v>
      </c>
      <c r="V11" s="13">
        <f t="shared" si="8"/>
        <v>0</v>
      </c>
      <c r="W11" s="13">
        <f t="shared" si="8"/>
        <v>0</v>
      </c>
      <c r="X11" s="13">
        <f t="shared" si="8"/>
        <v>0</v>
      </c>
      <c r="Y11" s="13">
        <f t="shared" si="8"/>
        <v>0</v>
      </c>
      <c r="Z11" s="13">
        <f t="shared" si="8"/>
        <v>0</v>
      </c>
      <c r="AA11" s="13">
        <f t="shared" si="8"/>
        <v>0</v>
      </c>
      <c r="AB11" s="13">
        <f t="shared" si="8"/>
        <v>0</v>
      </c>
      <c r="AC11" s="13">
        <f t="shared" si="8"/>
        <v>0</v>
      </c>
      <c r="AD11" s="13">
        <f t="shared" si="8"/>
        <v>0</v>
      </c>
      <c r="AE11" s="13"/>
      <c r="AF11" s="13">
        <f>SUM(G11:R11)</f>
        <v>0</v>
      </c>
    </row>
    <row r="12" spans="1:32" x14ac:dyDescent="0.25">
      <c r="C12" s="82" t="s">
        <v>157</v>
      </c>
      <c r="G12" s="13">
        <f>G6*'A1'!Q41*'A1'!AS17/1000</f>
        <v>0</v>
      </c>
      <c r="H12" s="13">
        <f>G12*H$6</f>
        <v>0</v>
      </c>
      <c r="I12" s="13">
        <f t="shared" si="7"/>
        <v>0</v>
      </c>
      <c r="J12" s="13">
        <f t="shared" si="7"/>
        <v>0</v>
      </c>
      <c r="K12" s="13">
        <f t="shared" si="7"/>
        <v>0</v>
      </c>
      <c r="L12" s="13">
        <f t="shared" si="7"/>
        <v>0</v>
      </c>
      <c r="M12" s="13">
        <f t="shared" si="7"/>
        <v>0</v>
      </c>
      <c r="N12" s="13">
        <f t="shared" si="7"/>
        <v>0</v>
      </c>
      <c r="O12" s="13">
        <f t="shared" si="7"/>
        <v>0</v>
      </c>
      <c r="P12" s="13">
        <f t="shared" si="7"/>
        <v>0</v>
      </c>
      <c r="Q12" s="13">
        <f t="shared" si="7"/>
        <v>0</v>
      </c>
      <c r="R12" s="13">
        <f t="shared" si="7"/>
        <v>0</v>
      </c>
      <c r="S12" s="13">
        <f t="shared" ref="S12:AD12" si="9">R12*S$6</f>
        <v>0</v>
      </c>
      <c r="T12" s="13">
        <f t="shared" si="9"/>
        <v>0</v>
      </c>
      <c r="U12" s="13">
        <f t="shared" si="9"/>
        <v>0</v>
      </c>
      <c r="V12" s="13">
        <f t="shared" si="9"/>
        <v>0</v>
      </c>
      <c r="W12" s="13">
        <f t="shared" si="9"/>
        <v>0</v>
      </c>
      <c r="X12" s="13">
        <f t="shared" si="9"/>
        <v>0</v>
      </c>
      <c r="Y12" s="13">
        <f t="shared" si="9"/>
        <v>0</v>
      </c>
      <c r="Z12" s="13">
        <f t="shared" si="9"/>
        <v>0</v>
      </c>
      <c r="AA12" s="13">
        <f t="shared" si="9"/>
        <v>0</v>
      </c>
      <c r="AB12" s="13">
        <f t="shared" si="9"/>
        <v>0</v>
      </c>
      <c r="AC12" s="13">
        <f t="shared" si="9"/>
        <v>0</v>
      </c>
      <c r="AD12" s="13">
        <f t="shared" si="9"/>
        <v>0</v>
      </c>
      <c r="AE12" s="13"/>
      <c r="AF12" s="13">
        <f>SUM(G12:R12)</f>
        <v>0</v>
      </c>
    </row>
    <row r="13" spans="1:32" x14ac:dyDescent="0.25">
      <c r="C13" s="82" t="str">
        <f>'A1'!M40</f>
        <v>Initial Supplies &amp; Stock Costs</v>
      </c>
      <c r="G13" s="13">
        <f>'A1'!Q40/1000*G6</f>
        <v>0</v>
      </c>
      <c r="H13" s="13"/>
      <c r="I13" s="13"/>
      <c r="J13" s="13"/>
      <c r="K13" s="13"/>
      <c r="L13" s="13"/>
      <c r="M13" s="13"/>
      <c r="N13" s="13"/>
      <c r="O13" s="13"/>
      <c r="P13" s="13"/>
      <c r="Q13" s="13"/>
      <c r="R13" s="13"/>
      <c r="S13" s="13"/>
      <c r="T13" s="13"/>
      <c r="U13" s="13"/>
      <c r="V13" s="13"/>
      <c r="W13" s="13"/>
      <c r="X13" s="13"/>
      <c r="Y13" s="13"/>
      <c r="Z13" s="13"/>
      <c r="AA13" s="13"/>
      <c r="AB13" s="13"/>
      <c r="AC13" s="13"/>
      <c r="AD13" s="13"/>
      <c r="AE13" s="13"/>
      <c r="AF13" s="13">
        <f>SUM(G13:R13)</f>
        <v>0</v>
      </c>
    </row>
    <row r="14" spans="1:32" ht="15.75" thickBot="1" x14ac:dyDescent="0.3">
      <c r="B14" s="687"/>
      <c r="C14" s="687"/>
      <c r="D14" s="687" t="s">
        <v>307</v>
      </c>
      <c r="E14" s="687"/>
      <c r="F14" s="687"/>
      <c r="G14" s="688">
        <f>SUM(G10:G13)</f>
        <v>0</v>
      </c>
      <c r="H14" s="688">
        <f t="shared" ref="H14:AF14" si="10">SUM(H10:H13)</f>
        <v>0</v>
      </c>
      <c r="I14" s="688">
        <f t="shared" si="10"/>
        <v>0</v>
      </c>
      <c r="J14" s="688">
        <f t="shared" si="10"/>
        <v>0</v>
      </c>
      <c r="K14" s="688">
        <f t="shared" si="10"/>
        <v>0</v>
      </c>
      <c r="L14" s="688">
        <f t="shared" si="10"/>
        <v>0</v>
      </c>
      <c r="M14" s="688">
        <f t="shared" si="10"/>
        <v>0</v>
      </c>
      <c r="N14" s="688">
        <f t="shared" si="10"/>
        <v>0</v>
      </c>
      <c r="O14" s="688">
        <f t="shared" si="10"/>
        <v>0</v>
      </c>
      <c r="P14" s="688">
        <f t="shared" si="10"/>
        <v>0</v>
      </c>
      <c r="Q14" s="688">
        <f t="shared" si="10"/>
        <v>0</v>
      </c>
      <c r="R14" s="688">
        <f t="shared" si="10"/>
        <v>0</v>
      </c>
      <c r="S14" s="688">
        <f t="shared" ref="S14:AD14" si="11">SUM(S10:S13)</f>
        <v>0</v>
      </c>
      <c r="T14" s="688">
        <f t="shared" si="11"/>
        <v>0</v>
      </c>
      <c r="U14" s="688">
        <f t="shared" si="11"/>
        <v>0</v>
      </c>
      <c r="V14" s="688">
        <f t="shared" si="11"/>
        <v>0</v>
      </c>
      <c r="W14" s="688">
        <f t="shared" si="11"/>
        <v>0</v>
      </c>
      <c r="X14" s="688">
        <f t="shared" si="11"/>
        <v>0</v>
      </c>
      <c r="Y14" s="688">
        <f t="shared" si="11"/>
        <v>0</v>
      </c>
      <c r="Z14" s="688">
        <f t="shared" si="11"/>
        <v>0</v>
      </c>
      <c r="AA14" s="688">
        <f t="shared" si="11"/>
        <v>0</v>
      </c>
      <c r="AB14" s="688">
        <f t="shared" si="11"/>
        <v>0</v>
      </c>
      <c r="AC14" s="688">
        <f t="shared" si="11"/>
        <v>0</v>
      </c>
      <c r="AD14" s="688">
        <f t="shared" si="11"/>
        <v>0</v>
      </c>
      <c r="AE14" s="688">
        <f t="shared" si="10"/>
        <v>0</v>
      </c>
      <c r="AF14" s="688">
        <f t="shared" si="10"/>
        <v>0</v>
      </c>
    </row>
    <row r="15" spans="1:32" ht="15.75" thickTop="1" x14ac:dyDescent="0.25">
      <c r="G15" s="381"/>
      <c r="H15" s="381"/>
      <c r="I15" s="381"/>
      <c r="J15" s="381"/>
      <c r="K15" s="381"/>
      <c r="L15" s="381"/>
      <c r="M15" s="381"/>
      <c r="N15" s="381"/>
      <c r="O15" s="381"/>
      <c r="P15" s="381"/>
      <c r="Q15" s="381"/>
      <c r="R15" s="381"/>
      <c r="S15" s="381"/>
      <c r="T15" s="381"/>
      <c r="U15" s="381"/>
      <c r="V15" s="381"/>
      <c r="W15" s="381"/>
      <c r="X15" s="381"/>
      <c r="Y15" s="381"/>
      <c r="Z15" s="381"/>
      <c r="AA15" s="381"/>
      <c r="AB15" s="381"/>
      <c r="AC15" s="381"/>
      <c r="AD15" s="381"/>
      <c r="AE15" s="381"/>
      <c r="AF15" s="381"/>
    </row>
    <row r="17" spans="2:34" x14ac:dyDescent="0.25">
      <c r="B17" s="106" t="s">
        <v>309</v>
      </c>
    </row>
    <row r="18" spans="2:34" x14ac:dyDescent="0.25">
      <c r="C18" s="1" t="s">
        <v>197</v>
      </c>
    </row>
    <row r="19" spans="2:34" x14ac:dyDescent="0.25">
      <c r="D19" s="1" t="s">
        <v>42</v>
      </c>
      <c r="G19" s="13">
        <f t="shared" ref="G19:R19" si="12">G38*G6</f>
        <v>0</v>
      </c>
      <c r="H19" s="13">
        <f t="shared" si="12"/>
        <v>0</v>
      </c>
      <c r="I19" s="13">
        <f t="shared" si="12"/>
        <v>0</v>
      </c>
      <c r="J19" s="13">
        <f t="shared" si="12"/>
        <v>0</v>
      </c>
      <c r="K19" s="13">
        <f t="shared" si="12"/>
        <v>0</v>
      </c>
      <c r="L19" s="13">
        <f t="shared" si="12"/>
        <v>0</v>
      </c>
      <c r="M19" s="13">
        <f t="shared" si="12"/>
        <v>0</v>
      </c>
      <c r="N19" s="13">
        <f t="shared" si="12"/>
        <v>0</v>
      </c>
      <c r="O19" s="13">
        <f t="shared" si="12"/>
        <v>0</v>
      </c>
      <c r="P19" s="13">
        <f t="shared" si="12"/>
        <v>0</v>
      </c>
      <c r="Q19" s="13">
        <f t="shared" si="12"/>
        <v>0</v>
      </c>
      <c r="R19" s="13">
        <f t="shared" si="12"/>
        <v>0</v>
      </c>
      <c r="S19" s="13">
        <f t="shared" ref="S19:AD19" si="13">S38*S6</f>
        <v>0</v>
      </c>
      <c r="T19" s="13">
        <f t="shared" si="13"/>
        <v>0</v>
      </c>
      <c r="U19" s="13">
        <f t="shared" si="13"/>
        <v>0</v>
      </c>
      <c r="V19" s="13">
        <f t="shared" si="13"/>
        <v>0</v>
      </c>
      <c r="W19" s="13">
        <f t="shared" si="13"/>
        <v>0</v>
      </c>
      <c r="X19" s="13">
        <f t="shared" si="13"/>
        <v>0</v>
      </c>
      <c r="Y19" s="13">
        <f t="shared" si="13"/>
        <v>0</v>
      </c>
      <c r="Z19" s="13">
        <f t="shared" si="13"/>
        <v>0</v>
      </c>
      <c r="AA19" s="13">
        <f t="shared" si="13"/>
        <v>0</v>
      </c>
      <c r="AB19" s="13">
        <f t="shared" si="13"/>
        <v>0</v>
      </c>
      <c r="AC19" s="13">
        <f t="shared" si="13"/>
        <v>0</v>
      </c>
      <c r="AD19" s="13">
        <f t="shared" si="13"/>
        <v>0</v>
      </c>
      <c r="AE19" s="13"/>
      <c r="AF19" s="13">
        <f>SUMPRODUCT(G19:AD19,$G$46:$AD$46)</f>
        <v>0</v>
      </c>
      <c r="AH19" s="13">
        <f>ApndxA2!$I9</f>
        <v>0</v>
      </c>
    </row>
    <row r="20" spans="2:34" ht="17.25" x14ac:dyDescent="0.4">
      <c r="D20" s="1" t="s">
        <v>171</v>
      </c>
      <c r="G20" s="558">
        <f>'C10'!D50*G6</f>
        <v>0</v>
      </c>
      <c r="H20" s="558">
        <f>'C10'!E50*H6</f>
        <v>0</v>
      </c>
      <c r="I20" s="558">
        <f>'C10'!F50*I6</f>
        <v>0</v>
      </c>
      <c r="J20" s="558">
        <f>'C10'!G50*J6</f>
        <v>0</v>
      </c>
      <c r="K20" s="558">
        <f>'C10'!H50*K6</f>
        <v>0</v>
      </c>
      <c r="L20" s="558">
        <f>'C10'!I50*L6</f>
        <v>0</v>
      </c>
      <c r="M20" s="558">
        <f>'C10'!J50*M6</f>
        <v>0</v>
      </c>
      <c r="N20" s="558">
        <f>'C10'!K50*N6</f>
        <v>0</v>
      </c>
      <c r="O20" s="558">
        <f>'C10'!L50*O6</f>
        <v>0</v>
      </c>
      <c r="P20" s="558">
        <f>'C10'!M50*P6</f>
        <v>0</v>
      </c>
      <c r="Q20" s="558">
        <f>'C10'!N50*Q6</f>
        <v>0</v>
      </c>
      <c r="R20" s="558">
        <f>'C10'!O50*R6</f>
        <v>0</v>
      </c>
      <c r="S20" s="558">
        <f t="shared" ref="S20:AD20" si="14">R20*S6</f>
        <v>0</v>
      </c>
      <c r="T20" s="558">
        <f t="shared" si="14"/>
        <v>0</v>
      </c>
      <c r="U20" s="558">
        <f t="shared" si="14"/>
        <v>0</v>
      </c>
      <c r="V20" s="558">
        <f t="shared" si="14"/>
        <v>0</v>
      </c>
      <c r="W20" s="558">
        <f t="shared" si="14"/>
        <v>0</v>
      </c>
      <c r="X20" s="558">
        <f t="shared" si="14"/>
        <v>0</v>
      </c>
      <c r="Y20" s="558">
        <f t="shared" si="14"/>
        <v>0</v>
      </c>
      <c r="Z20" s="558">
        <f t="shared" si="14"/>
        <v>0</v>
      </c>
      <c r="AA20" s="558">
        <f t="shared" si="14"/>
        <v>0</v>
      </c>
      <c r="AB20" s="558">
        <f t="shared" si="14"/>
        <v>0</v>
      </c>
      <c r="AC20" s="558">
        <f t="shared" si="14"/>
        <v>0</v>
      </c>
      <c r="AD20" s="558">
        <f t="shared" si="14"/>
        <v>0</v>
      </c>
      <c r="AE20" s="13"/>
      <c r="AF20" s="558">
        <f>SUMPRODUCT(G20:AD20,$G$46:$AD$46)</f>
        <v>0</v>
      </c>
      <c r="AH20" s="558">
        <f>ApndxA2!$I12</f>
        <v>0</v>
      </c>
    </row>
    <row r="21" spans="2:34" x14ac:dyDescent="0.25">
      <c r="E21" s="1" t="s">
        <v>13</v>
      </c>
      <c r="G21" s="13">
        <f t="shared" ref="G21:R21" si="15">SUM(G19:G20)</f>
        <v>0</v>
      </c>
      <c r="H21" s="13">
        <f t="shared" si="15"/>
        <v>0</v>
      </c>
      <c r="I21" s="13">
        <f t="shared" si="15"/>
        <v>0</v>
      </c>
      <c r="J21" s="13">
        <f t="shared" si="15"/>
        <v>0</v>
      </c>
      <c r="K21" s="13">
        <f t="shared" si="15"/>
        <v>0</v>
      </c>
      <c r="L21" s="13">
        <f t="shared" si="15"/>
        <v>0</v>
      </c>
      <c r="M21" s="13">
        <f t="shared" si="15"/>
        <v>0</v>
      </c>
      <c r="N21" s="13">
        <f t="shared" si="15"/>
        <v>0</v>
      </c>
      <c r="O21" s="13">
        <f t="shared" si="15"/>
        <v>0</v>
      </c>
      <c r="P21" s="13">
        <f t="shared" si="15"/>
        <v>0</v>
      </c>
      <c r="Q21" s="13">
        <f t="shared" si="15"/>
        <v>0</v>
      </c>
      <c r="R21" s="13">
        <f t="shared" si="15"/>
        <v>0</v>
      </c>
      <c r="S21" s="13">
        <f t="shared" ref="S21:AD21" si="16">SUM(S19:S20)</f>
        <v>0</v>
      </c>
      <c r="T21" s="13">
        <f t="shared" si="16"/>
        <v>0</v>
      </c>
      <c r="U21" s="13">
        <f t="shared" si="16"/>
        <v>0</v>
      </c>
      <c r="V21" s="13">
        <f t="shared" si="16"/>
        <v>0</v>
      </c>
      <c r="W21" s="13">
        <f t="shared" si="16"/>
        <v>0</v>
      </c>
      <c r="X21" s="13">
        <f t="shared" si="16"/>
        <v>0</v>
      </c>
      <c r="Y21" s="13">
        <f t="shared" si="16"/>
        <v>0</v>
      </c>
      <c r="Z21" s="13">
        <f t="shared" si="16"/>
        <v>0</v>
      </c>
      <c r="AA21" s="13">
        <f t="shared" si="16"/>
        <v>0</v>
      </c>
      <c r="AB21" s="13">
        <f t="shared" si="16"/>
        <v>0</v>
      </c>
      <c r="AC21" s="13">
        <f t="shared" si="16"/>
        <v>0</v>
      </c>
      <c r="AD21" s="13">
        <f t="shared" si="16"/>
        <v>0</v>
      </c>
      <c r="AE21" s="13"/>
      <c r="AF21" s="13">
        <f>SUM(AF19:AF20)</f>
        <v>0</v>
      </c>
      <c r="AH21" s="13">
        <f>ApndxA2!$I14</f>
        <v>0</v>
      </c>
    </row>
    <row r="22" spans="2:34" x14ac:dyDescent="0.25">
      <c r="G22" s="13"/>
      <c r="H22" s="13"/>
      <c r="I22" s="13"/>
      <c r="J22" s="13"/>
      <c r="K22" s="13"/>
      <c r="L22" s="13"/>
      <c r="M22" s="13"/>
      <c r="N22" s="13"/>
      <c r="O22" s="13"/>
      <c r="P22" s="13"/>
      <c r="Q22" s="13"/>
      <c r="R22" s="13"/>
      <c r="S22" s="13"/>
      <c r="T22" s="13"/>
      <c r="U22" s="13"/>
      <c r="V22" s="13"/>
      <c r="W22" s="13"/>
      <c r="X22" s="13"/>
      <c r="Y22" s="13"/>
      <c r="Z22" s="13"/>
      <c r="AA22" s="13"/>
      <c r="AB22" s="13"/>
      <c r="AC22" s="13"/>
      <c r="AD22" s="13"/>
      <c r="AE22" s="13"/>
      <c r="AF22" s="13"/>
      <c r="AH22" s="13"/>
    </row>
    <row r="23" spans="2:34" x14ac:dyDescent="0.25">
      <c r="C23" s="1" t="s">
        <v>573</v>
      </c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  <c r="AA23" s="13"/>
      <c r="AB23" s="13"/>
      <c r="AC23" s="13"/>
      <c r="AD23" s="13"/>
      <c r="AE23" s="13"/>
      <c r="AF23" s="13"/>
      <c r="AH23" s="13"/>
    </row>
    <row r="24" spans="2:34" x14ac:dyDescent="0.25">
      <c r="D24" s="1" t="s">
        <v>174</v>
      </c>
      <c r="G24" s="13">
        <f>'A1'!$Q$25*G42/30*G6</f>
        <v>0</v>
      </c>
      <c r="H24" s="13">
        <f>'A1'!$Q$25*H42/30*H6</f>
        <v>0</v>
      </c>
      <c r="I24" s="13">
        <f>'A1'!$Q$25*I42/30*I6</f>
        <v>0</v>
      </c>
      <c r="J24" s="13">
        <f>'A1'!$Q$25*J42/30*J6</f>
        <v>0</v>
      </c>
      <c r="K24" s="13">
        <f>'A1'!$Q$25*K42/30*K6</f>
        <v>0</v>
      </c>
      <c r="L24" s="13">
        <f>'A1'!$Q$25*L42/30*L6</f>
        <v>0</v>
      </c>
      <c r="M24" s="13">
        <f>'A1'!$Q$25*M42/30*M6</f>
        <v>0</v>
      </c>
      <c r="N24" s="13">
        <f>'A1'!$Q$25*N42/30*N6</f>
        <v>0</v>
      </c>
      <c r="O24" s="13">
        <f>'A1'!$Q$25*O42/30*O6</f>
        <v>0</v>
      </c>
      <c r="P24" s="13">
        <f>'A1'!$Q$25*P42/30*P6</f>
        <v>0</v>
      </c>
      <c r="Q24" s="13">
        <f>'A1'!$Q$25*Q42/30*Q6</f>
        <v>0</v>
      </c>
      <c r="R24" s="13">
        <f>'A1'!$Q$25*R42/30*R6</f>
        <v>0</v>
      </c>
      <c r="S24" s="13">
        <f>'A1'!$Q$25*S42/30*S6</f>
        <v>0</v>
      </c>
      <c r="T24" s="13">
        <f>'A1'!$Q$25*T42/30*T6</f>
        <v>0</v>
      </c>
      <c r="U24" s="13">
        <f>'A1'!$Q$25*U42/30*U6</f>
        <v>0</v>
      </c>
      <c r="V24" s="13">
        <f>'A1'!$Q$25*V42/30*V6</f>
        <v>0</v>
      </c>
      <c r="W24" s="13">
        <f>'A1'!$Q$25*W42/30*W6</f>
        <v>0</v>
      </c>
      <c r="X24" s="13">
        <f>'A1'!$Q$25*X42/30*X6</f>
        <v>0</v>
      </c>
      <c r="Y24" s="13">
        <f>'A1'!$Q$25*Y42/30*Y6</f>
        <v>0</v>
      </c>
      <c r="Z24" s="13">
        <f>'A1'!$Q$25*Z42/30*Z6</f>
        <v>0</v>
      </c>
      <c r="AA24" s="13">
        <f>'A1'!$Q$25*AA42/30*AA6</f>
        <v>0</v>
      </c>
      <c r="AB24" s="13">
        <f>'A1'!$Q$25*AB42/30*AB6</f>
        <v>0</v>
      </c>
      <c r="AC24" s="13">
        <f>'A1'!$Q$25*AC42/30*AC6</f>
        <v>0</v>
      </c>
      <c r="AD24" s="13">
        <f>'A1'!$Q$25*AD42/30*AD6</f>
        <v>0</v>
      </c>
      <c r="AE24" s="13"/>
      <c r="AF24" s="13">
        <f>SUMPRODUCT(G24:AD24,$G$46:$AD$46)</f>
        <v>0</v>
      </c>
      <c r="AH24" s="13">
        <f>ApndxA2!$I17</f>
        <v>0</v>
      </c>
    </row>
    <row r="25" spans="2:34" x14ac:dyDescent="0.25">
      <c r="D25" s="1" t="s">
        <v>221</v>
      </c>
      <c r="G25" s="13">
        <f>G51*G6</f>
        <v>0</v>
      </c>
      <c r="H25" s="13">
        <f t="shared" ref="H25:AD25" si="17">H51</f>
        <v>0</v>
      </c>
      <c r="I25" s="13">
        <f t="shared" si="17"/>
        <v>0</v>
      </c>
      <c r="J25" s="13">
        <f t="shared" si="17"/>
        <v>0</v>
      </c>
      <c r="K25" s="13">
        <f t="shared" si="17"/>
        <v>0</v>
      </c>
      <c r="L25" s="13">
        <f t="shared" si="17"/>
        <v>0</v>
      </c>
      <c r="M25" s="13">
        <f t="shared" si="17"/>
        <v>0</v>
      </c>
      <c r="N25" s="13">
        <f t="shared" si="17"/>
        <v>0</v>
      </c>
      <c r="O25" s="13">
        <f t="shared" si="17"/>
        <v>0</v>
      </c>
      <c r="P25" s="13">
        <f t="shared" si="17"/>
        <v>0</v>
      </c>
      <c r="Q25" s="13">
        <f t="shared" si="17"/>
        <v>0</v>
      </c>
      <c r="R25" s="13">
        <f t="shared" si="17"/>
        <v>0</v>
      </c>
      <c r="S25" s="13">
        <f t="shared" si="17"/>
        <v>0</v>
      </c>
      <c r="T25" s="13">
        <f t="shared" si="17"/>
        <v>0</v>
      </c>
      <c r="U25" s="13">
        <f t="shared" si="17"/>
        <v>0</v>
      </c>
      <c r="V25" s="13">
        <f t="shared" si="17"/>
        <v>0</v>
      </c>
      <c r="W25" s="13">
        <f t="shared" si="17"/>
        <v>0</v>
      </c>
      <c r="X25" s="13">
        <f t="shared" si="17"/>
        <v>0</v>
      </c>
      <c r="Y25" s="13">
        <f t="shared" si="17"/>
        <v>0</v>
      </c>
      <c r="Z25" s="13">
        <f t="shared" si="17"/>
        <v>0</v>
      </c>
      <c r="AA25" s="13">
        <f t="shared" si="17"/>
        <v>0</v>
      </c>
      <c r="AB25" s="13">
        <f t="shared" si="17"/>
        <v>0</v>
      </c>
      <c r="AC25" s="13">
        <f t="shared" si="17"/>
        <v>0</v>
      </c>
      <c r="AD25" s="13">
        <f t="shared" si="17"/>
        <v>0</v>
      </c>
      <c r="AE25" s="13"/>
      <c r="AF25" s="13">
        <f>SUMPRODUCT(G25:AD25,$G$46:$AD$46)</f>
        <v>0</v>
      </c>
      <c r="AH25" s="13">
        <f>ApndxA2!$I18</f>
        <v>0</v>
      </c>
    </row>
    <row r="26" spans="2:34" ht="17.25" x14ac:dyDescent="0.4">
      <c r="D26" s="1" t="s">
        <v>176</v>
      </c>
      <c r="G26" s="13">
        <f>(-G14+ApndxB5!T26)*B5*G6</f>
        <v>0</v>
      </c>
      <c r="H26" s="13">
        <f t="shared" ref="H26:R26" si="18">(G26-H14)*H6</f>
        <v>0</v>
      </c>
      <c r="I26" s="13">
        <f t="shared" si="18"/>
        <v>0</v>
      </c>
      <c r="J26" s="13">
        <f t="shared" si="18"/>
        <v>0</v>
      </c>
      <c r="K26" s="13">
        <f t="shared" si="18"/>
        <v>0</v>
      </c>
      <c r="L26" s="13">
        <f t="shared" si="18"/>
        <v>0</v>
      </c>
      <c r="M26" s="13">
        <f t="shared" si="18"/>
        <v>0</v>
      </c>
      <c r="N26" s="13">
        <f t="shared" si="18"/>
        <v>0</v>
      </c>
      <c r="O26" s="13">
        <f t="shared" si="18"/>
        <v>0</v>
      </c>
      <c r="P26" s="13">
        <f t="shared" si="18"/>
        <v>0</v>
      </c>
      <c r="Q26" s="13">
        <f t="shared" si="18"/>
        <v>0</v>
      </c>
      <c r="R26" s="13">
        <f t="shared" si="18"/>
        <v>0</v>
      </c>
      <c r="S26" s="13">
        <f t="shared" ref="S26:AD26" si="19">(R26-S14)*S6</f>
        <v>0</v>
      </c>
      <c r="T26" s="13">
        <f t="shared" si="19"/>
        <v>0</v>
      </c>
      <c r="U26" s="13">
        <f t="shared" si="19"/>
        <v>0</v>
      </c>
      <c r="V26" s="13">
        <f t="shared" si="19"/>
        <v>0</v>
      </c>
      <c r="W26" s="13">
        <f t="shared" si="19"/>
        <v>0</v>
      </c>
      <c r="X26" s="13">
        <f t="shared" si="19"/>
        <v>0</v>
      </c>
      <c r="Y26" s="13">
        <f t="shared" si="19"/>
        <v>0</v>
      </c>
      <c r="Z26" s="13">
        <f t="shared" si="19"/>
        <v>0</v>
      </c>
      <c r="AA26" s="13">
        <f t="shared" si="19"/>
        <v>0</v>
      </c>
      <c r="AB26" s="13">
        <f t="shared" si="19"/>
        <v>0</v>
      </c>
      <c r="AC26" s="13">
        <f t="shared" si="19"/>
        <v>0</v>
      </c>
      <c r="AD26" s="13">
        <f t="shared" si="19"/>
        <v>0</v>
      </c>
      <c r="AE26" s="13"/>
      <c r="AF26" s="13">
        <f>SUMPRODUCT(G26:AD26,$G$46:$AD$46)</f>
        <v>0</v>
      </c>
      <c r="AH26" s="558">
        <f>ApndxA2!$I25</f>
        <v>0</v>
      </c>
    </row>
    <row r="27" spans="2:34" ht="15.75" thickBot="1" x14ac:dyDescent="0.3">
      <c r="B27" s="687"/>
      <c r="C27" s="687"/>
      <c r="D27" s="687"/>
      <c r="E27" s="687" t="s">
        <v>13</v>
      </c>
      <c r="F27" s="687"/>
      <c r="G27" s="688">
        <f>SUM(G24:G26)</f>
        <v>0</v>
      </c>
      <c r="H27" s="688">
        <f t="shared" ref="H27:R27" si="20">SUM(H24:H26)</f>
        <v>0</v>
      </c>
      <c r="I27" s="688">
        <f t="shared" si="20"/>
        <v>0</v>
      </c>
      <c r="J27" s="688">
        <f t="shared" si="20"/>
        <v>0</v>
      </c>
      <c r="K27" s="688">
        <f t="shared" si="20"/>
        <v>0</v>
      </c>
      <c r="L27" s="688">
        <f t="shared" si="20"/>
        <v>0</v>
      </c>
      <c r="M27" s="688">
        <f t="shared" si="20"/>
        <v>0</v>
      </c>
      <c r="N27" s="688">
        <f t="shared" si="20"/>
        <v>0</v>
      </c>
      <c r="O27" s="688">
        <f t="shared" si="20"/>
        <v>0</v>
      </c>
      <c r="P27" s="688">
        <f t="shared" si="20"/>
        <v>0</v>
      </c>
      <c r="Q27" s="688">
        <f t="shared" si="20"/>
        <v>0</v>
      </c>
      <c r="R27" s="688">
        <f t="shared" si="20"/>
        <v>0</v>
      </c>
      <c r="S27" s="688">
        <f t="shared" ref="S27:AD27" si="21">SUM(S24:S26)</f>
        <v>0</v>
      </c>
      <c r="T27" s="688">
        <f t="shared" si="21"/>
        <v>0</v>
      </c>
      <c r="U27" s="688">
        <f t="shared" si="21"/>
        <v>0</v>
      </c>
      <c r="V27" s="688">
        <f t="shared" si="21"/>
        <v>0</v>
      </c>
      <c r="W27" s="688">
        <f t="shared" si="21"/>
        <v>0</v>
      </c>
      <c r="X27" s="688">
        <f t="shared" si="21"/>
        <v>0</v>
      </c>
      <c r="Y27" s="688">
        <f t="shared" si="21"/>
        <v>0</v>
      </c>
      <c r="Z27" s="688">
        <f t="shared" si="21"/>
        <v>0</v>
      </c>
      <c r="AA27" s="688">
        <f t="shared" si="21"/>
        <v>0</v>
      </c>
      <c r="AB27" s="688">
        <f t="shared" si="21"/>
        <v>0</v>
      </c>
      <c r="AC27" s="688">
        <f t="shared" si="21"/>
        <v>0</v>
      </c>
      <c r="AD27" s="688">
        <f t="shared" si="21"/>
        <v>0</v>
      </c>
      <c r="AE27" s="688"/>
      <c r="AF27" s="688">
        <f>SUM(AF24:AF26)</f>
        <v>0</v>
      </c>
      <c r="AH27" s="13">
        <f>ApndxA2!$I27</f>
        <v>0</v>
      </c>
    </row>
    <row r="28" spans="2:34" ht="15.75" thickTop="1" x14ac:dyDescent="0.25"/>
    <row r="29" spans="2:34" x14ac:dyDescent="0.25">
      <c r="B29" s="106" t="s">
        <v>311</v>
      </c>
    </row>
    <row r="30" spans="2:34" x14ac:dyDescent="0.25">
      <c r="C30" s="1" t="s">
        <v>304</v>
      </c>
      <c r="G30" s="13">
        <f>-G14*G6</f>
        <v>0</v>
      </c>
      <c r="H30" s="13">
        <f t="shared" ref="H30:R30" si="22">-H14</f>
        <v>0</v>
      </c>
      <c r="I30" s="13">
        <f t="shared" si="22"/>
        <v>0</v>
      </c>
      <c r="J30" s="13">
        <f t="shared" si="22"/>
        <v>0</v>
      </c>
      <c r="K30" s="13">
        <f t="shared" si="22"/>
        <v>0</v>
      </c>
      <c r="L30" s="13">
        <f t="shared" si="22"/>
        <v>0</v>
      </c>
      <c r="M30" s="13">
        <f t="shared" si="22"/>
        <v>0</v>
      </c>
      <c r="N30" s="13">
        <f t="shared" si="22"/>
        <v>0</v>
      </c>
      <c r="O30" s="13">
        <f t="shared" si="22"/>
        <v>0</v>
      </c>
      <c r="P30" s="13">
        <f t="shared" si="22"/>
        <v>0</v>
      </c>
      <c r="Q30" s="13">
        <f t="shared" si="22"/>
        <v>0</v>
      </c>
      <c r="R30" s="13">
        <f t="shared" si="22"/>
        <v>0</v>
      </c>
      <c r="S30" s="13">
        <f t="shared" ref="S30:AD30" si="23">-S14</f>
        <v>0</v>
      </c>
      <c r="T30" s="13">
        <f t="shared" si="23"/>
        <v>0</v>
      </c>
      <c r="U30" s="13">
        <f t="shared" si="23"/>
        <v>0</v>
      </c>
      <c r="V30" s="13">
        <f t="shared" si="23"/>
        <v>0</v>
      </c>
      <c r="W30" s="13">
        <f t="shared" si="23"/>
        <v>0</v>
      </c>
      <c r="X30" s="13">
        <f t="shared" si="23"/>
        <v>0</v>
      </c>
      <c r="Y30" s="13">
        <f t="shared" si="23"/>
        <v>0</v>
      </c>
      <c r="Z30" s="13">
        <f t="shared" si="23"/>
        <v>0</v>
      </c>
      <c r="AA30" s="13">
        <f t="shared" si="23"/>
        <v>0</v>
      </c>
      <c r="AB30" s="13">
        <f t="shared" si="23"/>
        <v>0</v>
      </c>
      <c r="AC30" s="13">
        <f t="shared" si="23"/>
        <v>0</v>
      </c>
      <c r="AD30" s="13">
        <f t="shared" si="23"/>
        <v>0</v>
      </c>
      <c r="AE30" s="13"/>
      <c r="AF30" s="13">
        <f>SUM(G30:AD30)</f>
        <v>0</v>
      </c>
    </row>
    <row r="31" spans="2:34" x14ac:dyDescent="0.25">
      <c r="C31" s="1" t="s">
        <v>178</v>
      </c>
      <c r="D31" s="1" t="s">
        <v>183</v>
      </c>
      <c r="G31" s="13">
        <f>(G24-ApndxB5!T24)*G6</f>
        <v>0</v>
      </c>
      <c r="H31" s="13">
        <f t="shared" ref="H31:R31" si="24">(H24-G24)*H6</f>
        <v>0</v>
      </c>
      <c r="I31" s="13">
        <f t="shared" si="24"/>
        <v>0</v>
      </c>
      <c r="J31" s="13">
        <f t="shared" si="24"/>
        <v>0</v>
      </c>
      <c r="K31" s="13">
        <f t="shared" si="24"/>
        <v>0</v>
      </c>
      <c r="L31" s="13">
        <f t="shared" si="24"/>
        <v>0</v>
      </c>
      <c r="M31" s="13">
        <f t="shared" si="24"/>
        <v>0</v>
      </c>
      <c r="N31" s="13">
        <f t="shared" si="24"/>
        <v>0</v>
      </c>
      <c r="O31" s="13">
        <f t="shared" si="24"/>
        <v>0</v>
      </c>
      <c r="P31" s="13">
        <f t="shared" si="24"/>
        <v>0</v>
      </c>
      <c r="Q31" s="13">
        <f t="shared" si="24"/>
        <v>0</v>
      </c>
      <c r="R31" s="13">
        <f t="shared" si="24"/>
        <v>0</v>
      </c>
      <c r="S31" s="13">
        <f t="shared" ref="S31:AD31" si="25">(S24-R24)*S6</f>
        <v>0</v>
      </c>
      <c r="T31" s="13">
        <f t="shared" si="25"/>
        <v>0</v>
      </c>
      <c r="U31" s="13">
        <f t="shared" si="25"/>
        <v>0</v>
      </c>
      <c r="V31" s="13">
        <f t="shared" si="25"/>
        <v>0</v>
      </c>
      <c r="W31" s="13">
        <f t="shared" si="25"/>
        <v>0</v>
      </c>
      <c r="X31" s="13">
        <f t="shared" si="25"/>
        <v>0</v>
      </c>
      <c r="Y31" s="13">
        <f t="shared" si="25"/>
        <v>0</v>
      </c>
      <c r="Z31" s="13">
        <f t="shared" si="25"/>
        <v>0</v>
      </c>
      <c r="AA31" s="13">
        <f t="shared" si="25"/>
        <v>0</v>
      </c>
      <c r="AB31" s="13">
        <f t="shared" si="25"/>
        <v>0</v>
      </c>
      <c r="AC31" s="13">
        <f t="shared" si="25"/>
        <v>0</v>
      </c>
      <c r="AD31" s="13">
        <f t="shared" si="25"/>
        <v>0</v>
      </c>
      <c r="AE31" s="13"/>
      <c r="AF31" s="13">
        <f>SUM(G31:AD31)</f>
        <v>0</v>
      </c>
    </row>
    <row r="32" spans="2:34" x14ac:dyDescent="0.25">
      <c r="C32" s="1" t="s">
        <v>179</v>
      </c>
      <c r="D32" s="1" t="s">
        <v>185</v>
      </c>
      <c r="G32" s="714">
        <v>0</v>
      </c>
      <c r="H32" s="714">
        <v>0</v>
      </c>
      <c r="I32" s="714">
        <v>0</v>
      </c>
      <c r="J32" s="714">
        <v>0</v>
      </c>
      <c r="K32" s="714">
        <v>0</v>
      </c>
      <c r="L32" s="714">
        <v>0</v>
      </c>
      <c r="M32" s="714">
        <v>0</v>
      </c>
      <c r="N32" s="714">
        <v>0</v>
      </c>
      <c r="O32" s="714">
        <v>0</v>
      </c>
      <c r="P32" s="714">
        <v>0</v>
      </c>
      <c r="Q32" s="714">
        <v>0</v>
      </c>
      <c r="R32" s="714">
        <v>0</v>
      </c>
      <c r="S32" s="714">
        <v>0</v>
      </c>
      <c r="T32" s="714">
        <v>0</v>
      </c>
      <c r="U32" s="714">
        <v>0</v>
      </c>
      <c r="V32" s="714">
        <v>0</v>
      </c>
      <c r="W32" s="714">
        <v>0</v>
      </c>
      <c r="X32" s="714">
        <v>0</v>
      </c>
      <c r="Y32" s="714">
        <v>0</v>
      </c>
      <c r="Z32" s="714">
        <v>0</v>
      </c>
      <c r="AA32" s="714">
        <v>0</v>
      </c>
      <c r="AB32" s="714">
        <v>0</v>
      </c>
      <c r="AC32" s="714">
        <v>0</v>
      </c>
      <c r="AD32" s="714">
        <v>0</v>
      </c>
      <c r="AE32" s="714"/>
      <c r="AF32" s="714">
        <f>SUM(G32:AD32)</f>
        <v>0</v>
      </c>
    </row>
    <row r="33" spans="2:32" ht="17.25" x14ac:dyDescent="0.4">
      <c r="C33" s="1" t="s">
        <v>178</v>
      </c>
      <c r="D33" s="1" t="s">
        <v>336</v>
      </c>
      <c r="G33" s="558">
        <f>G51</f>
        <v>0</v>
      </c>
      <c r="H33" s="558">
        <f t="shared" ref="H33:AD33" si="26">H51</f>
        <v>0</v>
      </c>
      <c r="I33" s="558">
        <f t="shared" si="26"/>
        <v>0</v>
      </c>
      <c r="J33" s="558">
        <f t="shared" si="26"/>
        <v>0</v>
      </c>
      <c r="K33" s="558">
        <f t="shared" si="26"/>
        <v>0</v>
      </c>
      <c r="L33" s="558">
        <f t="shared" si="26"/>
        <v>0</v>
      </c>
      <c r="M33" s="558">
        <f t="shared" si="26"/>
        <v>0</v>
      </c>
      <c r="N33" s="558">
        <f t="shared" si="26"/>
        <v>0</v>
      </c>
      <c r="O33" s="558">
        <f t="shared" si="26"/>
        <v>0</v>
      </c>
      <c r="P33" s="558">
        <f t="shared" si="26"/>
        <v>0</v>
      </c>
      <c r="Q33" s="558">
        <f t="shared" si="26"/>
        <v>0</v>
      </c>
      <c r="R33" s="558">
        <f t="shared" si="26"/>
        <v>0</v>
      </c>
      <c r="S33" s="558">
        <f t="shared" si="26"/>
        <v>0</v>
      </c>
      <c r="T33" s="558">
        <f t="shared" si="26"/>
        <v>0</v>
      </c>
      <c r="U33" s="558">
        <f t="shared" si="26"/>
        <v>0</v>
      </c>
      <c r="V33" s="558">
        <f t="shared" si="26"/>
        <v>0</v>
      </c>
      <c r="W33" s="558">
        <f t="shared" si="26"/>
        <v>0</v>
      </c>
      <c r="X33" s="558">
        <f t="shared" si="26"/>
        <v>0</v>
      </c>
      <c r="Y33" s="558">
        <f t="shared" si="26"/>
        <v>0</v>
      </c>
      <c r="Z33" s="558">
        <f t="shared" si="26"/>
        <v>0</v>
      </c>
      <c r="AA33" s="558">
        <f t="shared" si="26"/>
        <v>0</v>
      </c>
      <c r="AB33" s="558">
        <f t="shared" si="26"/>
        <v>0</v>
      </c>
      <c r="AC33" s="558">
        <f t="shared" si="26"/>
        <v>0</v>
      </c>
      <c r="AD33" s="558">
        <f t="shared" si="26"/>
        <v>0</v>
      </c>
      <c r="AE33" s="558"/>
      <c r="AF33" s="558">
        <f>SUM(G33:AD33)</f>
        <v>0</v>
      </c>
    </row>
    <row r="34" spans="2:32" x14ac:dyDescent="0.25">
      <c r="G34" s="13">
        <f>SUM(G30:G33)</f>
        <v>0</v>
      </c>
      <c r="H34" s="13">
        <f t="shared" ref="H34:AD34" si="27">SUM(H30:H33)</f>
        <v>0</v>
      </c>
      <c r="I34" s="13">
        <f t="shared" si="27"/>
        <v>0</v>
      </c>
      <c r="J34" s="13">
        <f t="shared" si="27"/>
        <v>0</v>
      </c>
      <c r="K34" s="13">
        <f t="shared" si="27"/>
        <v>0</v>
      </c>
      <c r="L34" s="13">
        <f t="shared" si="27"/>
        <v>0</v>
      </c>
      <c r="M34" s="13">
        <f t="shared" si="27"/>
        <v>0</v>
      </c>
      <c r="N34" s="13">
        <f t="shared" si="27"/>
        <v>0</v>
      </c>
      <c r="O34" s="13">
        <f t="shared" si="27"/>
        <v>0</v>
      </c>
      <c r="P34" s="13">
        <f t="shared" si="27"/>
        <v>0</v>
      </c>
      <c r="Q34" s="13">
        <f t="shared" si="27"/>
        <v>0</v>
      </c>
      <c r="R34" s="13">
        <f t="shared" si="27"/>
        <v>0</v>
      </c>
      <c r="S34" s="13">
        <f t="shared" si="27"/>
        <v>0</v>
      </c>
      <c r="T34" s="13">
        <f t="shared" si="27"/>
        <v>0</v>
      </c>
      <c r="U34" s="13">
        <f t="shared" si="27"/>
        <v>0</v>
      </c>
      <c r="V34" s="13">
        <f t="shared" si="27"/>
        <v>0</v>
      </c>
      <c r="W34" s="13">
        <f t="shared" si="27"/>
        <v>0</v>
      </c>
      <c r="X34" s="13">
        <f t="shared" si="27"/>
        <v>0</v>
      </c>
      <c r="Y34" s="13">
        <f t="shared" si="27"/>
        <v>0</v>
      </c>
      <c r="Z34" s="13">
        <f t="shared" si="27"/>
        <v>0</v>
      </c>
      <c r="AA34" s="13">
        <f t="shared" si="27"/>
        <v>0</v>
      </c>
      <c r="AB34" s="13">
        <f t="shared" si="27"/>
        <v>0</v>
      </c>
      <c r="AC34" s="13">
        <f t="shared" si="27"/>
        <v>0</v>
      </c>
      <c r="AD34" s="13">
        <f t="shared" si="27"/>
        <v>0</v>
      </c>
      <c r="AE34" s="13"/>
      <c r="AF34" s="13">
        <f>SUM(AF30:AF33)</f>
        <v>0</v>
      </c>
    </row>
    <row r="35" spans="2:32" x14ac:dyDescent="0.25">
      <c r="G35" s="13"/>
      <c r="H35" s="13"/>
      <c r="I35" s="13"/>
      <c r="J35" s="13"/>
      <c r="K35" s="13"/>
      <c r="L35" s="13"/>
      <c r="M35" s="13"/>
      <c r="N35" s="13"/>
      <c r="O35" s="13"/>
      <c r="P35" s="13"/>
      <c r="Q35" s="13"/>
      <c r="R35" s="13"/>
      <c r="S35" s="13"/>
      <c r="T35" s="13"/>
      <c r="U35" s="13"/>
      <c r="V35" s="13"/>
      <c r="W35" s="13"/>
      <c r="X35" s="13"/>
      <c r="Y35" s="13"/>
      <c r="Z35" s="13"/>
      <c r="AA35" s="13"/>
      <c r="AB35" s="13"/>
      <c r="AC35" s="13"/>
      <c r="AD35" s="13"/>
      <c r="AE35" s="13"/>
      <c r="AF35" s="13"/>
    </row>
    <row r="36" spans="2:32" x14ac:dyDescent="0.25">
      <c r="B36" s="1" t="s">
        <v>574</v>
      </c>
      <c r="G36" s="13">
        <f>ApndxA3!I28*B5*G6</f>
        <v>0</v>
      </c>
      <c r="H36" s="13">
        <f t="shared" ref="H36:R36" si="28">G38*H6</f>
        <v>0</v>
      </c>
      <c r="I36" s="13">
        <f t="shared" si="28"/>
        <v>0</v>
      </c>
      <c r="J36" s="13">
        <f t="shared" si="28"/>
        <v>0</v>
      </c>
      <c r="K36" s="13">
        <f t="shared" si="28"/>
        <v>0</v>
      </c>
      <c r="L36" s="13">
        <f t="shared" si="28"/>
        <v>0</v>
      </c>
      <c r="M36" s="13">
        <f t="shared" si="28"/>
        <v>0</v>
      </c>
      <c r="N36" s="13">
        <f t="shared" si="28"/>
        <v>0</v>
      </c>
      <c r="O36" s="13">
        <f t="shared" si="28"/>
        <v>0</v>
      </c>
      <c r="P36" s="13">
        <f t="shared" si="28"/>
        <v>0</v>
      </c>
      <c r="Q36" s="13">
        <f t="shared" si="28"/>
        <v>0</v>
      </c>
      <c r="R36" s="13">
        <f t="shared" si="28"/>
        <v>0</v>
      </c>
      <c r="S36" s="13">
        <f t="shared" ref="S36:AD36" si="29">R38*S6</f>
        <v>0</v>
      </c>
      <c r="T36" s="13">
        <f t="shared" si="29"/>
        <v>0</v>
      </c>
      <c r="U36" s="13">
        <f t="shared" si="29"/>
        <v>0</v>
      </c>
      <c r="V36" s="13">
        <f t="shared" si="29"/>
        <v>0</v>
      </c>
      <c r="W36" s="13">
        <f t="shared" si="29"/>
        <v>0</v>
      </c>
      <c r="X36" s="13">
        <f t="shared" si="29"/>
        <v>0</v>
      </c>
      <c r="Y36" s="13">
        <f t="shared" si="29"/>
        <v>0</v>
      </c>
      <c r="Z36" s="13">
        <f t="shared" si="29"/>
        <v>0</v>
      </c>
      <c r="AA36" s="13">
        <f t="shared" si="29"/>
        <v>0</v>
      </c>
      <c r="AB36" s="13">
        <f t="shared" si="29"/>
        <v>0</v>
      </c>
      <c r="AC36" s="13">
        <f t="shared" si="29"/>
        <v>0</v>
      </c>
      <c r="AD36" s="13">
        <f t="shared" si="29"/>
        <v>0</v>
      </c>
      <c r="AE36" s="13"/>
      <c r="AF36" s="13">
        <f>G36</f>
        <v>0</v>
      </c>
    </row>
    <row r="37" spans="2:32" x14ac:dyDescent="0.25">
      <c r="C37" s="1" t="s">
        <v>312</v>
      </c>
      <c r="G37" s="13">
        <f>G34</f>
        <v>0</v>
      </c>
      <c r="H37" s="13">
        <f t="shared" ref="H37:R37" si="30">H34</f>
        <v>0</v>
      </c>
      <c r="I37" s="13">
        <f t="shared" si="30"/>
        <v>0</v>
      </c>
      <c r="J37" s="13">
        <f t="shared" si="30"/>
        <v>0</v>
      </c>
      <c r="K37" s="13">
        <f t="shared" si="30"/>
        <v>0</v>
      </c>
      <c r="L37" s="13">
        <f t="shared" si="30"/>
        <v>0</v>
      </c>
      <c r="M37" s="13">
        <f t="shared" si="30"/>
        <v>0</v>
      </c>
      <c r="N37" s="13">
        <f t="shared" si="30"/>
        <v>0</v>
      </c>
      <c r="O37" s="13">
        <f t="shared" si="30"/>
        <v>0</v>
      </c>
      <c r="P37" s="13">
        <f t="shared" si="30"/>
        <v>0</v>
      </c>
      <c r="Q37" s="13">
        <f t="shared" si="30"/>
        <v>0</v>
      </c>
      <c r="R37" s="13">
        <f t="shared" si="30"/>
        <v>0</v>
      </c>
      <c r="S37" s="13">
        <f t="shared" ref="S37:AD37" si="31">S34</f>
        <v>0</v>
      </c>
      <c r="T37" s="13">
        <f t="shared" si="31"/>
        <v>0</v>
      </c>
      <c r="U37" s="13">
        <f t="shared" si="31"/>
        <v>0</v>
      </c>
      <c r="V37" s="13">
        <f t="shared" si="31"/>
        <v>0</v>
      </c>
      <c r="W37" s="13">
        <f t="shared" si="31"/>
        <v>0</v>
      </c>
      <c r="X37" s="13">
        <f t="shared" si="31"/>
        <v>0</v>
      </c>
      <c r="Y37" s="13">
        <f t="shared" si="31"/>
        <v>0</v>
      </c>
      <c r="Z37" s="13">
        <f t="shared" si="31"/>
        <v>0</v>
      </c>
      <c r="AA37" s="13">
        <f t="shared" si="31"/>
        <v>0</v>
      </c>
      <c r="AB37" s="13">
        <f t="shared" si="31"/>
        <v>0</v>
      </c>
      <c r="AC37" s="13">
        <f t="shared" si="31"/>
        <v>0</v>
      </c>
      <c r="AD37" s="13">
        <f t="shared" si="31"/>
        <v>0</v>
      </c>
      <c r="AE37" s="13"/>
      <c r="AF37" s="13">
        <f>SUM(G37:AD37)</f>
        <v>0</v>
      </c>
    </row>
    <row r="38" spans="2:32" ht="15.75" thickBot="1" x14ac:dyDescent="0.3">
      <c r="B38" s="698" t="s">
        <v>187</v>
      </c>
      <c r="C38" s="698"/>
      <c r="D38" s="698"/>
      <c r="E38" s="698"/>
      <c r="F38" s="698"/>
      <c r="G38" s="699">
        <f t="shared" ref="G38:R38" si="32">(G36+G37)*G6</f>
        <v>0</v>
      </c>
      <c r="H38" s="699">
        <f t="shared" si="32"/>
        <v>0</v>
      </c>
      <c r="I38" s="699">
        <f t="shared" si="32"/>
        <v>0</v>
      </c>
      <c r="J38" s="699">
        <f t="shared" si="32"/>
        <v>0</v>
      </c>
      <c r="K38" s="699">
        <f t="shared" si="32"/>
        <v>0</v>
      </c>
      <c r="L38" s="699">
        <f t="shared" si="32"/>
        <v>0</v>
      </c>
      <c r="M38" s="699">
        <f t="shared" si="32"/>
        <v>0</v>
      </c>
      <c r="N38" s="699">
        <f t="shared" si="32"/>
        <v>0</v>
      </c>
      <c r="O38" s="699">
        <f t="shared" si="32"/>
        <v>0</v>
      </c>
      <c r="P38" s="699">
        <f t="shared" si="32"/>
        <v>0</v>
      </c>
      <c r="Q38" s="699">
        <f t="shared" si="32"/>
        <v>0</v>
      </c>
      <c r="R38" s="699">
        <f t="shared" si="32"/>
        <v>0</v>
      </c>
      <c r="S38" s="699">
        <f t="shared" ref="S38:AD38" si="33">(S36+S37)*S6</f>
        <v>0</v>
      </c>
      <c r="T38" s="699">
        <f t="shared" si="33"/>
        <v>0</v>
      </c>
      <c r="U38" s="699">
        <f t="shared" si="33"/>
        <v>0</v>
      </c>
      <c r="V38" s="699">
        <f t="shared" si="33"/>
        <v>0</v>
      </c>
      <c r="W38" s="699">
        <f t="shared" si="33"/>
        <v>0</v>
      </c>
      <c r="X38" s="699">
        <f t="shared" si="33"/>
        <v>0</v>
      </c>
      <c r="Y38" s="699">
        <f t="shared" si="33"/>
        <v>0</v>
      </c>
      <c r="Z38" s="699">
        <f t="shared" si="33"/>
        <v>0</v>
      </c>
      <c r="AA38" s="699">
        <f t="shared" si="33"/>
        <v>0</v>
      </c>
      <c r="AB38" s="699">
        <f t="shared" si="33"/>
        <v>0</v>
      </c>
      <c r="AC38" s="699">
        <f t="shared" si="33"/>
        <v>0</v>
      </c>
      <c r="AD38" s="699">
        <f t="shared" si="33"/>
        <v>0</v>
      </c>
      <c r="AE38" s="699"/>
      <c r="AF38" s="699">
        <f>AF36+AF37</f>
        <v>0</v>
      </c>
    </row>
    <row r="39" spans="2:32" ht="15.75" thickTop="1" x14ac:dyDescent="0.25">
      <c r="G39" s="13"/>
      <c r="H39" s="13"/>
      <c r="I39" s="13"/>
      <c r="J39" s="13"/>
      <c r="K39" s="13"/>
      <c r="L39" s="13"/>
      <c r="M39" s="13"/>
      <c r="N39" s="13"/>
      <c r="O39" s="13"/>
      <c r="P39" s="13"/>
      <c r="Q39" s="13"/>
      <c r="R39" s="13"/>
      <c r="S39" s="13"/>
      <c r="T39" s="13"/>
      <c r="U39" s="13"/>
      <c r="V39" s="13"/>
      <c r="W39" s="13"/>
      <c r="X39" s="13"/>
      <c r="Y39" s="13"/>
      <c r="Z39" s="13"/>
      <c r="AA39" s="13"/>
      <c r="AB39" s="13"/>
      <c r="AC39" s="13"/>
      <c r="AD39" s="13"/>
      <c r="AE39" s="13"/>
      <c r="AF39" s="13"/>
    </row>
    <row r="41" spans="2:32" x14ac:dyDescent="0.25">
      <c r="B41" s="1" t="s">
        <v>192</v>
      </c>
      <c r="G41" s="381">
        <f t="shared" ref="G41:AF41" si="34">G11+G12</f>
        <v>0</v>
      </c>
      <c r="H41" s="381">
        <f t="shared" si="34"/>
        <v>0</v>
      </c>
      <c r="I41" s="381">
        <f t="shared" si="34"/>
        <v>0</v>
      </c>
      <c r="J41" s="381">
        <f t="shared" si="34"/>
        <v>0</v>
      </c>
      <c r="K41" s="381">
        <f t="shared" si="34"/>
        <v>0</v>
      </c>
      <c r="L41" s="381">
        <f t="shared" si="34"/>
        <v>0</v>
      </c>
      <c r="M41" s="381">
        <f t="shared" si="34"/>
        <v>0</v>
      </c>
      <c r="N41" s="381">
        <f t="shared" si="34"/>
        <v>0</v>
      </c>
      <c r="O41" s="381">
        <f t="shared" si="34"/>
        <v>0</v>
      </c>
      <c r="P41" s="381">
        <f t="shared" si="34"/>
        <v>0</v>
      </c>
      <c r="Q41" s="381">
        <f t="shared" si="34"/>
        <v>0</v>
      </c>
      <c r="R41" s="381">
        <f t="shared" si="34"/>
        <v>0</v>
      </c>
      <c r="S41" s="381">
        <f t="shared" ref="S41:AD41" si="35">S11+S12</f>
        <v>0</v>
      </c>
      <c r="T41" s="381">
        <f t="shared" si="35"/>
        <v>0</v>
      </c>
      <c r="U41" s="381">
        <f t="shared" si="35"/>
        <v>0</v>
      </c>
      <c r="V41" s="381">
        <f t="shared" si="35"/>
        <v>0</v>
      </c>
      <c r="W41" s="381">
        <f t="shared" si="35"/>
        <v>0</v>
      </c>
      <c r="X41" s="381">
        <f t="shared" si="35"/>
        <v>0</v>
      </c>
      <c r="Y41" s="381">
        <f t="shared" si="35"/>
        <v>0</v>
      </c>
      <c r="Z41" s="381">
        <f t="shared" si="35"/>
        <v>0</v>
      </c>
      <c r="AA41" s="381">
        <f t="shared" si="35"/>
        <v>0</v>
      </c>
      <c r="AB41" s="381">
        <f t="shared" si="35"/>
        <v>0</v>
      </c>
      <c r="AC41" s="381">
        <f t="shared" si="35"/>
        <v>0</v>
      </c>
      <c r="AD41" s="381">
        <f t="shared" si="35"/>
        <v>0</v>
      </c>
      <c r="AE41" s="381">
        <f t="shared" si="34"/>
        <v>0</v>
      </c>
      <c r="AF41" s="381">
        <f t="shared" si="34"/>
        <v>0</v>
      </c>
    </row>
    <row r="42" spans="2:32" x14ac:dyDescent="0.25">
      <c r="C42" s="1" t="s">
        <v>310</v>
      </c>
      <c r="G42" s="381">
        <f>G41</f>
        <v>0</v>
      </c>
      <c r="H42" s="381">
        <f>AVERAGE(G41:H41)</f>
        <v>0</v>
      </c>
      <c r="I42" s="381">
        <f t="shared" ref="I42:R42" si="36">AVERAGE(H41:I41)</f>
        <v>0</v>
      </c>
      <c r="J42" s="381">
        <f t="shared" si="36"/>
        <v>0</v>
      </c>
      <c r="K42" s="381">
        <f t="shared" si="36"/>
        <v>0</v>
      </c>
      <c r="L42" s="381">
        <f t="shared" si="36"/>
        <v>0</v>
      </c>
      <c r="M42" s="381">
        <f t="shared" si="36"/>
        <v>0</v>
      </c>
      <c r="N42" s="381">
        <f t="shared" si="36"/>
        <v>0</v>
      </c>
      <c r="O42" s="381">
        <f t="shared" si="36"/>
        <v>0</v>
      </c>
      <c r="P42" s="381">
        <f t="shared" si="36"/>
        <v>0</v>
      </c>
      <c r="Q42" s="381">
        <f t="shared" si="36"/>
        <v>0</v>
      </c>
      <c r="R42" s="381">
        <f t="shared" si="36"/>
        <v>0</v>
      </c>
      <c r="S42" s="381">
        <f t="shared" ref="S42:AD42" si="37">AVERAGE(R41:S41)</f>
        <v>0</v>
      </c>
      <c r="T42" s="381">
        <f t="shared" si="37"/>
        <v>0</v>
      </c>
      <c r="U42" s="381">
        <f t="shared" si="37"/>
        <v>0</v>
      </c>
      <c r="V42" s="381">
        <f t="shared" si="37"/>
        <v>0</v>
      </c>
      <c r="W42" s="381">
        <f t="shared" si="37"/>
        <v>0</v>
      </c>
      <c r="X42" s="381">
        <f t="shared" si="37"/>
        <v>0</v>
      </c>
      <c r="Y42" s="381">
        <f t="shared" si="37"/>
        <v>0</v>
      </c>
      <c r="Z42" s="381">
        <f t="shared" si="37"/>
        <v>0</v>
      </c>
      <c r="AA42" s="381">
        <f t="shared" si="37"/>
        <v>0</v>
      </c>
      <c r="AB42" s="381">
        <f t="shared" si="37"/>
        <v>0</v>
      </c>
      <c r="AC42" s="381">
        <f t="shared" si="37"/>
        <v>0</v>
      </c>
      <c r="AD42" s="381">
        <f t="shared" si="37"/>
        <v>0</v>
      </c>
    </row>
    <row r="45" spans="2:32" s="81" customFormat="1" x14ac:dyDescent="0.25">
      <c r="F45" s="81" t="s">
        <v>308</v>
      </c>
      <c r="G45" s="81">
        <f t="shared" ref="G45:AD45" si="38">G21-G27</f>
        <v>0</v>
      </c>
      <c r="H45" s="81">
        <f t="shared" si="38"/>
        <v>0</v>
      </c>
      <c r="I45" s="81">
        <f t="shared" si="38"/>
        <v>0</v>
      </c>
      <c r="J45" s="81">
        <f t="shared" si="38"/>
        <v>0</v>
      </c>
      <c r="K45" s="81">
        <f t="shared" si="38"/>
        <v>0</v>
      </c>
      <c r="L45" s="81">
        <f t="shared" si="38"/>
        <v>0</v>
      </c>
      <c r="M45" s="81">
        <f t="shared" si="38"/>
        <v>0</v>
      </c>
      <c r="N45" s="81">
        <f t="shared" si="38"/>
        <v>0</v>
      </c>
      <c r="O45" s="81">
        <f t="shared" si="38"/>
        <v>0</v>
      </c>
      <c r="P45" s="81">
        <f t="shared" si="38"/>
        <v>0</v>
      </c>
      <c r="Q45" s="81">
        <f t="shared" si="38"/>
        <v>0</v>
      </c>
      <c r="R45" s="81">
        <f t="shared" si="38"/>
        <v>0</v>
      </c>
      <c r="S45" s="81">
        <f t="shared" si="38"/>
        <v>0</v>
      </c>
      <c r="T45" s="81">
        <f t="shared" si="38"/>
        <v>0</v>
      </c>
      <c r="U45" s="81">
        <f t="shared" si="38"/>
        <v>0</v>
      </c>
      <c r="V45" s="81">
        <f t="shared" si="38"/>
        <v>0</v>
      </c>
      <c r="W45" s="81">
        <f t="shared" si="38"/>
        <v>0</v>
      </c>
      <c r="X45" s="81">
        <f t="shared" si="38"/>
        <v>0</v>
      </c>
      <c r="Y45" s="81">
        <f t="shared" si="38"/>
        <v>0</v>
      </c>
      <c r="Z45" s="81">
        <f t="shared" si="38"/>
        <v>0</v>
      </c>
      <c r="AA45" s="81">
        <f t="shared" si="38"/>
        <v>0</v>
      </c>
      <c r="AB45" s="81">
        <f t="shared" si="38"/>
        <v>0</v>
      </c>
      <c r="AC45" s="81">
        <f t="shared" si="38"/>
        <v>0</v>
      </c>
      <c r="AD45" s="81">
        <f t="shared" si="38"/>
        <v>0</v>
      </c>
    </row>
    <row r="46" spans="2:32" x14ac:dyDescent="0.25">
      <c r="D46" s="1" t="s">
        <v>313</v>
      </c>
      <c r="G46" s="536">
        <f t="shared" ref="G46:AD46" si="39">IF(AND(G6=1,H6=0),1,0)</f>
        <v>0</v>
      </c>
      <c r="H46" s="536">
        <f t="shared" si="39"/>
        <v>0</v>
      </c>
      <c r="I46" s="536">
        <f t="shared" si="39"/>
        <v>0</v>
      </c>
      <c r="J46" s="536">
        <f t="shared" si="39"/>
        <v>0</v>
      </c>
      <c r="K46" s="536">
        <f t="shared" si="39"/>
        <v>0</v>
      </c>
      <c r="L46" s="536">
        <f t="shared" si="39"/>
        <v>0</v>
      </c>
      <c r="M46" s="536">
        <f t="shared" si="39"/>
        <v>0</v>
      </c>
      <c r="N46" s="536">
        <f t="shared" si="39"/>
        <v>0</v>
      </c>
      <c r="O46" s="536">
        <f t="shared" si="39"/>
        <v>0</v>
      </c>
      <c r="P46" s="536">
        <f t="shared" si="39"/>
        <v>0</v>
      </c>
      <c r="Q46" s="536">
        <f t="shared" si="39"/>
        <v>0</v>
      </c>
      <c r="R46" s="536">
        <f t="shared" si="39"/>
        <v>0</v>
      </c>
      <c r="S46" s="536">
        <f t="shared" si="39"/>
        <v>0</v>
      </c>
      <c r="T46" s="536">
        <f t="shared" si="39"/>
        <v>0</v>
      </c>
      <c r="U46" s="536">
        <f t="shared" si="39"/>
        <v>0</v>
      </c>
      <c r="V46" s="536">
        <f t="shared" si="39"/>
        <v>0</v>
      </c>
      <c r="W46" s="536">
        <f t="shared" si="39"/>
        <v>0</v>
      </c>
      <c r="X46" s="536">
        <f t="shared" si="39"/>
        <v>0</v>
      </c>
      <c r="Y46" s="536">
        <f t="shared" si="39"/>
        <v>0</v>
      </c>
      <c r="Z46" s="536">
        <f t="shared" si="39"/>
        <v>0</v>
      </c>
      <c r="AA46" s="536">
        <f t="shared" si="39"/>
        <v>0</v>
      </c>
      <c r="AB46" s="536">
        <f t="shared" si="39"/>
        <v>0</v>
      </c>
      <c r="AC46" s="536">
        <f t="shared" si="39"/>
        <v>0</v>
      </c>
      <c r="AD46" s="536">
        <f t="shared" si="39"/>
        <v>0</v>
      </c>
    </row>
    <row r="48" spans="2:32" x14ac:dyDescent="0.25">
      <c r="G48" s="1">
        <f>MATCH(G7,'C11'!$O$11:$O$46,0)</f>
        <v>2</v>
      </c>
      <c r="H48" s="1">
        <f>MATCH(H7,'C11'!$O$11:$O$46,0)</f>
        <v>3</v>
      </c>
      <c r="I48" s="1">
        <f>MATCH(I7,'C11'!$O$11:$O$46,0)</f>
        <v>4</v>
      </c>
      <c r="J48" s="1">
        <f>MATCH(J7,'C11'!$O$11:$O$46,0)</f>
        <v>5</v>
      </c>
      <c r="K48" s="1">
        <f>MATCH(K7,'C11'!$O$11:$O$46,0)</f>
        <v>6</v>
      </c>
      <c r="L48" s="1">
        <f>MATCH(L7,'C11'!$O$11:$O$46,0)</f>
        <v>7</v>
      </c>
      <c r="M48" s="1">
        <f>MATCH(M7,'C11'!$O$11:$O$46,0)</f>
        <v>8</v>
      </c>
      <c r="N48" s="1">
        <f>MATCH(N7,'C11'!$O$11:$O$46,0)</f>
        <v>9</v>
      </c>
      <c r="O48" s="1">
        <f>MATCH(O7,'C11'!$O$11:$O$46,0)</f>
        <v>10</v>
      </c>
      <c r="P48" s="1">
        <f>MATCH(P7,'C11'!$O$11:$O$46,0)</f>
        <v>11</v>
      </c>
      <c r="Q48" s="1">
        <f>MATCH(Q7,'C11'!$O$11:$O$46,0)</f>
        <v>12</v>
      </c>
      <c r="R48" s="1">
        <f>MATCH(R7,'C11'!$O$11:$O$46,0)</f>
        <v>13</v>
      </c>
      <c r="S48" s="1">
        <f>MATCH(S7,'C11'!$O$11:$O$46,0)</f>
        <v>14</v>
      </c>
      <c r="T48" s="1">
        <f>MATCH(T7,'C11'!$O$11:$O$46,0)</f>
        <v>15</v>
      </c>
      <c r="U48" s="1">
        <f>MATCH(U7,'C11'!$O$11:$O$46,0)</f>
        <v>16</v>
      </c>
      <c r="V48" s="1">
        <f>MATCH(V7,'C11'!$O$11:$O$46,0)</f>
        <v>17</v>
      </c>
      <c r="W48" s="1">
        <f>MATCH(W7,'C11'!$O$11:$O$46,0)</f>
        <v>18</v>
      </c>
      <c r="X48" s="1">
        <f>MATCH(X7,'C11'!$O$11:$O$46,0)</f>
        <v>19</v>
      </c>
      <c r="Y48" s="1">
        <f>MATCH(Y7,'C11'!$O$11:$O$46,0)</f>
        <v>20</v>
      </c>
      <c r="Z48" s="1">
        <f>MATCH(Z7,'C11'!$O$11:$O$46,0)</f>
        <v>21</v>
      </c>
      <c r="AA48" s="1">
        <f>MATCH(AA7,'C11'!$O$11:$O$46,0)</f>
        <v>22</v>
      </c>
      <c r="AB48" s="1">
        <f>MATCH(AB7,'C11'!$O$11:$O$46,0)</f>
        <v>23</v>
      </c>
      <c r="AC48" s="1">
        <f>MATCH(AC7,'C11'!$O$11:$O$46,0)</f>
        <v>24</v>
      </c>
      <c r="AD48" s="1">
        <f>MATCH(AD7,'C11'!$O$11:$O$46,0)</f>
        <v>25</v>
      </c>
    </row>
    <row r="49" spans="2:31" x14ac:dyDescent="0.25">
      <c r="G49" s="1">
        <f>LOOKUP(G48,'C11'!$N$11:$N$46,'C11'!$P$11:$P$46)</f>
        <v>0</v>
      </c>
      <c r="H49" s="1">
        <f>LOOKUP(H48,'C11'!$N$11:$N$46,'C11'!$P$11:$P$46)</f>
        <v>0</v>
      </c>
      <c r="I49" s="1">
        <f>LOOKUP(I48,'C11'!$N$11:$N$46,'C11'!$P$11:$P$46)</f>
        <v>0</v>
      </c>
      <c r="J49" s="1">
        <f>LOOKUP(J48,'C11'!$N$11:$N$46,'C11'!$P$11:$P$46)</f>
        <v>0</v>
      </c>
      <c r="K49" s="1">
        <f>LOOKUP(K48,'C11'!$N$11:$N$46,'C11'!$P$11:$P$46)</f>
        <v>0</v>
      </c>
      <c r="L49" s="1">
        <f>LOOKUP(L48,'C11'!$N$11:$N$46,'C11'!$P$11:$P$46)</f>
        <v>0</v>
      </c>
      <c r="M49" s="1">
        <f>LOOKUP(M48,'C11'!$N$11:$N$46,'C11'!$P$11:$P$46)</f>
        <v>0</v>
      </c>
      <c r="N49" s="1">
        <f>LOOKUP(N48,'C11'!$N$11:$N$46,'C11'!$P$11:$P$46)</f>
        <v>0</v>
      </c>
      <c r="O49" s="1">
        <f>LOOKUP(O48,'C11'!$N$11:$N$46,'C11'!$P$11:$P$46)</f>
        <v>0</v>
      </c>
      <c r="P49" s="1">
        <f>LOOKUP(P48,'C11'!$N$11:$N$46,'C11'!$P$11:$P$46)</f>
        <v>0</v>
      </c>
      <c r="Q49" s="1">
        <f>LOOKUP(Q48,'C11'!$N$11:$N$46,'C11'!$P$11:$P$46)</f>
        <v>0</v>
      </c>
      <c r="R49" s="1">
        <f>LOOKUP(R48,'C11'!$N$11:$N$46,'C11'!$P$11:$P$46)</f>
        <v>0</v>
      </c>
      <c r="S49" s="1">
        <f>LOOKUP(S48,'C11'!$N$11:$N$46,'C11'!$P$11:$P$46)</f>
        <v>0</v>
      </c>
      <c r="T49" s="1">
        <f>LOOKUP(T48,'C11'!$N$11:$N$46,'C11'!$P$11:$P$46)</f>
        <v>0</v>
      </c>
      <c r="U49" s="1">
        <f>LOOKUP(U48,'C11'!$N$11:$N$46,'C11'!$P$11:$P$46)</f>
        <v>0</v>
      </c>
      <c r="V49" s="1">
        <f>LOOKUP(V48,'C11'!$N$11:$N$46,'C11'!$P$11:$P$46)</f>
        <v>0</v>
      </c>
      <c r="W49" s="1">
        <f>LOOKUP(W48,'C11'!$N$11:$N$46,'C11'!$P$11:$P$46)</f>
        <v>0</v>
      </c>
      <c r="X49" s="1">
        <f>LOOKUP(X48,'C11'!$N$11:$N$46,'C11'!$P$11:$P$46)</f>
        <v>0</v>
      </c>
      <c r="Y49" s="1">
        <f>LOOKUP(Y48,'C11'!$N$11:$N$46,'C11'!$P$11:$P$46)</f>
        <v>0</v>
      </c>
      <c r="Z49" s="1">
        <f>LOOKUP(Z48,'C11'!$N$11:$N$46,'C11'!$P$11:$P$46)</f>
        <v>0</v>
      </c>
      <c r="AA49" s="1">
        <f>LOOKUP(AA48,'C11'!$N$11:$N$46,'C11'!$P$11:$P$46)</f>
        <v>0</v>
      </c>
      <c r="AB49" s="1">
        <f>LOOKUP(AB48,'C11'!$N$11:$N$46,'C11'!$P$11:$P$46)</f>
        <v>0</v>
      </c>
      <c r="AC49" s="1">
        <f>LOOKUP(AC48,'C11'!$N$11:$N$46,'C11'!$P$11:$P$46)</f>
        <v>0</v>
      </c>
      <c r="AD49" s="1">
        <f>LOOKUP(AD48,'C11'!$N$11:$N$46,'C11'!$P$11:$P$46)</f>
        <v>0</v>
      </c>
    </row>
    <row r="51" spans="2:31" x14ac:dyDescent="0.25">
      <c r="B51" s="1" t="s">
        <v>335</v>
      </c>
      <c r="F51" s="80">
        <f>SUM('A1'!O45:O48)/1000</f>
        <v>0</v>
      </c>
      <c r="G51" s="1">
        <f>$F51*G46</f>
        <v>0</v>
      </c>
      <c r="H51" s="1">
        <f t="shared" ref="H51:AE51" si="40">$F51*H46</f>
        <v>0</v>
      </c>
      <c r="I51" s="1">
        <f t="shared" si="40"/>
        <v>0</v>
      </c>
      <c r="J51" s="1">
        <f t="shared" si="40"/>
        <v>0</v>
      </c>
      <c r="K51" s="1">
        <f t="shared" si="40"/>
        <v>0</v>
      </c>
      <c r="L51" s="1">
        <f t="shared" si="40"/>
        <v>0</v>
      </c>
      <c r="M51" s="1">
        <f t="shared" si="40"/>
        <v>0</v>
      </c>
      <c r="N51" s="1">
        <f t="shared" si="40"/>
        <v>0</v>
      </c>
      <c r="O51" s="1">
        <f t="shared" si="40"/>
        <v>0</v>
      </c>
      <c r="P51" s="1">
        <f t="shared" si="40"/>
        <v>0</v>
      </c>
      <c r="Q51" s="1">
        <f t="shared" si="40"/>
        <v>0</v>
      </c>
      <c r="R51" s="1">
        <f t="shared" si="40"/>
        <v>0</v>
      </c>
      <c r="S51" s="1">
        <f t="shared" si="40"/>
        <v>0</v>
      </c>
      <c r="T51" s="1">
        <f t="shared" si="40"/>
        <v>0</v>
      </c>
      <c r="U51" s="1">
        <f t="shared" si="40"/>
        <v>0</v>
      </c>
      <c r="V51" s="1">
        <f t="shared" si="40"/>
        <v>0</v>
      </c>
      <c r="W51" s="1">
        <f t="shared" si="40"/>
        <v>0</v>
      </c>
      <c r="X51" s="1">
        <f t="shared" si="40"/>
        <v>0</v>
      </c>
      <c r="Y51" s="1">
        <f t="shared" si="40"/>
        <v>0</v>
      </c>
      <c r="Z51" s="1">
        <f t="shared" si="40"/>
        <v>0</v>
      </c>
      <c r="AA51" s="1">
        <f t="shared" si="40"/>
        <v>0</v>
      </c>
      <c r="AB51" s="1">
        <f t="shared" si="40"/>
        <v>0</v>
      </c>
      <c r="AC51" s="1">
        <f t="shared" si="40"/>
        <v>0</v>
      </c>
      <c r="AD51" s="1">
        <f t="shared" si="40"/>
        <v>0</v>
      </c>
      <c r="AE51" s="1">
        <f t="shared" si="40"/>
        <v>0</v>
      </c>
    </row>
  </sheetData>
  <conditionalFormatting sqref="AF7 G7:R7">
    <cfRule type="expression" dxfId="21" priority="2">
      <formula>G$6=0</formula>
    </cfRule>
  </conditionalFormatting>
  <conditionalFormatting sqref="S7:AD7">
    <cfRule type="expression" dxfId="20" priority="1">
      <formula>S$6=0</formula>
    </cfRule>
  </conditionalFormatting>
  <printOptions horizontalCentered="1"/>
  <pageMargins left="0.25" right="0.25" top="0.75" bottom="0.75" header="0.3" footer="0.3"/>
  <pageSetup scale="85" orientation="landscape" r:id="rId1"/>
  <ignoredErrors>
    <ignoredError sqref="F29:AF51 G18:AH27 A1:AF14" unlockedFormula="1"/>
  </ignoredErrors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>
    <tabColor rgb="FFFF0000"/>
    <pageSetUpPr fitToPage="1"/>
  </sheetPr>
  <dimension ref="B1:F19"/>
  <sheetViews>
    <sheetView showGridLines="0" zoomScale="85" zoomScaleNormal="85" workbookViewId="0"/>
  </sheetViews>
  <sheetFormatPr defaultColWidth="9.42578125" defaultRowHeight="15" x14ac:dyDescent="0.25"/>
  <cols>
    <col min="1" max="1" width="3" style="1" customWidth="1"/>
    <col min="2" max="2" width="3.42578125" style="1" customWidth="1"/>
    <col min="3" max="3" width="9.42578125" style="1"/>
    <col min="4" max="4" width="81.5703125" style="173" customWidth="1"/>
    <col min="5" max="5" width="8.5703125" style="1" customWidth="1"/>
    <col min="6" max="6" width="3.42578125" style="1" customWidth="1"/>
    <col min="7" max="7" width="2.5703125" style="1" customWidth="1"/>
    <col min="8" max="16384" width="9.42578125" style="1"/>
  </cols>
  <sheetData>
    <row r="1" spans="2:6" ht="20.25" x14ac:dyDescent="0.3">
      <c r="B1" s="1331" t="str">
        <f>IF(ReportMode=2,"","Please select Management Report in the 'MainOutline' tab!")</f>
        <v>Please select Management Report in the 'MainOutline' tab!</v>
      </c>
    </row>
    <row r="6" spans="2:6" ht="15.75" thickBot="1" x14ac:dyDescent="0.3">
      <c r="B6" s="85"/>
      <c r="C6" s="86"/>
      <c r="D6" s="87"/>
      <c r="E6" s="86"/>
      <c r="F6" s="86"/>
    </row>
    <row r="7" spans="2:6" ht="15.75" thickTop="1" x14ac:dyDescent="0.25">
      <c r="B7" s="88"/>
      <c r="C7" s="89"/>
      <c r="D7" s="90"/>
      <c r="E7" s="89"/>
      <c r="F7" s="89"/>
    </row>
    <row r="8" spans="2:6" s="94" customFormat="1" ht="49.5" x14ac:dyDescent="0.65">
      <c r="B8" s="91"/>
      <c r="C8" s="92"/>
      <c r="D8" s="93" t="s">
        <v>11</v>
      </c>
      <c r="E8" s="92"/>
      <c r="F8" s="92"/>
    </row>
    <row r="9" spans="2:6" x14ac:dyDescent="0.25">
      <c r="B9" s="88"/>
      <c r="C9" s="89"/>
      <c r="D9" s="90"/>
      <c r="E9" s="89"/>
      <c r="F9" s="89"/>
    </row>
    <row r="10" spans="2:6" x14ac:dyDescent="0.25">
      <c r="B10" s="88"/>
      <c r="C10" s="89"/>
      <c r="D10" s="90"/>
      <c r="E10" s="89"/>
      <c r="F10" s="89"/>
    </row>
    <row r="11" spans="2:6" x14ac:dyDescent="0.25">
      <c r="B11" s="88"/>
      <c r="C11" s="89"/>
      <c r="D11" s="509"/>
      <c r="E11" s="89"/>
      <c r="F11" s="89"/>
    </row>
    <row r="12" spans="2:6" ht="38.25" x14ac:dyDescent="0.55000000000000004">
      <c r="B12" s="88"/>
      <c r="C12" s="89"/>
      <c r="D12" s="95" t="str">
        <f>Title!D12</f>
        <v>Project: WB Santa Cruz</v>
      </c>
      <c r="E12" s="89"/>
      <c r="F12" s="89"/>
    </row>
    <row r="13" spans="2:6" ht="33" x14ac:dyDescent="0.45">
      <c r="B13" s="88"/>
      <c r="C13" s="89"/>
      <c r="D13" s="582" t="s">
        <v>4</v>
      </c>
      <c r="E13" s="89"/>
      <c r="F13" s="89"/>
    </row>
    <row r="14" spans="2:6" ht="15.75" thickBot="1" x14ac:dyDescent="0.3">
      <c r="B14" s="96"/>
      <c r="C14" s="97"/>
      <c r="D14" s="98"/>
      <c r="E14" s="97"/>
      <c r="F14" s="97"/>
    </row>
    <row r="15" spans="2:6" ht="15.75" thickTop="1" x14ac:dyDescent="0.25"/>
    <row r="18" spans="4:4" ht="26.25" x14ac:dyDescent="0.4">
      <c r="D18" s="99" t="s">
        <v>12</v>
      </c>
    </row>
    <row r="19" spans="4:4" ht="26.25" x14ac:dyDescent="0.4">
      <c r="D19" s="100">
        <f ca="1">NOW()</f>
        <v>43599.529573611107</v>
      </c>
    </row>
  </sheetData>
  <printOptions horizontalCentered="1" verticalCentered="1"/>
  <pageMargins left="0.7" right="0.7" top="0.75" bottom="0.75" header="0.3" footer="0.3"/>
  <pageSetup orientation="landscape" r:id="rId1"/>
  <ignoredErrors>
    <ignoredError sqref="D12:D19" unlockedFormula="1"/>
  </ignoredErrors>
  <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FF0000"/>
    <pageSetUpPr fitToPage="1"/>
  </sheetPr>
  <dimension ref="B1:N49"/>
  <sheetViews>
    <sheetView view="pageBreakPreview" zoomScale="90" zoomScaleNormal="90" zoomScaleSheetLayoutView="90" workbookViewId="0"/>
  </sheetViews>
  <sheetFormatPr defaultColWidth="9.42578125" defaultRowHeight="15" x14ac:dyDescent="0.25"/>
  <cols>
    <col min="1" max="1" width="2.42578125" style="1" customWidth="1"/>
    <col min="2" max="2" width="5.42578125" style="1" customWidth="1"/>
    <col min="3" max="3" width="13" style="1" customWidth="1"/>
    <col min="4" max="6" width="9.42578125" style="1"/>
    <col min="7" max="7" width="15.42578125" style="1" customWidth="1"/>
    <col min="8" max="8" width="9.85546875" style="1" customWidth="1"/>
    <col min="9" max="10" width="12.42578125" style="1" customWidth="1"/>
    <col min="11" max="12" width="7" style="1" customWidth="1"/>
    <col min="13" max="16384" width="9.42578125" style="1"/>
  </cols>
  <sheetData>
    <row r="1" spans="2:14" ht="9.6" customHeight="1" thickBot="1" x14ac:dyDescent="0.45">
      <c r="B1" s="85"/>
      <c r="C1" s="86"/>
      <c r="D1" s="85"/>
      <c r="E1" s="85"/>
      <c r="F1" s="85"/>
      <c r="G1" s="85"/>
      <c r="H1" s="85"/>
      <c r="I1" s="85"/>
      <c r="J1" s="85"/>
      <c r="K1" s="85"/>
      <c r="L1" s="85"/>
      <c r="M1" s="101"/>
      <c r="N1" s="101"/>
    </row>
    <row r="2" spans="2:14" ht="18.75" thickTop="1" x14ac:dyDescent="0.4">
      <c r="B2" s="102" t="str">
        <f>'A1'!F3</f>
        <v>WB Santa Cruz</v>
      </c>
      <c r="C2" s="89"/>
      <c r="D2" s="89"/>
      <c r="E2" s="89"/>
      <c r="F2" s="89"/>
      <c r="G2" s="89"/>
      <c r="H2" s="103"/>
      <c r="I2" s="583" t="str">
        <f>IF(MainOutline!H2=2,"","Set Outline Toggle to Management Report!")</f>
        <v>Set Outline Toggle to Management Report!</v>
      </c>
      <c r="J2" s="89"/>
      <c r="K2" s="89"/>
      <c r="L2" s="89"/>
      <c r="M2" s="101"/>
      <c r="N2" s="101"/>
    </row>
    <row r="3" spans="2:14" ht="18.75" thickBot="1" x14ac:dyDescent="0.45">
      <c r="B3" s="104" t="s">
        <v>17</v>
      </c>
      <c r="C3" s="97"/>
      <c r="D3" s="97"/>
      <c r="E3" s="97"/>
      <c r="F3" s="97"/>
      <c r="G3" s="97"/>
      <c r="H3" s="97"/>
      <c r="I3" s="97"/>
      <c r="J3" s="97"/>
      <c r="K3" s="97"/>
      <c r="L3" s="97"/>
      <c r="M3" s="101"/>
      <c r="N3" s="101"/>
    </row>
    <row r="4" spans="2:14" ht="18.75" thickTop="1" x14ac:dyDescent="0.4">
      <c r="B4" s="105"/>
      <c r="J4" s="173"/>
      <c r="M4" s="101"/>
      <c r="N4" s="101"/>
    </row>
    <row r="5" spans="2:14" s="101" customFormat="1" ht="17.25" x14ac:dyDescent="0.4">
      <c r="I5" s="101" t="s">
        <v>6</v>
      </c>
      <c r="J5" s="173"/>
    </row>
    <row r="6" spans="2:14" x14ac:dyDescent="0.25">
      <c r="B6" s="106" t="str">
        <f>MainOutline!B19</f>
        <v>Section M</v>
      </c>
      <c r="C6" s="106"/>
      <c r="D6" s="107" t="str">
        <f>MainOutline!D19</f>
        <v>Management Review</v>
      </c>
      <c r="E6" s="106"/>
      <c r="F6" s="106"/>
      <c r="I6" s="173"/>
      <c r="J6" s="173"/>
    </row>
    <row r="7" spans="2:14" x14ac:dyDescent="0.25">
      <c r="C7" s="1" t="str">
        <f>MainOutline!C20</f>
        <v>Exhibit M1</v>
      </c>
      <c r="D7" s="81" t="str">
        <f>MainOutline!D20</f>
        <v>Project Overview</v>
      </c>
      <c r="I7" s="173">
        <f>MainOutline!I20</f>
        <v>9</v>
      </c>
      <c r="J7" s="173"/>
    </row>
    <row r="8" spans="2:14" x14ac:dyDescent="0.25">
      <c r="C8" s="1" t="str">
        <f>MainOutline!C21</f>
        <v>Exhibit M2</v>
      </c>
      <c r="D8" s="81" t="str">
        <f>MainOutline!D21</f>
        <v>Network Statistics</v>
      </c>
      <c r="I8" s="173">
        <f>MainOutline!I21</f>
        <v>10</v>
      </c>
      <c r="J8" s="173"/>
    </row>
    <row r="9" spans="2:14" x14ac:dyDescent="0.25">
      <c r="C9" s="1" t="str">
        <f>MainOutline!C22</f>
        <v>Exhibit M3</v>
      </c>
      <c r="D9" s="81" t="str">
        <f>MainOutline!D22</f>
        <v>Operating Financial Summary</v>
      </c>
      <c r="I9" s="173">
        <f>MainOutline!I22</f>
        <v>11</v>
      </c>
      <c r="J9" s="173"/>
    </row>
    <row r="10" spans="2:14" x14ac:dyDescent="0.25">
      <c r="C10" s="1" t="str">
        <f>MainOutline!C23</f>
        <v>Exhibit M4</v>
      </c>
      <c r="D10" s="81" t="str">
        <f>MainOutline!D23</f>
        <v>Financial Summary and Results</v>
      </c>
      <c r="I10" s="173">
        <f>MainOutline!I23</f>
        <v>12</v>
      </c>
      <c r="J10" s="173"/>
    </row>
    <row r="11" spans="2:14" x14ac:dyDescent="0.25">
      <c r="C11" s="1" t="str">
        <f>MainOutline!C24</f>
        <v>Exhibit M5</v>
      </c>
      <c r="D11" s="81" t="str">
        <f>MainOutline!D24</f>
        <v>Scensitivity and Scenario Analysis</v>
      </c>
      <c r="I11" s="173">
        <f>MainOutline!I24</f>
        <v>13</v>
      </c>
      <c r="J11" s="173"/>
    </row>
    <row r="12" spans="2:14" x14ac:dyDescent="0.25">
      <c r="D12" s="81"/>
      <c r="I12" s="173"/>
      <c r="J12" s="173"/>
    </row>
    <row r="13" spans="2:14" x14ac:dyDescent="0.25">
      <c r="B13" s="106" t="str">
        <f>MainOutline!B32</f>
        <v>Appendix A</v>
      </c>
      <c r="C13" s="106"/>
      <c r="D13" s="107" t="s">
        <v>7</v>
      </c>
      <c r="E13" s="106"/>
      <c r="F13" s="106"/>
      <c r="I13" s="173"/>
      <c r="J13" s="173"/>
    </row>
    <row r="14" spans="2:14" x14ac:dyDescent="0.25">
      <c r="C14" s="1" t="str">
        <f>MainOutline!C33</f>
        <v>Appendix A1</v>
      </c>
      <c r="D14" s="81" t="str">
        <f>ApndxA1!$B$4</f>
        <v>Summary Income Statement</v>
      </c>
      <c r="I14" s="173">
        <f>MainOutline!I33</f>
        <v>18</v>
      </c>
      <c r="J14" s="173"/>
    </row>
    <row r="15" spans="2:14" x14ac:dyDescent="0.25">
      <c r="C15" s="1" t="str">
        <f>MainOutline!C34</f>
        <v>Appendix A2</v>
      </c>
      <c r="D15" s="81" t="str">
        <f>ApndxA2!$B$4</f>
        <v>Summary Balance Sheet</v>
      </c>
      <c r="I15" s="173">
        <f>MainOutline!I34</f>
        <v>19</v>
      </c>
      <c r="J15" s="173"/>
    </row>
    <row r="16" spans="2:14" x14ac:dyDescent="0.25">
      <c r="C16" s="1" t="str">
        <f>MainOutline!C35</f>
        <v>Appendix A3</v>
      </c>
      <c r="D16" s="81" t="str">
        <f>ApndxA3!$B$4</f>
        <v>Summary Statement of Cash Flows</v>
      </c>
      <c r="I16" s="173">
        <f>MainOutline!I35</f>
        <v>20</v>
      </c>
      <c r="J16" s="173"/>
    </row>
    <row r="17" spans="2:10" x14ac:dyDescent="0.25">
      <c r="D17" s="81"/>
      <c r="I17" s="173"/>
      <c r="J17" s="173"/>
    </row>
    <row r="18" spans="2:10" x14ac:dyDescent="0.25">
      <c r="B18" s="106" t="str">
        <f>MainOutline!B37</f>
        <v>Appendix B</v>
      </c>
      <c r="C18" s="106"/>
      <c r="D18" s="107" t="str">
        <f>MainOutline!D37</f>
        <v>Detailed Financial Statements</v>
      </c>
      <c r="E18" s="106"/>
      <c r="F18" s="106"/>
      <c r="I18" s="173"/>
      <c r="J18" s="173"/>
    </row>
    <row r="19" spans="2:10" x14ac:dyDescent="0.25">
      <c r="C19" s="1" t="str">
        <f>MainOutline!C38</f>
        <v>Appendix B1</v>
      </c>
      <c r="D19" s="81" t="str">
        <f>MainOutline!D38</f>
        <v>Operating Income Statement</v>
      </c>
      <c r="I19" s="173">
        <f>MainOutline!I38</f>
        <v>21</v>
      </c>
      <c r="J19" s="173"/>
    </row>
    <row r="20" spans="2:10" x14ac:dyDescent="0.25">
      <c r="C20" s="1" t="str">
        <f>MainOutline!C39</f>
        <v>Appendix B2</v>
      </c>
      <c r="D20" s="81" t="str">
        <f>MainOutline!D39</f>
        <v>Oper. Inc. St. (per treatment)</v>
      </c>
      <c r="I20" s="173">
        <f>MainOutline!I39</f>
        <v>23</v>
      </c>
      <c r="J20" s="173"/>
    </row>
    <row r="21" spans="2:10" x14ac:dyDescent="0.25">
      <c r="C21" s="1" t="str">
        <f>MainOutline!C40</f>
        <v>Appendix B3</v>
      </c>
      <c r="D21" s="81" t="str">
        <f>MainOutline!D40</f>
        <v>Operating Balance Sheet</v>
      </c>
      <c r="I21" s="173">
        <f>MainOutline!I40</f>
        <v>25</v>
      </c>
      <c r="J21" s="173"/>
    </row>
    <row r="22" spans="2:10" x14ac:dyDescent="0.25">
      <c r="C22" s="1" t="str">
        <f>MainOutline!C41</f>
        <v>Appendix B4</v>
      </c>
      <c r="D22" s="81" t="str">
        <f>MainOutline!D41</f>
        <v>Operating Cash Flows</v>
      </c>
      <c r="I22" s="173">
        <f>MainOutline!I41</f>
        <v>27</v>
      </c>
      <c r="J22" s="173"/>
    </row>
    <row r="23" spans="2:10" x14ac:dyDescent="0.25">
      <c r="C23" s="1" t="str">
        <f>MainOutline!C42</f>
        <v>Appendix B5</v>
      </c>
      <c r="D23" s="81" t="str">
        <f>MainOutline!D42</f>
        <v>Financial Statements - Prebuild Phase</v>
      </c>
      <c r="I23" s="173">
        <f>MainOutline!I42</f>
        <v>29</v>
      </c>
      <c r="J23" s="173"/>
    </row>
    <row r="24" spans="2:10" x14ac:dyDescent="0.25">
      <c r="C24" s="1" t="str">
        <f>MainOutline!C43</f>
        <v>Appendix B6</v>
      </c>
      <c r="D24" s="81" t="str">
        <f>MainOutline!D43</f>
        <v>Financial Statements - Licensing &amp; Permit Phase</v>
      </c>
      <c r="I24" s="173">
        <f>MainOutline!I43</f>
        <v>30</v>
      </c>
      <c r="J24" s="173"/>
    </row>
    <row r="25" spans="2:10" x14ac:dyDescent="0.25">
      <c r="D25" s="81"/>
      <c r="J25" s="173"/>
    </row>
    <row r="26" spans="2:10" x14ac:dyDescent="0.25">
      <c r="B26" s="106" t="str">
        <f>MainOutline!B45</f>
        <v>Appendix C</v>
      </c>
      <c r="C26" s="106"/>
      <c r="D26" s="107" t="s">
        <v>530</v>
      </c>
      <c r="E26" s="106"/>
      <c r="F26" s="106"/>
      <c r="I26" s="173"/>
      <c r="J26" s="173"/>
    </row>
    <row r="27" spans="2:10" x14ac:dyDescent="0.25">
      <c r="C27" s="1" t="str">
        <f>MainOutline!C46</f>
        <v>Appendix C1</v>
      </c>
      <c r="D27" s="81" t="str">
        <f>MainOutline!D46</f>
        <v>Hemo Dialysis [In Center] Revenues</v>
      </c>
      <c r="I27" s="173">
        <f>MainOutline!I46</f>
        <v>31</v>
      </c>
      <c r="J27" s="173"/>
    </row>
    <row r="28" spans="2:10" x14ac:dyDescent="0.25">
      <c r="C28" s="1" t="str">
        <f>MainOutline!C47</f>
        <v>Appendix C2</v>
      </c>
      <c r="D28" s="81" t="str">
        <f>MainOutline!D47</f>
        <v>Hemo Dialysis [Nocturnal] Revenues</v>
      </c>
      <c r="I28" s="173">
        <f>MainOutline!I47</f>
        <v>32</v>
      </c>
      <c r="J28" s="173"/>
    </row>
    <row r="29" spans="2:10" x14ac:dyDescent="0.25">
      <c r="C29" s="1" t="str">
        <f>MainOutline!C48</f>
        <v>Appendix C3</v>
      </c>
      <c r="D29" s="81" t="str">
        <f>MainOutline!D48</f>
        <v>Home Dialysis [Peritoneal] Revenues</v>
      </c>
      <c r="I29" s="173">
        <f>MainOutline!I48</f>
        <v>33</v>
      </c>
      <c r="J29" s="173"/>
    </row>
    <row r="30" spans="2:10" x14ac:dyDescent="0.25">
      <c r="C30" s="1" t="str">
        <f>MainOutline!C49</f>
        <v>Appendix C4</v>
      </c>
      <c r="D30" s="81" t="str">
        <f>MainOutline!D49</f>
        <v>Home Dialysis [Hemo Dialysis] Revenues</v>
      </c>
      <c r="I30" s="173">
        <f>MainOutline!I49</f>
        <v>34</v>
      </c>
      <c r="J30" s="173"/>
    </row>
    <row r="31" spans="2:10" x14ac:dyDescent="0.25">
      <c r="C31" s="1" t="str">
        <f>MainOutline!C50</f>
        <v>Appendix C5</v>
      </c>
      <c r="D31" s="81" t="str">
        <f>MainOutline!D50</f>
        <v>Acute Care Revenues</v>
      </c>
      <c r="I31" s="173">
        <f>MainOutline!I50</f>
        <v>35</v>
      </c>
      <c r="J31" s="173"/>
    </row>
    <row r="32" spans="2:10" x14ac:dyDescent="0.25">
      <c r="C32" s="1" t="str">
        <f>MainOutline!C51</f>
        <v>Appendix C6</v>
      </c>
      <c r="D32" s="81" t="str">
        <f>MainOutline!D51</f>
        <v>Commercial Mix Change</v>
      </c>
      <c r="I32" s="173">
        <f>MainOutline!I51</f>
        <v>36</v>
      </c>
      <c r="J32" s="173"/>
    </row>
    <row r="33" spans="2:10" x14ac:dyDescent="0.25">
      <c r="C33" s="1" t="str">
        <f>MainOutline!C52</f>
        <v>Appendix C7</v>
      </c>
      <c r="D33" s="81" t="str">
        <f>MainOutline!D52</f>
        <v>Cost of Service</v>
      </c>
      <c r="I33" s="173">
        <f>MainOutline!I52</f>
        <v>37</v>
      </c>
      <c r="J33" s="173"/>
    </row>
    <row r="34" spans="2:10" x14ac:dyDescent="0.25">
      <c r="C34" s="1" t="str">
        <f>MainOutline!C53</f>
        <v>Appendix C8</v>
      </c>
      <c r="D34" s="81" t="str">
        <f>MainOutline!D53</f>
        <v>Staffing Costs</v>
      </c>
      <c r="I34" s="173">
        <f>MainOutline!I53</f>
        <v>38</v>
      </c>
      <c r="J34" s="173"/>
    </row>
    <row r="35" spans="2:10" x14ac:dyDescent="0.25">
      <c r="C35" s="1" t="str">
        <f>MainOutline!C54</f>
        <v>Appendix C9</v>
      </c>
      <c r="D35" s="81" t="str">
        <f>MainOutline!D54</f>
        <v>Operating Costs</v>
      </c>
      <c r="I35" s="173">
        <f>MainOutline!I54</f>
        <v>39</v>
      </c>
      <c r="J35" s="173"/>
    </row>
    <row r="36" spans="2:10" x14ac:dyDescent="0.25">
      <c r="C36" s="1" t="str">
        <f>MainOutline!C55</f>
        <v>Appendix C10</v>
      </c>
      <c r="D36" s="81" t="str">
        <f>MainOutline!D55</f>
        <v>Capital Expenditures and Depreciation</v>
      </c>
      <c r="I36" s="173">
        <f>MainOutline!I55</f>
        <v>40</v>
      </c>
      <c r="J36" s="173"/>
    </row>
    <row r="37" spans="2:10" x14ac:dyDescent="0.25">
      <c r="C37" s="1" t="str">
        <f>MainOutline!C56</f>
        <v>Appendix C11</v>
      </c>
      <c r="D37" s="81" t="str">
        <f>MainOutline!D56</f>
        <v>Timing of Clinical Manager Hiring</v>
      </c>
      <c r="I37" s="173">
        <f>MainOutline!I56</f>
        <v>41</v>
      </c>
      <c r="J37" s="173"/>
    </row>
    <row r="38" spans="2:10" x14ac:dyDescent="0.25">
      <c r="C38" s="1" t="str">
        <f>MainOutline!C57</f>
        <v>Appendix C12</v>
      </c>
      <c r="D38" s="81" t="str">
        <f>MainOutline!D57</f>
        <v>Delivery Capacity Limit Estimations</v>
      </c>
      <c r="I38" s="173">
        <f>MainOutline!I57</f>
        <v>42</v>
      </c>
      <c r="J38" s="173"/>
    </row>
    <row r="39" spans="2:10" x14ac:dyDescent="0.25">
      <c r="D39" s="81"/>
      <c r="I39" s="173"/>
      <c r="J39" s="173"/>
    </row>
    <row r="40" spans="2:10" x14ac:dyDescent="0.25">
      <c r="B40" s="106" t="str">
        <f>MainOutline!B59</f>
        <v>Appendix D</v>
      </c>
      <c r="C40" s="106"/>
      <c r="D40" s="107" t="s">
        <v>531</v>
      </c>
      <c r="E40" s="106"/>
      <c r="F40" s="106"/>
      <c r="I40" s="173"/>
      <c r="J40" s="173"/>
    </row>
    <row r="41" spans="2:10" x14ac:dyDescent="0.25">
      <c r="C41" s="1" t="str">
        <f>MainOutline!C60</f>
        <v>Appendix D1</v>
      </c>
      <c r="D41" s="81" t="str">
        <f>MainOutline!D60</f>
        <v>Initial Funding Requirements</v>
      </c>
      <c r="E41" s="106"/>
      <c r="F41" s="106"/>
      <c r="I41" s="173">
        <f>MainOutline!I60</f>
        <v>43</v>
      </c>
      <c r="J41" s="173"/>
    </row>
    <row r="42" spans="2:10" x14ac:dyDescent="0.25">
      <c r="C42" s="1" t="str">
        <f>MainOutline!C61</f>
        <v>Appendix D2</v>
      </c>
      <c r="D42" s="81" t="str">
        <f>MainOutline!D61</f>
        <v>Cash Distributions to Satellite Healthcare</v>
      </c>
      <c r="E42" s="106"/>
      <c r="F42" s="106"/>
      <c r="I42" s="173">
        <f>MainOutline!I61</f>
        <v>44</v>
      </c>
      <c r="J42" s="173"/>
    </row>
    <row r="43" spans="2:10" x14ac:dyDescent="0.25">
      <c r="C43" s="1" t="str">
        <f>MainOutline!C62</f>
        <v>Appendix D3</v>
      </c>
      <c r="D43" s="81" t="str">
        <f>MainOutline!D62</f>
        <v>Debt Financing</v>
      </c>
      <c r="E43" s="106"/>
      <c r="F43" s="106"/>
      <c r="I43" s="173">
        <f>MainOutline!I62</f>
        <v>45</v>
      </c>
      <c r="J43" s="173"/>
    </row>
    <row r="44" spans="2:10" x14ac:dyDescent="0.25">
      <c r="C44" s="1" t="str">
        <f>MainOutline!C63</f>
        <v>Appendix D4</v>
      </c>
      <c r="D44" s="81" t="str">
        <f>MainOutline!D63</f>
        <v>Cost of Capital Analysis</v>
      </c>
      <c r="E44" s="106"/>
      <c r="F44" s="106"/>
      <c r="I44" s="173">
        <f>MainOutline!I63</f>
        <v>46</v>
      </c>
      <c r="J44" s="173"/>
    </row>
    <row r="45" spans="2:10" x14ac:dyDescent="0.25">
      <c r="C45" s="1" t="str">
        <f>MainOutline!C64</f>
        <v>Appendix D5</v>
      </c>
      <c r="D45" s="81" t="str">
        <f>MainOutline!D64</f>
        <v>Valuation of Firm to Satellite Healthcare</v>
      </c>
      <c r="E45" s="106"/>
      <c r="F45" s="106"/>
      <c r="I45" s="173">
        <f>MainOutline!I64</f>
        <v>47</v>
      </c>
      <c r="J45" s="173"/>
    </row>
    <row r="46" spans="2:10" x14ac:dyDescent="0.25">
      <c r="C46" s="1" t="str">
        <f>MainOutline!C65</f>
        <v>Appendix D6</v>
      </c>
      <c r="D46" s="81" t="str">
        <f>MainOutline!D65</f>
        <v>Valuation of Cash Flow Distribution to Satellite Healthcare</v>
      </c>
      <c r="E46" s="106"/>
      <c r="F46" s="106"/>
      <c r="I46" s="173">
        <f>MainOutline!I65</f>
        <v>48</v>
      </c>
      <c r="J46" s="173"/>
    </row>
    <row r="47" spans="2:10" x14ac:dyDescent="0.25">
      <c r="C47" s="1" t="str">
        <f>MainOutline!C66</f>
        <v>Appendix D7</v>
      </c>
      <c r="D47" s="81" t="str">
        <f>MainOutline!D66</f>
        <v>Valuation of Distributions to Partner</v>
      </c>
      <c r="E47" s="106"/>
      <c r="F47" s="106"/>
      <c r="I47" s="173">
        <f>MainOutline!I66</f>
        <v>49</v>
      </c>
      <c r="J47" s="173"/>
    </row>
    <row r="48" spans="2:10" x14ac:dyDescent="0.25">
      <c r="C48" s="1" t="str">
        <f>MainOutline!C67</f>
        <v>Appendix D8</v>
      </c>
      <c r="D48" s="81" t="str">
        <f>MainOutline!D67</f>
        <v>Payback Calculation</v>
      </c>
      <c r="E48" s="106"/>
      <c r="F48" s="106"/>
      <c r="I48" s="173">
        <f>MainOutline!I67</f>
        <v>50</v>
      </c>
      <c r="J48" s="173"/>
    </row>
    <row r="49" spans="10:10" x14ac:dyDescent="0.25">
      <c r="J49" s="173"/>
    </row>
  </sheetData>
  <conditionalFormatting sqref="I7:I11">
    <cfRule type="expression" dxfId="19" priority="5">
      <formula>$H$2=3</formula>
    </cfRule>
  </conditionalFormatting>
  <printOptions horizontalCentered="1"/>
  <pageMargins left="0.7" right="0.7" top="0.5" bottom="0.5" header="0.3" footer="0.3"/>
  <pageSetup scale="71" orientation="landscape" r:id="rId1"/>
  <ignoredErrors>
    <ignoredError sqref="B9:I41 B43:B45 B46:I48 B2:I7" unlockedFormula="1"/>
  </ignoredErrors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>
    <tabColor rgb="FFFF0000"/>
    <pageSetUpPr fitToPage="1"/>
  </sheetPr>
  <dimension ref="A1:M53"/>
  <sheetViews>
    <sheetView showGridLines="0" zoomScale="85" zoomScaleNormal="85" workbookViewId="0"/>
  </sheetViews>
  <sheetFormatPr defaultColWidth="9.42578125" defaultRowHeight="15" x14ac:dyDescent="0.25"/>
  <cols>
    <col min="1" max="1" width="1.5703125" style="1" customWidth="1"/>
    <col min="2" max="13" width="15.42578125" style="1" customWidth="1"/>
    <col min="14" max="16384" width="9.42578125" style="1"/>
  </cols>
  <sheetData>
    <row r="1" spans="1:13" ht="5.0999999999999996" customHeight="1" thickBot="1" x14ac:dyDescent="0.3">
      <c r="C1" s="108"/>
      <c r="D1" s="108"/>
      <c r="E1" s="108"/>
      <c r="F1" s="108"/>
      <c r="G1" s="108"/>
      <c r="H1" s="108"/>
      <c r="I1" s="108"/>
      <c r="J1" s="108"/>
      <c r="K1" s="108"/>
      <c r="L1" s="108"/>
      <c r="M1" s="108"/>
    </row>
    <row r="2" spans="1:13" ht="16.5" thickTop="1" x14ac:dyDescent="0.25">
      <c r="B2" s="110" t="str">
        <f>MainOutline!B2</f>
        <v>WB Santa Cruz</v>
      </c>
      <c r="C2" s="111"/>
      <c r="D2" s="111"/>
      <c r="E2" s="508"/>
      <c r="F2" s="508" t="str">
        <f>'A1'!$C$90</f>
        <v>Acquisition of an existing facility</v>
      </c>
      <c r="G2" s="111"/>
      <c r="H2" s="111"/>
      <c r="I2" s="111"/>
      <c r="J2" s="111"/>
      <c r="K2" s="111"/>
      <c r="L2" s="111"/>
      <c r="M2" s="1409">
        <f>$A$3</f>
        <v>9</v>
      </c>
    </row>
    <row r="3" spans="1:13" ht="15.75" x14ac:dyDescent="0.25">
      <c r="A3" s="123">
        <f>MainOutline!B20</f>
        <v>9</v>
      </c>
      <c r="B3" s="102" t="str">
        <f>MainOutline!C20</f>
        <v>Exhibit M1</v>
      </c>
      <c r="C3" s="89"/>
      <c r="D3" s="89"/>
      <c r="E3" s="89"/>
      <c r="F3" s="89"/>
      <c r="G3" s="89"/>
      <c r="H3" s="89"/>
      <c r="I3" s="89"/>
      <c r="J3" s="89"/>
      <c r="K3" s="89"/>
      <c r="L3" s="89"/>
      <c r="M3" s="89"/>
    </row>
    <row r="4" spans="1:13" ht="16.5" thickBot="1" x14ac:dyDescent="0.3">
      <c r="B4" s="104" t="s">
        <v>52</v>
      </c>
      <c r="C4" s="97"/>
      <c r="D4" s="97"/>
      <c r="E4" s="97"/>
      <c r="F4" s="97"/>
      <c r="G4" s="97"/>
      <c r="H4" s="97"/>
      <c r="I4" s="97"/>
      <c r="J4" s="97"/>
      <c r="K4" s="97"/>
      <c r="L4" s="97"/>
      <c r="M4" s="138" t="s">
        <v>19</v>
      </c>
    </row>
    <row r="5" spans="1:13" ht="16.5" thickTop="1" thickBot="1" x14ac:dyDescent="0.3"/>
    <row r="6" spans="1:13" ht="24.75" thickTop="1" thickBot="1" x14ac:dyDescent="0.65">
      <c r="B6" s="584" t="s">
        <v>68</v>
      </c>
      <c r="C6" s="585"/>
      <c r="D6" s="585"/>
      <c r="E6" s="585"/>
      <c r="F6" s="585"/>
      <c r="G6" s="585"/>
      <c r="H6" s="585"/>
      <c r="I6" s="585"/>
      <c r="J6" s="585"/>
      <c r="K6" s="585"/>
      <c r="L6" s="585"/>
      <c r="M6" s="586"/>
    </row>
    <row r="7" spans="1:13" s="587" customFormat="1" ht="20.25" x14ac:dyDescent="0.55000000000000004">
      <c r="B7" s="588" t="s">
        <v>33</v>
      </c>
      <c r="C7" s="589"/>
      <c r="D7" s="589"/>
      <c r="E7" s="590"/>
      <c r="F7" s="589"/>
      <c r="G7" s="591"/>
      <c r="H7" s="592" t="s">
        <v>50</v>
      </c>
      <c r="I7" s="589"/>
      <c r="J7" s="589"/>
      <c r="K7" s="589"/>
      <c r="L7" s="589"/>
      <c r="M7" s="593"/>
    </row>
    <row r="8" spans="1:13" s="594" customFormat="1" ht="15.75" x14ac:dyDescent="0.25">
      <c r="B8" s="1727" t="s">
        <v>87</v>
      </c>
      <c r="C8" s="1725"/>
      <c r="D8" s="1725"/>
      <c r="E8" s="1725"/>
      <c r="F8" s="1725"/>
      <c r="G8" s="1728"/>
      <c r="H8" s="1729" t="s">
        <v>35</v>
      </c>
      <c r="I8" s="1725"/>
      <c r="J8" s="1725"/>
      <c r="K8" s="1725"/>
      <c r="L8" s="1725"/>
      <c r="M8" s="1726"/>
    </row>
    <row r="9" spans="1:13" s="594" customFormat="1" ht="14.1" customHeight="1" x14ac:dyDescent="0.25">
      <c r="B9" s="1727"/>
      <c r="C9" s="1725"/>
      <c r="D9" s="1725"/>
      <c r="E9" s="1725"/>
      <c r="F9" s="1725"/>
      <c r="G9" s="1728"/>
      <c r="H9" s="1729" t="s">
        <v>36</v>
      </c>
      <c r="I9" s="1725"/>
      <c r="J9" s="1725"/>
      <c r="K9" s="1725"/>
      <c r="L9" s="1725"/>
      <c r="M9" s="1726"/>
    </row>
    <row r="10" spans="1:13" s="594" customFormat="1" ht="14.1" customHeight="1" x14ac:dyDescent="0.25">
      <c r="B10" s="1727"/>
      <c r="C10" s="1725"/>
      <c r="D10" s="1725"/>
      <c r="E10" s="1725"/>
      <c r="F10" s="1725"/>
      <c r="G10" s="1728"/>
      <c r="H10" s="1729" t="s">
        <v>53</v>
      </c>
      <c r="I10" s="1725"/>
      <c r="J10" s="1725"/>
      <c r="K10" s="1725"/>
      <c r="L10" s="1725"/>
      <c r="M10" s="1726"/>
    </row>
    <row r="11" spans="1:13" s="594" customFormat="1" ht="14.1" customHeight="1" x14ac:dyDescent="0.25">
      <c r="B11" s="1727"/>
      <c r="C11" s="1725"/>
      <c r="D11" s="1725"/>
      <c r="E11" s="1725"/>
      <c r="F11" s="1725"/>
      <c r="G11" s="1728"/>
      <c r="H11" s="1729"/>
      <c r="I11" s="1725"/>
      <c r="J11" s="1725"/>
      <c r="K11" s="1725"/>
      <c r="L11" s="1725"/>
      <c r="M11" s="1726"/>
    </row>
    <row r="12" spans="1:13" s="594" customFormat="1" ht="14.1" customHeight="1" x14ac:dyDescent="0.25">
      <c r="B12" s="1727"/>
      <c r="C12" s="1725"/>
      <c r="D12" s="1725"/>
      <c r="E12" s="1725"/>
      <c r="F12" s="1725"/>
      <c r="G12" s="1728"/>
      <c r="H12" s="1729"/>
      <c r="I12" s="1725"/>
      <c r="J12" s="1725"/>
      <c r="K12" s="1725"/>
      <c r="L12" s="1725"/>
      <c r="M12" s="1726"/>
    </row>
    <row r="13" spans="1:13" s="594" customFormat="1" ht="14.1" customHeight="1" x14ac:dyDescent="0.25">
      <c r="B13" s="1727"/>
      <c r="C13" s="1725"/>
      <c r="D13" s="1725"/>
      <c r="E13" s="1725"/>
      <c r="F13" s="1725"/>
      <c r="G13" s="1728"/>
      <c r="H13" s="1729"/>
      <c r="I13" s="1725"/>
      <c r="J13" s="1725"/>
      <c r="K13" s="1725"/>
      <c r="L13" s="1725"/>
      <c r="M13" s="1726"/>
    </row>
    <row r="14" spans="1:13" s="594" customFormat="1" ht="14.1" customHeight="1" x14ac:dyDescent="0.25">
      <c r="B14" s="1727"/>
      <c r="C14" s="1725"/>
      <c r="D14" s="1725"/>
      <c r="E14" s="1725"/>
      <c r="F14" s="1725"/>
      <c r="G14" s="1728"/>
      <c r="H14" s="1729"/>
      <c r="I14" s="1725"/>
      <c r="J14" s="1725"/>
      <c r="K14" s="1725"/>
      <c r="L14" s="1725"/>
      <c r="M14" s="1726"/>
    </row>
    <row r="15" spans="1:13" s="594" customFormat="1" ht="14.1" customHeight="1" x14ac:dyDescent="0.25">
      <c r="B15" s="1727"/>
      <c r="C15" s="1725"/>
      <c r="D15" s="1725"/>
      <c r="E15" s="1725"/>
      <c r="F15" s="1725"/>
      <c r="G15" s="1728"/>
      <c r="H15" s="1729"/>
      <c r="I15" s="1725"/>
      <c r="J15" s="1725"/>
      <c r="K15" s="1725"/>
      <c r="L15" s="1725"/>
      <c r="M15" s="1726"/>
    </row>
    <row r="16" spans="1:13" s="594" customFormat="1" ht="16.5" thickBot="1" x14ac:dyDescent="0.3">
      <c r="B16" s="595"/>
      <c r="C16" s="596"/>
      <c r="D16" s="596"/>
      <c r="E16" s="597"/>
      <c r="F16" s="597"/>
      <c r="G16" s="598"/>
      <c r="H16" s="599"/>
      <c r="I16" s="596"/>
      <c r="J16" s="596"/>
      <c r="K16" s="597"/>
      <c r="L16" s="597"/>
      <c r="M16" s="600"/>
    </row>
    <row r="17" spans="2:13" s="587" customFormat="1" ht="20.25" x14ac:dyDescent="0.55000000000000004">
      <c r="B17" s="588" t="s">
        <v>51</v>
      </c>
      <c r="C17" s="589"/>
      <c r="D17" s="589"/>
      <c r="E17" s="590"/>
      <c r="F17" s="589"/>
      <c r="G17" s="591"/>
      <c r="H17" s="601" t="s">
        <v>34</v>
      </c>
      <c r="I17" s="602"/>
      <c r="J17" s="602"/>
      <c r="K17" s="602"/>
      <c r="L17" s="602"/>
      <c r="M17" s="603"/>
    </row>
    <row r="18" spans="2:13" s="594" customFormat="1" ht="14.1" customHeight="1" x14ac:dyDescent="0.25">
      <c r="B18" s="1727" t="s">
        <v>54</v>
      </c>
      <c r="C18" s="1725"/>
      <c r="D18" s="1725"/>
      <c r="E18" s="1725"/>
      <c r="F18" s="1725"/>
      <c r="G18" s="1728"/>
      <c r="H18" s="1725" t="s">
        <v>61</v>
      </c>
      <c r="I18" s="1725"/>
      <c r="J18" s="1725"/>
      <c r="K18" s="1725"/>
      <c r="L18" s="1725"/>
      <c r="M18" s="1726"/>
    </row>
    <row r="19" spans="2:13" s="594" customFormat="1" ht="14.1" customHeight="1" x14ac:dyDescent="0.25">
      <c r="B19" s="1727" t="s">
        <v>55</v>
      </c>
      <c r="C19" s="1725"/>
      <c r="D19" s="1725"/>
      <c r="E19" s="1725"/>
      <c r="F19" s="1725"/>
      <c r="G19" s="1728"/>
      <c r="H19" s="1725" t="s">
        <v>62</v>
      </c>
      <c r="I19" s="1725"/>
      <c r="J19" s="1725"/>
      <c r="K19" s="1725"/>
      <c r="L19" s="1725"/>
      <c r="M19" s="1726"/>
    </row>
    <row r="20" spans="2:13" s="594" customFormat="1" ht="15.75" x14ac:dyDescent="0.25">
      <c r="B20" s="1727"/>
      <c r="C20" s="1725"/>
      <c r="D20" s="1725"/>
      <c r="E20" s="1725"/>
      <c r="F20" s="1725"/>
      <c r="G20" s="1728"/>
      <c r="H20" s="1725" t="s">
        <v>60</v>
      </c>
      <c r="I20" s="1725"/>
      <c r="J20" s="1725"/>
      <c r="K20" s="1725"/>
      <c r="L20" s="1725"/>
      <c r="M20" s="1726"/>
    </row>
    <row r="21" spans="2:13" s="594" customFormat="1" ht="14.1" customHeight="1" x14ac:dyDescent="0.25">
      <c r="B21" s="1727"/>
      <c r="C21" s="1725"/>
      <c r="D21" s="1725"/>
      <c r="E21" s="1725"/>
      <c r="F21" s="1725"/>
      <c r="G21" s="1728"/>
      <c r="H21" s="1725"/>
      <c r="I21" s="1725"/>
      <c r="J21" s="1725"/>
      <c r="K21" s="1725"/>
      <c r="L21" s="1725"/>
      <c r="M21" s="1726"/>
    </row>
    <row r="22" spans="2:13" s="594" customFormat="1" ht="14.1" customHeight="1" x14ac:dyDescent="0.25">
      <c r="B22" s="1727"/>
      <c r="C22" s="1725"/>
      <c r="D22" s="1725"/>
      <c r="E22" s="1725"/>
      <c r="F22" s="1725"/>
      <c r="G22" s="1728"/>
      <c r="H22" s="1725"/>
      <c r="I22" s="1725"/>
      <c r="J22" s="1725"/>
      <c r="K22" s="1725"/>
      <c r="L22" s="1725"/>
      <c r="M22" s="1726"/>
    </row>
    <row r="23" spans="2:13" s="594" customFormat="1" ht="14.1" customHeight="1" x14ac:dyDescent="0.25">
      <c r="B23" s="1727"/>
      <c r="C23" s="1725"/>
      <c r="D23" s="1725"/>
      <c r="E23" s="1725"/>
      <c r="F23" s="1725"/>
      <c r="G23" s="1728"/>
      <c r="H23" s="1725"/>
      <c r="I23" s="1725"/>
      <c r="J23" s="1725"/>
      <c r="K23" s="1725"/>
      <c r="L23" s="1725"/>
      <c r="M23" s="1726"/>
    </row>
    <row r="24" spans="2:13" s="594" customFormat="1" ht="14.1" customHeight="1" x14ac:dyDescent="0.25">
      <c r="B24" s="1727"/>
      <c r="C24" s="1725"/>
      <c r="D24" s="1725"/>
      <c r="E24" s="1725"/>
      <c r="F24" s="1725"/>
      <c r="G24" s="1728"/>
      <c r="H24" s="1725"/>
      <c r="I24" s="1725"/>
      <c r="J24" s="1725"/>
      <c r="K24" s="1725"/>
      <c r="L24" s="1725"/>
      <c r="M24" s="1726"/>
    </row>
    <row r="25" spans="2:13" s="594" customFormat="1" ht="14.1" customHeight="1" x14ac:dyDescent="0.25">
      <c r="B25" s="1727"/>
      <c r="C25" s="1725"/>
      <c r="D25" s="1725"/>
      <c r="E25" s="1725"/>
      <c r="F25" s="1725"/>
      <c r="G25" s="1728"/>
      <c r="H25" s="1725"/>
      <c r="I25" s="1725"/>
      <c r="J25" s="1725"/>
      <c r="K25" s="1725"/>
      <c r="L25" s="1725"/>
      <c r="M25" s="1726"/>
    </row>
    <row r="26" spans="2:13" s="594" customFormat="1" ht="16.5" thickBot="1" x14ac:dyDescent="0.3">
      <c r="B26" s="604"/>
      <c r="C26" s="605"/>
      <c r="D26" s="605"/>
      <c r="E26" s="606"/>
      <c r="F26" s="606"/>
      <c r="G26" s="607"/>
      <c r="H26" s="605"/>
      <c r="I26" s="605"/>
      <c r="J26" s="605"/>
      <c r="K26" s="606"/>
      <c r="L26" s="606"/>
      <c r="M26" s="608"/>
    </row>
    <row r="27" spans="2:13" s="594" customFormat="1" ht="17.25" thickTop="1" thickBot="1" x14ac:dyDescent="0.3">
      <c r="E27" s="609"/>
      <c r="F27" s="609"/>
      <c r="G27" s="609"/>
      <c r="K27" s="609"/>
      <c r="L27" s="609"/>
      <c r="M27" s="609"/>
    </row>
    <row r="28" spans="2:13" s="613" customFormat="1" ht="24" thickBot="1" x14ac:dyDescent="0.65">
      <c r="B28" s="610" t="s">
        <v>69</v>
      </c>
      <c r="C28" s="611"/>
      <c r="D28" s="611"/>
      <c r="E28" s="611"/>
      <c r="F28" s="611"/>
      <c r="G28" s="611"/>
      <c r="H28" s="611"/>
      <c r="I28" s="611"/>
      <c r="J28" s="611"/>
      <c r="K28" s="611"/>
      <c r="L28" s="611"/>
      <c r="M28" s="612"/>
    </row>
    <row r="29" spans="2:13" ht="17.25" x14ac:dyDescent="0.4">
      <c r="B29" s="614" t="s">
        <v>57</v>
      </c>
      <c r="C29" s="615"/>
      <c r="D29" s="615"/>
      <c r="E29" s="615"/>
      <c r="F29" s="615"/>
      <c r="G29" s="616"/>
      <c r="H29" s="617" t="s">
        <v>46</v>
      </c>
      <c r="I29" s="615"/>
      <c r="J29" s="615"/>
      <c r="K29" s="615"/>
      <c r="L29" s="615"/>
      <c r="M29" s="616"/>
    </row>
    <row r="30" spans="2:13" x14ac:dyDescent="0.25">
      <c r="B30" s="618"/>
      <c r="G30" s="151"/>
      <c r="H30" s="619"/>
      <c r="M30" s="151"/>
    </row>
    <row r="31" spans="2:13" x14ac:dyDescent="0.25">
      <c r="B31" s="296"/>
      <c r="G31" s="151"/>
      <c r="H31" s="619"/>
      <c r="M31" s="151"/>
    </row>
    <row r="32" spans="2:13" x14ac:dyDescent="0.25">
      <c r="B32" s="296"/>
      <c r="G32" s="151"/>
      <c r="H32" s="619"/>
      <c r="M32" s="151"/>
    </row>
    <row r="33" spans="2:13" x14ac:dyDescent="0.25">
      <c r="B33" s="296"/>
      <c r="G33" s="151"/>
      <c r="H33" s="81"/>
      <c r="M33" s="151"/>
    </row>
    <row r="34" spans="2:13" x14ac:dyDescent="0.25">
      <c r="B34" s="296"/>
      <c r="C34" s="81"/>
      <c r="D34" s="81"/>
      <c r="G34" s="151"/>
      <c r="H34" s="81"/>
      <c r="M34" s="151"/>
    </row>
    <row r="35" spans="2:13" ht="15.75" thickBot="1" x14ac:dyDescent="0.3">
      <c r="B35" s="430"/>
      <c r="C35" s="366"/>
      <c r="D35" s="366"/>
      <c r="E35" s="257"/>
      <c r="F35" s="257"/>
      <c r="G35" s="258"/>
      <c r="H35" s="366"/>
      <c r="I35" s="257"/>
      <c r="J35" s="257"/>
      <c r="K35" s="257"/>
      <c r="L35" s="257"/>
      <c r="M35" s="258"/>
    </row>
    <row r="36" spans="2:13" ht="15.75" thickBot="1" x14ac:dyDescent="0.3"/>
    <row r="37" spans="2:13" s="384" customFormat="1" ht="18.75" x14ac:dyDescent="0.3">
      <c r="B37" s="620" t="s">
        <v>234</v>
      </c>
      <c r="C37" s="621"/>
      <c r="D37" s="621"/>
      <c r="E37" s="622"/>
      <c r="F37" s="623" t="s">
        <v>433</v>
      </c>
      <c r="G37" s="621"/>
      <c r="H37" s="621"/>
      <c r="I37" s="622"/>
      <c r="J37" s="623" t="s">
        <v>901</v>
      </c>
      <c r="K37" s="621"/>
      <c r="L37" s="624"/>
      <c r="M37" s="625"/>
    </row>
    <row r="38" spans="2:13" x14ac:dyDescent="0.25">
      <c r="B38" s="626"/>
      <c r="C38" s="305"/>
      <c r="D38" s="305"/>
      <c r="E38" s="214"/>
      <c r="F38" s="627"/>
      <c r="G38" s="305"/>
      <c r="H38" s="305"/>
      <c r="I38" s="214"/>
      <c r="J38" s="628"/>
      <c r="K38" s="305"/>
      <c r="L38" s="305"/>
      <c r="M38" s="208"/>
    </row>
    <row r="39" spans="2:13" x14ac:dyDescent="0.25">
      <c r="B39" s="626"/>
      <c r="C39" s="305"/>
      <c r="D39" s="305"/>
      <c r="E39" s="214"/>
      <c r="F39" s="627"/>
      <c r="G39" s="305"/>
      <c r="H39" s="305"/>
      <c r="I39" s="214"/>
      <c r="J39" s="627"/>
      <c r="K39" s="305"/>
      <c r="L39" s="305"/>
      <c r="M39" s="208"/>
    </row>
    <row r="40" spans="2:13" x14ac:dyDescent="0.25">
      <c r="B40" s="626"/>
      <c r="C40" s="305"/>
      <c r="D40" s="305"/>
      <c r="E40" s="214"/>
      <c r="F40" s="627"/>
      <c r="G40" s="305"/>
      <c r="H40" s="305"/>
      <c r="I40" s="214"/>
      <c r="J40" s="627"/>
      <c r="K40" s="305"/>
      <c r="L40" s="305"/>
      <c r="M40" s="208"/>
    </row>
    <row r="41" spans="2:13" x14ac:dyDescent="0.25">
      <c r="B41" s="626"/>
      <c r="C41" s="305"/>
      <c r="D41" s="305"/>
      <c r="E41" s="214"/>
      <c r="F41" s="627"/>
      <c r="G41" s="305"/>
      <c r="H41" s="305"/>
      <c r="I41" s="214"/>
      <c r="J41" s="627"/>
      <c r="K41" s="305"/>
      <c r="L41" s="305"/>
      <c r="M41" s="208"/>
    </row>
    <row r="42" spans="2:13" x14ac:dyDescent="0.25">
      <c r="B42" s="626"/>
      <c r="C42" s="305"/>
      <c r="D42" s="305"/>
      <c r="E42" s="214"/>
      <c r="F42" s="627"/>
      <c r="G42" s="305"/>
      <c r="H42" s="305"/>
      <c r="I42" s="214"/>
      <c r="J42" s="627"/>
      <c r="K42" s="305"/>
      <c r="L42" s="305"/>
      <c r="M42" s="208"/>
    </row>
    <row r="43" spans="2:13" x14ac:dyDescent="0.25">
      <c r="B43" s="626"/>
      <c r="C43" s="305"/>
      <c r="D43" s="305"/>
      <c r="E43" s="214"/>
      <c r="F43" s="627"/>
      <c r="G43" s="305"/>
      <c r="H43" s="305"/>
      <c r="I43" s="214"/>
      <c r="J43" s="627"/>
      <c r="K43" s="305"/>
      <c r="L43" s="305"/>
      <c r="M43" s="208"/>
    </row>
    <row r="44" spans="2:13" x14ac:dyDescent="0.25">
      <c r="B44" s="626"/>
      <c r="C44" s="305"/>
      <c r="D44" s="305"/>
      <c r="E44" s="214"/>
      <c r="F44" s="627"/>
      <c r="G44" s="305"/>
      <c r="H44" s="305"/>
      <c r="I44" s="214"/>
      <c r="J44" s="627"/>
      <c r="K44" s="305"/>
      <c r="L44" s="305"/>
      <c r="M44" s="208"/>
    </row>
    <row r="45" spans="2:13" x14ac:dyDescent="0.25">
      <c r="B45" s="626"/>
      <c r="C45" s="305"/>
      <c r="D45" s="305"/>
      <c r="E45" s="214"/>
      <c r="F45" s="627"/>
      <c r="G45" s="305"/>
      <c r="H45" s="305"/>
      <c r="I45" s="214"/>
      <c r="J45" s="627"/>
      <c r="K45" s="305"/>
      <c r="L45" s="305"/>
      <c r="M45" s="208"/>
    </row>
    <row r="46" spans="2:13" x14ac:dyDescent="0.25">
      <c r="B46" s="626"/>
      <c r="C46" s="305"/>
      <c r="D46" s="305"/>
      <c r="E46" s="214"/>
      <c r="F46" s="627"/>
      <c r="G46" s="305"/>
      <c r="H46" s="305"/>
      <c r="I46" s="214"/>
      <c r="J46" s="627"/>
      <c r="K46" s="305"/>
      <c r="L46" s="305"/>
      <c r="M46" s="208"/>
    </row>
    <row r="47" spans="2:13" x14ac:dyDescent="0.25">
      <c r="B47" s="626"/>
      <c r="C47" s="305"/>
      <c r="D47" s="305"/>
      <c r="E47" s="214"/>
      <c r="F47" s="627"/>
      <c r="G47" s="305"/>
      <c r="H47" s="305"/>
      <c r="I47" s="214"/>
      <c r="J47" s="627"/>
      <c r="K47" s="305"/>
      <c r="L47" s="305"/>
      <c r="M47" s="208"/>
    </row>
    <row r="48" spans="2:13" x14ac:dyDescent="0.25">
      <c r="B48" s="626"/>
      <c r="C48" s="305"/>
      <c r="D48" s="305"/>
      <c r="E48" s="214"/>
      <c r="F48" s="627"/>
      <c r="G48" s="305"/>
      <c r="H48" s="305"/>
      <c r="I48" s="214"/>
      <c r="J48" s="627"/>
      <c r="K48" s="305"/>
      <c r="L48" s="305"/>
      <c r="M48" s="208"/>
    </row>
    <row r="49" spans="2:13" x14ac:dyDescent="0.25">
      <c r="B49" s="626"/>
      <c r="C49" s="305"/>
      <c r="D49" s="305"/>
      <c r="E49" s="214"/>
      <c r="F49" s="627"/>
      <c r="G49" s="305"/>
      <c r="H49" s="305"/>
      <c r="I49" s="214"/>
      <c r="J49" s="627"/>
      <c r="K49" s="305"/>
      <c r="L49" s="305"/>
      <c r="M49" s="208"/>
    </row>
    <row r="50" spans="2:13" x14ac:dyDescent="0.25">
      <c r="B50" s="626"/>
      <c r="C50" s="305"/>
      <c r="D50" s="305"/>
      <c r="E50" s="214"/>
      <c r="F50" s="627"/>
      <c r="G50" s="305"/>
      <c r="H50" s="305"/>
      <c r="I50" s="214"/>
      <c r="J50" s="627"/>
      <c r="K50" s="305"/>
      <c r="L50" s="305"/>
      <c r="M50" s="208"/>
    </row>
    <row r="51" spans="2:13" x14ac:dyDescent="0.25">
      <c r="B51" s="626"/>
      <c r="C51" s="305"/>
      <c r="D51" s="305"/>
      <c r="E51" s="214"/>
      <c r="F51" s="627"/>
      <c r="G51" s="305"/>
      <c r="H51" s="305"/>
      <c r="I51" s="214"/>
      <c r="J51" s="627"/>
      <c r="K51" s="305"/>
      <c r="L51" s="305"/>
      <c r="M51" s="208"/>
    </row>
    <row r="52" spans="2:13" x14ac:dyDescent="0.25">
      <c r="B52" s="626"/>
      <c r="C52" s="305"/>
      <c r="D52" s="305"/>
      <c r="E52" s="214"/>
      <c r="F52" s="627"/>
      <c r="G52" s="305"/>
      <c r="H52" s="305"/>
      <c r="I52" s="214"/>
      <c r="J52" s="627"/>
      <c r="K52" s="305"/>
      <c r="L52" s="305"/>
      <c r="M52" s="208"/>
    </row>
    <row r="53" spans="2:13" ht="15.75" thickBot="1" x14ac:dyDescent="0.3">
      <c r="B53" s="629"/>
      <c r="C53" s="630"/>
      <c r="D53" s="630"/>
      <c r="E53" s="230"/>
      <c r="F53" s="631"/>
      <c r="G53" s="630"/>
      <c r="H53" s="630"/>
      <c r="I53" s="230"/>
      <c r="J53" s="631"/>
      <c r="K53" s="630"/>
      <c r="L53" s="630"/>
      <c r="M53" s="231"/>
    </row>
  </sheetData>
  <mergeCells count="25">
    <mergeCell ref="B8:G15"/>
    <mergeCell ref="H8:M8"/>
    <mergeCell ref="H9:M9"/>
    <mergeCell ref="H10:M10"/>
    <mergeCell ref="H11:M11"/>
    <mergeCell ref="H12:M12"/>
    <mergeCell ref="H13:M13"/>
    <mergeCell ref="H14:M14"/>
    <mergeCell ref="H15:M15"/>
    <mergeCell ref="H25:M25"/>
    <mergeCell ref="B25:G25"/>
    <mergeCell ref="H18:M18"/>
    <mergeCell ref="H19:M19"/>
    <mergeCell ref="B18:G18"/>
    <mergeCell ref="B19:G19"/>
    <mergeCell ref="H20:M20"/>
    <mergeCell ref="H21:M21"/>
    <mergeCell ref="H22:M22"/>
    <mergeCell ref="H23:M23"/>
    <mergeCell ref="H24:M24"/>
    <mergeCell ref="B20:G20"/>
    <mergeCell ref="B21:G21"/>
    <mergeCell ref="B22:G22"/>
    <mergeCell ref="B23:G23"/>
    <mergeCell ref="B24:G24"/>
  </mergeCells>
  <printOptions horizontalCentered="1"/>
  <pageMargins left="0.7" right="0.7" top="0.75" bottom="0.75" header="0.3" footer="0.3"/>
  <pageSetup scale="66" orientation="landscape" r:id="rId1"/>
  <drawing r:id="rId2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>
    <tabColor rgb="FFFF0000"/>
    <pageSetUpPr fitToPage="1"/>
  </sheetPr>
  <dimension ref="A1:AC46"/>
  <sheetViews>
    <sheetView showGridLines="0" view="pageBreakPreview" zoomScale="80" zoomScaleNormal="60" zoomScaleSheetLayoutView="80" workbookViewId="0"/>
  </sheetViews>
  <sheetFormatPr defaultColWidth="9.42578125" defaultRowHeight="15" x14ac:dyDescent="0.25"/>
  <cols>
    <col min="1" max="1" width="1.5703125" style="1" customWidth="1"/>
    <col min="2" max="2" width="3.5703125" style="1" customWidth="1"/>
    <col min="3" max="3" width="3.42578125" style="1" customWidth="1"/>
    <col min="4" max="4" width="18.140625" style="1" customWidth="1"/>
    <col min="5" max="9" width="10.5703125" style="1" customWidth="1"/>
    <col min="10" max="11" width="4.42578125" style="1" customWidth="1"/>
    <col min="12" max="12" width="3.5703125" style="1" customWidth="1"/>
    <col min="13" max="13" width="4.140625" style="1" customWidth="1"/>
    <col min="14" max="14" width="22.140625" style="1" customWidth="1"/>
    <col min="15" max="19" width="10.5703125" style="1" customWidth="1"/>
    <col min="20" max="16384" width="9.42578125" style="1"/>
  </cols>
  <sheetData>
    <row r="1" spans="1:22" ht="7.35" customHeight="1" thickBot="1" x14ac:dyDescent="0.3">
      <c r="D1" s="108"/>
      <c r="E1" s="108"/>
      <c r="F1" s="108"/>
      <c r="G1" s="108"/>
      <c r="H1" s="108"/>
      <c r="I1" s="108"/>
      <c r="J1" s="108"/>
      <c r="K1" s="108"/>
      <c r="L1" s="108"/>
      <c r="M1" s="108"/>
      <c r="N1" s="108"/>
      <c r="O1" s="108"/>
      <c r="P1" s="108"/>
      <c r="Q1" s="108"/>
      <c r="R1" s="108"/>
      <c r="S1" s="108"/>
    </row>
    <row r="2" spans="1:22" ht="16.5" thickTop="1" x14ac:dyDescent="0.25">
      <c r="B2" s="110" t="str">
        <f>MainOutline!B2</f>
        <v>WB Santa Cruz</v>
      </c>
      <c r="C2" s="110"/>
      <c r="D2" s="111"/>
      <c r="E2" s="111"/>
      <c r="F2" s="111"/>
      <c r="G2" s="111"/>
      <c r="H2" s="508" t="str">
        <f>'A1'!$C$90</f>
        <v>Acquisition of an existing facility</v>
      </c>
      <c r="I2" s="111"/>
      <c r="J2" s="111"/>
      <c r="K2" s="111"/>
      <c r="L2" s="111"/>
      <c r="M2" s="111"/>
      <c r="N2" s="111"/>
      <c r="O2" s="111"/>
      <c r="P2" s="111"/>
      <c r="Q2" s="111"/>
      <c r="R2" s="111"/>
      <c r="S2" s="1409">
        <f>$A$3</f>
        <v>10</v>
      </c>
    </row>
    <row r="3" spans="1:22" ht="15.75" x14ac:dyDescent="0.25">
      <c r="A3" s="123">
        <f>MainOutline!B21</f>
        <v>10</v>
      </c>
      <c r="B3" s="102" t="str">
        <f>MainOutline!C21</f>
        <v>Exhibit M2</v>
      </c>
      <c r="C3" s="102"/>
      <c r="D3" s="89"/>
      <c r="E3" s="89"/>
      <c r="F3" s="89"/>
      <c r="G3" s="89"/>
      <c r="H3" s="89"/>
      <c r="I3" s="89"/>
      <c r="J3" s="89"/>
      <c r="K3" s="89"/>
      <c r="L3" s="89"/>
      <c r="M3" s="89"/>
      <c r="N3" s="89"/>
      <c r="O3" s="89"/>
      <c r="P3" s="89"/>
      <c r="Q3" s="89"/>
      <c r="R3" s="89"/>
      <c r="S3" s="89"/>
    </row>
    <row r="4" spans="1:22" ht="16.5" thickBot="1" x14ac:dyDescent="0.3">
      <c r="B4" s="104" t="s">
        <v>380</v>
      </c>
      <c r="C4" s="104"/>
      <c r="D4" s="97"/>
      <c r="E4" s="97"/>
      <c r="F4" s="97"/>
      <c r="G4" s="97"/>
      <c r="H4" s="97"/>
      <c r="I4" s="97"/>
      <c r="J4" s="97"/>
      <c r="K4" s="97"/>
      <c r="L4" s="97"/>
      <c r="M4" s="97"/>
      <c r="N4" s="97"/>
      <c r="O4" s="97"/>
      <c r="P4" s="97"/>
      <c r="Q4" s="97"/>
      <c r="R4" s="97"/>
      <c r="S4" s="138" t="s">
        <v>1041</v>
      </c>
      <c r="U4" s="1" t="s">
        <v>1056</v>
      </c>
      <c r="V4" s="1">
        <f>NonAcute</f>
        <v>2</v>
      </c>
    </row>
    <row r="5" spans="1:22" ht="15.75" thickTop="1" x14ac:dyDescent="0.25"/>
    <row r="7" spans="1:22" ht="17.25" x14ac:dyDescent="0.4">
      <c r="B7" s="1333" t="s">
        <v>1037</v>
      </c>
      <c r="C7" s="1334"/>
      <c r="D7" s="1335"/>
      <c r="E7" s="1335"/>
      <c r="F7" s="1335"/>
      <c r="G7" s="1335"/>
      <c r="H7" s="1335"/>
      <c r="I7" s="1335"/>
      <c r="J7" s="1336"/>
      <c r="O7" s="291" t="s">
        <v>116</v>
      </c>
      <c r="P7" s="291" t="s">
        <v>90</v>
      </c>
      <c r="Q7" s="291" t="s">
        <v>91</v>
      </c>
      <c r="R7" s="291" t="s">
        <v>92</v>
      </c>
      <c r="S7" s="291" t="s">
        <v>93</v>
      </c>
      <c r="U7" s="157" t="s">
        <v>1057</v>
      </c>
    </row>
    <row r="8" spans="1:22" x14ac:dyDescent="0.25">
      <c r="B8" s="1337"/>
      <c r="C8" s="1337"/>
      <c r="D8" s="1337"/>
      <c r="E8" s="1337"/>
      <c r="F8" s="1366" t="s">
        <v>1038</v>
      </c>
      <c r="G8" s="1337" t="s">
        <v>1040</v>
      </c>
      <c r="H8" s="1337"/>
      <c r="I8" s="1337"/>
      <c r="J8" s="1336"/>
      <c r="L8" s="107" t="s">
        <v>385</v>
      </c>
      <c r="T8" s="175"/>
      <c r="U8" s="1" t="s">
        <v>1045</v>
      </c>
    </row>
    <row r="9" spans="1:22" x14ac:dyDescent="0.25">
      <c r="B9" s="1337"/>
      <c r="C9" s="1337"/>
      <c r="D9" s="1337"/>
      <c r="E9" s="1337"/>
      <c r="F9" s="1366" t="s">
        <v>1039</v>
      </c>
      <c r="G9" s="1339">
        <v>40000</v>
      </c>
      <c r="H9" s="1337"/>
      <c r="I9" s="1337"/>
      <c r="J9" s="1336"/>
      <c r="M9" s="81" t="str">
        <f>'B1'!C10</f>
        <v>Hemo Dialysis</v>
      </c>
      <c r="N9" s="81"/>
      <c r="T9" s="175"/>
      <c r="U9" s="1328" t="s">
        <v>1044</v>
      </c>
    </row>
    <row r="10" spans="1:22" x14ac:dyDescent="0.25">
      <c r="B10" s="1337"/>
      <c r="C10" s="1337"/>
      <c r="D10" s="1337"/>
      <c r="E10" s="1337"/>
      <c r="F10" s="1366" t="s">
        <v>1051</v>
      </c>
      <c r="G10" s="1339">
        <v>4</v>
      </c>
      <c r="H10" s="1337"/>
      <c r="I10" s="1337"/>
      <c r="J10" s="1336"/>
      <c r="M10" s="81"/>
      <c r="N10" s="81" t="str">
        <f>'B1'!D11</f>
        <v>In Center</v>
      </c>
      <c r="O10" s="13">
        <f>'B1'!AE11</f>
        <v>0</v>
      </c>
      <c r="P10" s="13">
        <f>'B1'!AF11</f>
        <v>0</v>
      </c>
      <c r="Q10" s="13">
        <f>'B1'!AG11</f>
        <v>0</v>
      </c>
      <c r="R10" s="13">
        <f>'B1'!AH11</f>
        <v>0</v>
      </c>
      <c r="S10" s="13">
        <f>'B1'!AI11</f>
        <v>0</v>
      </c>
      <c r="T10" s="175"/>
    </row>
    <row r="11" spans="1:22" ht="17.25" x14ac:dyDescent="0.4">
      <c r="B11" s="1337"/>
      <c r="C11" s="1337"/>
      <c r="D11" s="1337"/>
      <c r="E11" s="1337"/>
      <c r="F11" s="1337"/>
      <c r="G11" s="1337" t="s">
        <v>1046</v>
      </c>
      <c r="H11" s="1337"/>
      <c r="I11" s="1337"/>
      <c r="J11" s="1336"/>
      <c r="M11" s="81"/>
      <c r="N11" s="81" t="str">
        <f>'B1'!D12</f>
        <v>Nocturnal</v>
      </c>
      <c r="O11" s="558">
        <f>'B1'!AE12</f>
        <v>0</v>
      </c>
      <c r="P11" s="558">
        <f>'B1'!AF12</f>
        <v>0</v>
      </c>
      <c r="Q11" s="558">
        <f>'B1'!AG12</f>
        <v>0</v>
      </c>
      <c r="R11" s="558">
        <f>'B1'!AH12</f>
        <v>0</v>
      </c>
      <c r="S11" s="558">
        <f>'B1'!AI12</f>
        <v>0</v>
      </c>
      <c r="T11" s="175"/>
    </row>
    <row r="12" spans="1:22" x14ac:dyDescent="0.25">
      <c r="B12" s="1337"/>
      <c r="C12" s="1337"/>
      <c r="D12" s="1337"/>
      <c r="E12" s="1337"/>
      <c r="F12" s="1337"/>
      <c r="G12" s="1337" t="s">
        <v>1047</v>
      </c>
      <c r="H12" s="1337"/>
      <c r="I12" s="1337"/>
      <c r="J12" s="1336"/>
      <c r="M12" s="81"/>
      <c r="N12" s="81"/>
      <c r="O12" s="13">
        <f>SUM(O10:O11)</f>
        <v>0</v>
      </c>
      <c r="P12" s="13">
        <f>SUM(P10:P11)</f>
        <v>0</v>
      </c>
      <c r="Q12" s="13">
        <f>SUM(Q10:Q11)</f>
        <v>0</v>
      </c>
      <c r="R12" s="13">
        <f>SUM(R10:R11)</f>
        <v>0</v>
      </c>
      <c r="S12" s="13">
        <f>SUM(S10:S11)</f>
        <v>0</v>
      </c>
      <c r="T12" s="175"/>
    </row>
    <row r="13" spans="1:22" x14ac:dyDescent="0.25">
      <c r="B13" s="1337"/>
      <c r="C13" s="1337"/>
      <c r="D13" s="1337"/>
      <c r="E13" s="1337"/>
      <c r="F13" s="1337"/>
      <c r="G13" s="1337" t="s">
        <v>1048</v>
      </c>
      <c r="H13" s="1337"/>
      <c r="I13" s="1337"/>
      <c r="J13" s="1336"/>
      <c r="M13" s="81"/>
      <c r="N13" s="81"/>
      <c r="O13" s="13"/>
      <c r="P13" s="13"/>
      <c r="Q13" s="13"/>
      <c r="R13" s="13"/>
      <c r="S13" s="13"/>
      <c r="T13" s="175"/>
    </row>
    <row r="14" spans="1:22" x14ac:dyDescent="0.25">
      <c r="B14" s="1337"/>
      <c r="C14" s="1337"/>
      <c r="D14" s="1337"/>
      <c r="E14" s="1337"/>
      <c r="F14" s="1337"/>
      <c r="G14" s="1337" t="s">
        <v>1062</v>
      </c>
      <c r="H14" s="1337"/>
      <c r="I14" s="1337"/>
      <c r="J14" s="1336"/>
      <c r="M14" s="81" t="str">
        <f>'B1'!C15</f>
        <v>Home Dialysis</v>
      </c>
      <c r="N14" s="81"/>
      <c r="O14" s="13"/>
      <c r="P14" s="13"/>
      <c r="Q14" s="13"/>
      <c r="R14" s="13"/>
      <c r="S14" s="13"/>
      <c r="T14" s="175"/>
    </row>
    <row r="15" spans="1:22" x14ac:dyDescent="0.25">
      <c r="B15" s="1337"/>
      <c r="C15" s="1337"/>
      <c r="D15" s="1337"/>
      <c r="E15" s="1337"/>
      <c r="F15" s="1337"/>
      <c r="G15" s="1337"/>
      <c r="H15" s="1337"/>
      <c r="I15" s="1337"/>
      <c r="J15" s="1336"/>
      <c r="L15" s="81"/>
      <c r="M15" s="81"/>
      <c r="N15" s="81" t="str">
        <f>'B1'!D16</f>
        <v>Peritoneal</v>
      </c>
      <c r="O15" s="13">
        <f>'B1'!AE16</f>
        <v>53.040342230309705</v>
      </c>
      <c r="P15" s="13">
        <f>'B1'!AF16</f>
        <v>54.891200000000033</v>
      </c>
      <c r="Q15" s="13">
        <f>'B1'!AG16</f>
        <v>56.53793600000003</v>
      </c>
      <c r="R15" s="13">
        <f>'B1'!AH16</f>
        <v>58.234074080000035</v>
      </c>
      <c r="S15" s="13">
        <f>'B1'!AI16</f>
        <v>59.981096302400033</v>
      </c>
    </row>
    <row r="16" spans="1:22" ht="17.25" x14ac:dyDescent="0.4">
      <c r="B16" s="1337"/>
      <c r="C16" s="1337"/>
      <c r="D16" s="1337"/>
      <c r="E16" s="1337"/>
      <c r="F16" s="1337"/>
      <c r="G16" s="1337"/>
      <c r="H16" s="1337"/>
      <c r="I16" s="1337"/>
      <c r="J16" s="1336"/>
      <c r="L16" s="81"/>
      <c r="M16" s="81"/>
      <c r="N16" s="81" t="str">
        <f>'B1'!D17</f>
        <v>Home HD</v>
      </c>
      <c r="O16" s="558">
        <f>'B1'!AE17</f>
        <v>6.1200394881126572</v>
      </c>
      <c r="P16" s="558">
        <f>'B1'!AF17</f>
        <v>6.3336000000000023</v>
      </c>
      <c r="Q16" s="558">
        <f>'B1'!AG17</f>
        <v>6.523608000000003</v>
      </c>
      <c r="R16" s="558">
        <f>'B1'!AH17</f>
        <v>6.719316240000003</v>
      </c>
      <c r="S16" s="558">
        <f>'B1'!AI17</f>
        <v>6.920895727200004</v>
      </c>
    </row>
    <row r="17" spans="2:29" x14ac:dyDescent="0.25">
      <c r="B17" s="1337"/>
      <c r="C17" s="1337"/>
      <c r="D17" s="1337"/>
      <c r="E17" s="1337"/>
      <c r="F17" s="1337"/>
      <c r="G17" s="1337"/>
      <c r="H17" s="1337"/>
      <c r="I17" s="1337"/>
      <c r="J17" s="1336"/>
      <c r="L17" s="81"/>
      <c r="M17" s="81"/>
      <c r="N17" s="81"/>
      <c r="O17" s="13">
        <f>SUM(O15:O16)</f>
        <v>59.160381718422364</v>
      </c>
      <c r="P17" s="13">
        <f>SUM(P15:P16)</f>
        <v>61.224800000000037</v>
      </c>
      <c r="Q17" s="13">
        <f>SUM(Q15:Q16)</f>
        <v>63.061544000000033</v>
      </c>
      <c r="R17" s="13">
        <f>SUM(R15:R16)</f>
        <v>64.95339032000004</v>
      </c>
      <c r="S17" s="13">
        <f>SUM(S15:S16)</f>
        <v>66.901992029600038</v>
      </c>
    </row>
    <row r="18" spans="2:29" x14ac:dyDescent="0.25">
      <c r="B18" s="1337"/>
      <c r="C18" s="1337"/>
      <c r="D18" s="1337"/>
      <c r="E18" s="1337"/>
      <c r="F18" s="1337"/>
      <c r="G18" s="1337"/>
      <c r="H18" s="1337"/>
      <c r="I18" s="1337"/>
      <c r="J18" s="1336"/>
      <c r="L18" s="81"/>
      <c r="M18" s="81"/>
      <c r="N18" s="81"/>
      <c r="O18" s="13"/>
      <c r="P18" s="13"/>
      <c r="Q18" s="13"/>
      <c r="R18" s="13"/>
      <c r="S18" s="13"/>
    </row>
    <row r="19" spans="2:29" x14ac:dyDescent="0.25">
      <c r="B19" s="1337"/>
      <c r="C19" s="1337"/>
      <c r="D19" s="1337"/>
      <c r="E19" s="1337"/>
      <c r="F19" s="1337"/>
      <c r="G19" s="1337"/>
      <c r="H19" s="1337"/>
      <c r="I19" s="1337"/>
      <c r="J19" s="1336"/>
      <c r="L19" s="1330" t="str">
        <f>'B1'!C20</f>
        <v>Total Patients</v>
      </c>
      <c r="M19" s="1330"/>
      <c r="N19" s="1330"/>
      <c r="O19" s="1326">
        <f>O12+O17</f>
        <v>59.160381718422364</v>
      </c>
      <c r="P19" s="1326">
        <f>P12+P17</f>
        <v>61.224800000000037</v>
      </c>
      <c r="Q19" s="1326">
        <f>Q12+Q17</f>
        <v>63.061544000000033</v>
      </c>
      <c r="R19" s="1326">
        <f>R12+R17</f>
        <v>64.95339032000004</v>
      </c>
      <c r="S19" s="1326">
        <f>S12+S17</f>
        <v>66.901992029600038</v>
      </c>
    </row>
    <row r="20" spans="2:29" ht="15.75" thickBot="1" x14ac:dyDescent="0.3">
      <c r="B20" s="1340"/>
      <c r="C20" s="1340"/>
      <c r="D20" s="1340"/>
      <c r="E20" s="1340"/>
      <c r="F20" s="1340"/>
      <c r="G20" s="1340"/>
      <c r="H20" s="1340"/>
      <c r="I20" s="1340"/>
      <c r="J20" s="1341"/>
      <c r="K20" s="1327"/>
      <c r="L20" s="1327"/>
      <c r="M20" s="1327"/>
      <c r="N20" s="1327"/>
      <c r="O20" s="1327"/>
      <c r="P20" s="1327"/>
      <c r="Q20" s="1327"/>
      <c r="R20" s="1327"/>
      <c r="S20" s="1327"/>
    </row>
    <row r="21" spans="2:29" x14ac:dyDescent="0.25">
      <c r="J21" s="1325"/>
    </row>
    <row r="22" spans="2:29" ht="17.25" x14ac:dyDescent="0.4">
      <c r="E22" s="291" t="str">
        <f>O7</f>
        <v>Year 1</v>
      </c>
      <c r="F22" s="291" t="str">
        <f>P7</f>
        <v>Year 2</v>
      </c>
      <c r="G22" s="291" t="str">
        <f>Q7</f>
        <v>Year 3</v>
      </c>
      <c r="H22" s="291" t="str">
        <f>R7</f>
        <v>Year 4</v>
      </c>
      <c r="I22" s="291" t="str">
        <f>S7</f>
        <v>Year 5</v>
      </c>
      <c r="J22" s="1325"/>
      <c r="L22" s="107" t="str">
        <f>'B1'!B22</f>
        <v>TREATMENTS</v>
      </c>
      <c r="Y22" s="13"/>
      <c r="Z22" s="13"/>
      <c r="AA22" s="13"/>
      <c r="AB22" s="13"/>
      <c r="AC22" s="13"/>
    </row>
    <row r="23" spans="2:29" x14ac:dyDescent="0.25">
      <c r="B23" s="107" t="s">
        <v>1042</v>
      </c>
      <c r="J23" s="1325"/>
      <c r="M23" s="81" t="str">
        <f>'B1'!C23</f>
        <v>Hemo Dialysis</v>
      </c>
      <c r="N23" s="81"/>
      <c r="O23" s="13"/>
      <c r="P23" s="13"/>
      <c r="Q23" s="13"/>
      <c r="R23" s="13"/>
      <c r="S23" s="13"/>
    </row>
    <row r="24" spans="2:29" x14ac:dyDescent="0.25">
      <c r="C24" s="81" t="str">
        <f>'B1'!D48</f>
        <v>Clinical Manager</v>
      </c>
      <c r="E24" s="36">
        <f>'B1'!AE48</f>
        <v>1</v>
      </c>
      <c r="F24" s="36">
        <f>'B1'!AF48</f>
        <v>1</v>
      </c>
      <c r="G24" s="36">
        <f>'B1'!AG48</f>
        <v>1</v>
      </c>
      <c r="H24" s="36">
        <f>'B1'!AH48</f>
        <v>1</v>
      </c>
      <c r="I24" s="36">
        <f>'B1'!AI48</f>
        <v>1</v>
      </c>
      <c r="J24" s="1325"/>
      <c r="M24" s="81"/>
      <c r="N24" s="81" t="str">
        <f>'B1'!D24</f>
        <v>In Center</v>
      </c>
      <c r="O24" s="13">
        <f>'B1'!AE24</f>
        <v>0</v>
      </c>
      <c r="P24" s="13">
        <f>'B1'!AF24</f>
        <v>0</v>
      </c>
      <c r="Q24" s="13">
        <f>'B1'!AG24</f>
        <v>0</v>
      </c>
      <c r="R24" s="13">
        <f>'B1'!AH24</f>
        <v>0</v>
      </c>
      <c r="S24" s="13">
        <f>'B1'!AI24</f>
        <v>0</v>
      </c>
    </row>
    <row r="25" spans="2:29" ht="17.25" x14ac:dyDescent="0.4">
      <c r="C25" s="81" t="str">
        <f>'B1'!D49</f>
        <v>Clinical Coordinator</v>
      </c>
      <c r="E25" s="36">
        <f>'B1'!AE49</f>
        <v>0</v>
      </c>
      <c r="F25" s="36">
        <f>'B1'!AF49</f>
        <v>0</v>
      </c>
      <c r="G25" s="36">
        <f>'B1'!AG49</f>
        <v>0</v>
      </c>
      <c r="H25" s="36">
        <f>'B1'!AH49</f>
        <v>0</v>
      </c>
      <c r="I25" s="36">
        <f>'B1'!AI49</f>
        <v>0</v>
      </c>
      <c r="J25" s="1325"/>
      <c r="M25" s="81"/>
      <c r="N25" s="81" t="str">
        <f>'B1'!D25</f>
        <v>Nocturnal</v>
      </c>
      <c r="O25" s="558">
        <f>'B1'!AE25</f>
        <v>0</v>
      </c>
      <c r="P25" s="558">
        <f>'B1'!AF25</f>
        <v>0</v>
      </c>
      <c r="Q25" s="558">
        <f>'B1'!AG25</f>
        <v>0</v>
      </c>
      <c r="R25" s="558">
        <f>'B1'!AH25</f>
        <v>0</v>
      </c>
      <c r="S25" s="558">
        <f>'B1'!AI25</f>
        <v>0</v>
      </c>
    </row>
    <row r="26" spans="2:29" x14ac:dyDescent="0.25">
      <c r="C26" s="81" t="str">
        <f>'B1'!D50</f>
        <v>CCHT (PCT)</v>
      </c>
      <c r="E26" s="36">
        <f>'B1'!AE50</f>
        <v>0</v>
      </c>
      <c r="F26" s="36">
        <f>'B1'!AF50</f>
        <v>0</v>
      </c>
      <c r="G26" s="36">
        <f>'B1'!AG50</f>
        <v>0</v>
      </c>
      <c r="H26" s="36">
        <f>'B1'!AH50</f>
        <v>0</v>
      </c>
      <c r="I26" s="36">
        <f>'B1'!AI50</f>
        <v>0</v>
      </c>
      <c r="J26" s="1325"/>
      <c r="M26" s="81"/>
      <c r="N26" s="81"/>
      <c r="O26" s="13">
        <f>SUM(O24:O25)</f>
        <v>0</v>
      </c>
      <c r="P26" s="13">
        <f>SUM(P24:P25)</f>
        <v>0</v>
      </c>
      <c r="Q26" s="13">
        <f>SUM(Q24:Q25)</f>
        <v>0</v>
      </c>
      <c r="R26" s="13">
        <f>SUM(R24:R25)</f>
        <v>0</v>
      </c>
      <c r="S26" s="13">
        <f>SUM(S24:S25)</f>
        <v>0</v>
      </c>
    </row>
    <row r="27" spans="2:29" x14ac:dyDescent="0.25">
      <c r="C27" s="81" t="str">
        <f>'B1'!D51</f>
        <v>RN</v>
      </c>
      <c r="E27" s="36">
        <f>'B1'!AE51</f>
        <v>3.3456436771875486</v>
      </c>
      <c r="F27" s="36">
        <f>'B1'!AF51</f>
        <v>3.4390777777777797</v>
      </c>
      <c r="G27" s="36">
        <f>'B1'!AG51</f>
        <v>3.5034191111111128</v>
      </c>
      <c r="H27" s="36">
        <f>'B1'!AH51</f>
        <v>3.6085216844444465</v>
      </c>
      <c r="I27" s="36">
        <f>'B1'!AI51</f>
        <v>3.7167773349777797</v>
      </c>
      <c r="J27" s="1325"/>
      <c r="M27" s="81"/>
      <c r="N27" s="81"/>
      <c r="O27" s="13"/>
      <c r="P27" s="13"/>
      <c r="Q27" s="13"/>
      <c r="R27" s="13"/>
      <c r="S27" s="13"/>
    </row>
    <row r="28" spans="2:29" x14ac:dyDescent="0.25">
      <c r="C28" s="81" t="str">
        <f>'B1'!D52</f>
        <v>Territory Tech Manager</v>
      </c>
      <c r="E28" s="36">
        <f>'B1'!AE52</f>
        <v>0</v>
      </c>
      <c r="F28" s="36">
        <f>'B1'!AF52</f>
        <v>0</v>
      </c>
      <c r="G28" s="36">
        <f>'B1'!AG52</f>
        <v>0</v>
      </c>
      <c r="H28" s="36">
        <f>'B1'!AH52</f>
        <v>0</v>
      </c>
      <c r="I28" s="36">
        <f>'B1'!AI52</f>
        <v>0</v>
      </c>
      <c r="J28" s="1325"/>
      <c r="M28" s="81" t="str">
        <f>'B1'!C28</f>
        <v>Home Dialysis</v>
      </c>
      <c r="N28" s="81"/>
      <c r="O28" s="13"/>
      <c r="P28" s="13"/>
      <c r="Q28" s="13"/>
      <c r="R28" s="13"/>
      <c r="S28" s="13"/>
    </row>
    <row r="29" spans="2:29" x14ac:dyDescent="0.25">
      <c r="C29" s="81" t="str">
        <f>'B1'!D53</f>
        <v>Biomed Technician</v>
      </c>
      <c r="E29" s="36">
        <f>'B1'!AE53</f>
        <v>0.2</v>
      </c>
      <c r="F29" s="36">
        <f>'B1'!AF53</f>
        <v>0.2</v>
      </c>
      <c r="G29" s="36">
        <f>'B1'!AG53</f>
        <v>0.2</v>
      </c>
      <c r="H29" s="36">
        <f>'B1'!AH53</f>
        <v>0.2</v>
      </c>
      <c r="I29" s="36">
        <f>'B1'!AI53</f>
        <v>0.2</v>
      </c>
      <c r="J29" s="1325"/>
      <c r="M29" s="81"/>
      <c r="N29" s="81" t="str">
        <f>'B1'!D29</f>
        <v>Peritoneal</v>
      </c>
      <c r="O29" s="13">
        <f>'B1'!AE29</f>
        <v>7955.977169537513</v>
      </c>
      <c r="P29" s="13">
        <f>'B1'!AF29</f>
        <v>8233.603246982062</v>
      </c>
      <c r="Q29" s="13">
        <f>'B1'!AG29</f>
        <v>8480.6113443915219</v>
      </c>
      <c r="R29" s="13">
        <f>'B1'!AH29</f>
        <v>8735.0296847232694</v>
      </c>
      <c r="S29" s="13">
        <f>'B1'!AI29</f>
        <v>8997.0805752649667</v>
      </c>
    </row>
    <row r="30" spans="2:29" ht="17.25" x14ac:dyDescent="0.4">
      <c r="C30" s="81" t="str">
        <f>'B1'!D54</f>
        <v>Dietician</v>
      </c>
      <c r="E30" s="36">
        <f>'B1'!AE54</f>
        <v>0.54746896535796252</v>
      </c>
      <c r="F30" s="36">
        <f>'B1'!AF54</f>
        <v>0.56275818181818216</v>
      </c>
      <c r="G30" s="36">
        <f>'B1'!AG54</f>
        <v>0.57328676363636399</v>
      </c>
      <c r="H30" s="36">
        <f>'B1'!AH54</f>
        <v>0.59048536654545491</v>
      </c>
      <c r="I30" s="36">
        <f>'B1'!AI54</f>
        <v>0.60819992754181851</v>
      </c>
      <c r="J30" s="1325"/>
      <c r="M30" s="81"/>
      <c r="N30" s="81" t="str">
        <f>'B1'!D30</f>
        <v>Home HD</v>
      </c>
      <c r="O30" s="558">
        <f>'B1'!AE30</f>
        <v>1207.2583158655914</v>
      </c>
      <c r="P30" s="558">
        <f>'B1'!AF30</f>
        <v>1249.3859368421058</v>
      </c>
      <c r="Q30" s="558">
        <f>'B1'!AG30</f>
        <v>1286.8675149473688</v>
      </c>
      <c r="R30" s="558">
        <f>'B1'!AH30</f>
        <v>1325.47354039579</v>
      </c>
      <c r="S30" s="558">
        <f>'B1'!AI30</f>
        <v>1365.2377466076639</v>
      </c>
    </row>
    <row r="31" spans="2:29" x14ac:dyDescent="0.25">
      <c r="C31" s="81" t="str">
        <f>'B1'!D55</f>
        <v>Social Worker</v>
      </c>
      <c r="E31" s="36">
        <f>'B1'!AE55</f>
        <v>0.54746896535796252</v>
      </c>
      <c r="F31" s="36">
        <f>'B1'!AF55</f>
        <v>0.56275818181818216</v>
      </c>
      <c r="G31" s="36">
        <f>'B1'!AG55</f>
        <v>0.57328676363636399</v>
      </c>
      <c r="H31" s="36">
        <f>'B1'!AH55</f>
        <v>0.59048536654545491</v>
      </c>
      <c r="I31" s="36">
        <f>'B1'!AI55</f>
        <v>0.60819992754181851</v>
      </c>
      <c r="J31" s="1325"/>
      <c r="M31" s="81"/>
      <c r="N31" s="81"/>
      <c r="O31" s="13">
        <f>SUM(O29:O30)</f>
        <v>9163.2354854031037</v>
      </c>
      <c r="P31" s="13">
        <f>SUM(P29:P30)</f>
        <v>9482.9891838241674</v>
      </c>
      <c r="Q31" s="13">
        <f>SUM(Q29:Q30)</f>
        <v>9767.4788593388912</v>
      </c>
      <c r="R31" s="13">
        <f>SUM(R29:R30)</f>
        <v>10060.503225119059</v>
      </c>
      <c r="S31" s="13">
        <f>SUM(S29:S30)</f>
        <v>10362.31832187263</v>
      </c>
    </row>
    <row r="32" spans="2:29" x14ac:dyDescent="0.25">
      <c r="C32" s="81" t="str">
        <f>'B1'!D56</f>
        <v>Administrative Support</v>
      </c>
      <c r="E32" s="1329">
        <f>'B1'!AE56</f>
        <v>2.0073862063125292</v>
      </c>
      <c r="F32" s="1329">
        <f>'B1'!AF56</f>
        <v>2.063446666666668</v>
      </c>
      <c r="G32" s="1329">
        <f>'B1'!AG56</f>
        <v>2.1020514666666679</v>
      </c>
      <c r="H32" s="1329">
        <f>'B1'!AH56</f>
        <v>2.1651130106666678</v>
      </c>
      <c r="I32" s="1329">
        <f>'B1'!AI56</f>
        <v>2.2300664009866678</v>
      </c>
      <c r="J32" s="1325"/>
      <c r="M32" s="81"/>
      <c r="N32" s="81"/>
      <c r="O32" s="13"/>
      <c r="P32" s="13"/>
      <c r="Q32" s="13"/>
      <c r="R32" s="13"/>
      <c r="S32" s="13"/>
    </row>
    <row r="33" spans="2:19" x14ac:dyDescent="0.25">
      <c r="B33" s="1330" t="s">
        <v>1043</v>
      </c>
      <c r="C33" s="1330"/>
      <c r="D33" s="655"/>
      <c r="E33" s="1343">
        <f>SUM(E24:E32)</f>
        <v>7.6479678142160035</v>
      </c>
      <c r="F33" s="1343">
        <f>SUM(F24:F32)</f>
        <v>7.8280408080808126</v>
      </c>
      <c r="G33" s="1343">
        <f>SUM(G24:G32)</f>
        <v>7.9520441050505095</v>
      </c>
      <c r="H33" s="1343">
        <f>SUM(H24:H32)</f>
        <v>8.1546054282020233</v>
      </c>
      <c r="I33" s="1343">
        <f>SUM(I24:I32)</f>
        <v>8.363243591048084</v>
      </c>
      <c r="J33" s="1325"/>
      <c r="M33" s="390" t="s">
        <v>1049</v>
      </c>
      <c r="N33" s="390"/>
      <c r="O33" s="686">
        <f>O26+O31</f>
        <v>9163.2354854031037</v>
      </c>
      <c r="P33" s="686">
        <f>P26+P31</f>
        <v>9482.9891838241674</v>
      </c>
      <c r="Q33" s="686">
        <f>Q26+Q31</f>
        <v>9767.4788593388912</v>
      </c>
      <c r="R33" s="686">
        <f>R26+R31</f>
        <v>10060.503225119059</v>
      </c>
      <c r="S33" s="686">
        <f>S26+S31</f>
        <v>10362.31832187263</v>
      </c>
    </row>
    <row r="34" spans="2:19" x14ac:dyDescent="0.25">
      <c r="J34" s="1325"/>
    </row>
    <row r="35" spans="2:19" x14ac:dyDescent="0.25">
      <c r="J35" s="1325"/>
      <c r="L35" s="81"/>
      <c r="M35" s="81" t="str">
        <f>'B1'!C33</f>
        <v>Acute Care</v>
      </c>
      <c r="N35" s="81"/>
      <c r="O35" s="13"/>
      <c r="P35" s="13"/>
      <c r="Q35" s="13"/>
      <c r="R35" s="13"/>
      <c r="S35" s="13"/>
    </row>
    <row r="36" spans="2:19" x14ac:dyDescent="0.25">
      <c r="B36" s="106" t="s">
        <v>1050</v>
      </c>
      <c r="J36" s="1325"/>
      <c r="L36" s="81"/>
      <c r="M36" s="81"/>
      <c r="N36" s="81" t="str">
        <f>'B1'!D34</f>
        <v>Hemo Dialysis - 1x1</v>
      </c>
      <c r="O36" s="13">
        <f>'B1'!AE34</f>
        <v>0</v>
      </c>
      <c r="P36" s="13">
        <f>'B1'!AF34</f>
        <v>0</v>
      </c>
      <c r="Q36" s="13">
        <f>'B1'!AG34</f>
        <v>0</v>
      </c>
      <c r="R36" s="13">
        <f>'B1'!AH34</f>
        <v>0</v>
      </c>
      <c r="S36" s="13">
        <f>'B1'!AI34</f>
        <v>0</v>
      </c>
    </row>
    <row r="37" spans="2:19" x14ac:dyDescent="0.25">
      <c r="C37" s="390" t="str">
        <f>'B2'!C9</f>
        <v>Commercial</v>
      </c>
      <c r="D37" s="390"/>
      <c r="E37" s="1342">
        <f>SUM(E38:E40)</f>
        <v>0.18281036571169612</v>
      </c>
      <c r="F37" s="1342">
        <f>SUM(F38:F40)</f>
        <v>0.18281036571169609</v>
      </c>
      <c r="G37" s="1342">
        <f>SUM(G38:G40)</f>
        <v>0.18281036571169609</v>
      </c>
      <c r="H37" s="1342">
        <f>SUM(H38:H40)</f>
        <v>0.18281036571169609</v>
      </c>
      <c r="I37" s="1342">
        <f>SUM(I38:I40)</f>
        <v>0.18281036571169609</v>
      </c>
      <c r="J37" s="1325"/>
      <c r="L37" s="81"/>
      <c r="M37" s="81"/>
      <c r="N37" s="81" t="str">
        <f>'B1'!D35</f>
        <v>Hemo Dialysis - 2x1</v>
      </c>
      <c r="O37" s="13">
        <f>'B1'!AE35</f>
        <v>0</v>
      </c>
      <c r="P37" s="13">
        <f>'B1'!AF35</f>
        <v>0</v>
      </c>
      <c r="Q37" s="13">
        <f>'B1'!AG35</f>
        <v>0</v>
      </c>
      <c r="R37" s="13">
        <f>'B1'!AH35</f>
        <v>0</v>
      </c>
      <c r="S37" s="13">
        <f>'B1'!AI35</f>
        <v>0</v>
      </c>
    </row>
    <row r="38" spans="2:19" x14ac:dyDescent="0.25">
      <c r="D38" s="1" t="str">
        <f>'B2'!C10</f>
        <v>Non-contracted</v>
      </c>
      <c r="E38" s="76">
        <f>'B2'!E10</f>
        <v>1.7725329644502168E-2</v>
      </c>
      <c r="F38" s="76">
        <f>'B2'!F10</f>
        <v>1.7725329644502168E-2</v>
      </c>
      <c r="G38" s="76">
        <f>'B2'!G10</f>
        <v>1.7725329644502165E-2</v>
      </c>
      <c r="H38" s="76">
        <f>'B2'!H10</f>
        <v>1.7725329644502168E-2</v>
      </c>
      <c r="I38" s="76">
        <f>'B2'!I10</f>
        <v>1.7725329644502168E-2</v>
      </c>
      <c r="J38" s="1325"/>
      <c r="L38" s="81"/>
      <c r="M38" s="81"/>
      <c r="N38" s="81" t="str">
        <f>'B1'!D36</f>
        <v>Peritoneal</v>
      </c>
      <c r="O38" s="13">
        <f>'B1'!AE36</f>
        <v>0</v>
      </c>
      <c r="P38" s="13">
        <f>'B1'!AF36</f>
        <v>0</v>
      </c>
      <c r="Q38" s="13">
        <f>'B1'!AG36</f>
        <v>0</v>
      </c>
      <c r="R38" s="13">
        <f>'B1'!AH36</f>
        <v>0</v>
      </c>
      <c r="S38" s="13">
        <f>'B1'!AI36</f>
        <v>0</v>
      </c>
    </row>
    <row r="39" spans="2:19" x14ac:dyDescent="0.25">
      <c r="D39" s="1" t="str">
        <f>'B2'!C11</f>
        <v>Contracted</v>
      </c>
      <c r="E39" s="76">
        <f>'B2'!E11</f>
        <v>0.14894133156078948</v>
      </c>
      <c r="F39" s="76">
        <f>'B2'!F11</f>
        <v>0.14894133156078945</v>
      </c>
      <c r="G39" s="76">
        <f>'B2'!G11</f>
        <v>0.14894133156078945</v>
      </c>
      <c r="H39" s="76">
        <f>'B2'!H11</f>
        <v>0.14894133156078945</v>
      </c>
      <c r="I39" s="76">
        <f>'B2'!I11</f>
        <v>0.14894133156078945</v>
      </c>
      <c r="J39" s="1325"/>
      <c r="L39" s="81"/>
      <c r="M39" s="81"/>
      <c r="N39" s="81" t="str">
        <f>'B1'!D37</f>
        <v>CRRT</v>
      </c>
      <c r="O39" s="13">
        <f>'B1'!AE37</f>
        <v>0</v>
      </c>
      <c r="P39" s="13">
        <f>'B1'!AF37</f>
        <v>0</v>
      </c>
      <c r="Q39" s="13">
        <f>'B1'!AG37</f>
        <v>0</v>
      </c>
      <c r="R39" s="13">
        <f>'B1'!AH37</f>
        <v>0</v>
      </c>
      <c r="S39" s="13">
        <f>'B1'!AI37</f>
        <v>0</v>
      </c>
    </row>
    <row r="40" spans="2:19" ht="17.25" x14ac:dyDescent="0.4">
      <c r="D40" s="1" t="str">
        <f>'B2'!C12</f>
        <v>KP</v>
      </c>
      <c r="E40" s="76">
        <f>'B2'!E12</f>
        <v>1.6143704506404476E-2</v>
      </c>
      <c r="F40" s="76">
        <f>'B2'!F12</f>
        <v>1.6143704506404476E-2</v>
      </c>
      <c r="G40" s="76">
        <f>'B2'!G12</f>
        <v>1.6143704506404472E-2</v>
      </c>
      <c r="H40" s="76">
        <f>'B2'!H12</f>
        <v>1.6143704506404476E-2</v>
      </c>
      <c r="I40" s="76">
        <f>'B2'!I12</f>
        <v>1.6143704506404476E-2</v>
      </c>
      <c r="J40" s="1325"/>
      <c r="L40" s="81"/>
      <c r="M40" s="81"/>
      <c r="N40" s="81" t="str">
        <f>'B1'!D38</f>
        <v>Apheresis</v>
      </c>
      <c r="O40" s="558">
        <f>'B1'!AE38</f>
        <v>0</v>
      </c>
      <c r="P40" s="558">
        <f>'B1'!AF38</f>
        <v>0</v>
      </c>
      <c r="Q40" s="558">
        <f>'B1'!AG38</f>
        <v>0</v>
      </c>
      <c r="R40" s="558">
        <f>'B1'!AH38</f>
        <v>0</v>
      </c>
      <c r="S40" s="558">
        <f>'B1'!AI38</f>
        <v>0</v>
      </c>
    </row>
    <row r="41" spans="2:19" x14ac:dyDescent="0.25">
      <c r="C41" s="1" t="str">
        <f>'B2'!C13</f>
        <v>Medicare</v>
      </c>
      <c r="E41" s="76">
        <f>'B2'!E13</f>
        <v>0.57761980932482815</v>
      </c>
      <c r="F41" s="76">
        <f>'B2'!F13</f>
        <v>0.57761980932482815</v>
      </c>
      <c r="G41" s="76">
        <f>'B2'!G13</f>
        <v>0.57761980932482804</v>
      </c>
      <c r="H41" s="76">
        <f>'B2'!H13</f>
        <v>0.57761980932482815</v>
      </c>
      <c r="I41" s="76">
        <f>'B2'!I13</f>
        <v>0.57761980932482815</v>
      </c>
      <c r="J41" s="1325"/>
      <c r="L41" s="81"/>
      <c r="M41" s="81"/>
      <c r="N41" s="81"/>
      <c r="O41" s="13">
        <f>SUM(O36:O40)</f>
        <v>0</v>
      </c>
      <c r="P41" s="13">
        <f>SUM(P36:P40)</f>
        <v>0</v>
      </c>
      <c r="Q41" s="13">
        <f>SUM(Q36:Q40)</f>
        <v>0</v>
      </c>
      <c r="R41" s="13">
        <f>SUM(R36:R40)</f>
        <v>0</v>
      </c>
      <c r="S41" s="13">
        <f>SUM(S36:S40)</f>
        <v>0</v>
      </c>
    </row>
    <row r="42" spans="2:19" x14ac:dyDescent="0.25">
      <c r="C42" s="1" t="str">
        <f>'B2'!C14</f>
        <v>Medicaid</v>
      </c>
      <c r="E42" s="76">
        <f>'B2'!E14</f>
        <v>0.18911333866035857</v>
      </c>
      <c r="F42" s="76">
        <f>'B2'!F14</f>
        <v>0.18911333866035854</v>
      </c>
      <c r="G42" s="76">
        <f>'B2'!G14</f>
        <v>0.18911333866035851</v>
      </c>
      <c r="H42" s="76">
        <f>'B2'!H14</f>
        <v>0.18911333866035854</v>
      </c>
      <c r="I42" s="76">
        <f>'B2'!I14</f>
        <v>0.18911333866035854</v>
      </c>
      <c r="J42" s="1325"/>
      <c r="M42" s="81"/>
      <c r="N42" s="81"/>
      <c r="O42" s="13"/>
      <c r="P42" s="13"/>
      <c r="Q42" s="13"/>
      <c r="R42" s="13"/>
      <c r="S42" s="13"/>
    </row>
    <row r="43" spans="2:19" x14ac:dyDescent="0.25">
      <c r="C43" s="1" t="str">
        <f>'B2'!C15</f>
        <v>Other</v>
      </c>
      <c r="E43" s="76">
        <f>'B2'!E15</f>
        <v>5.0456486303117137E-2</v>
      </c>
      <c r="F43" s="76">
        <f>'B2'!F15</f>
        <v>5.045648630311713E-2</v>
      </c>
      <c r="G43" s="76">
        <f>'B2'!G15</f>
        <v>5.0456486303117123E-2</v>
      </c>
      <c r="H43" s="76">
        <f>'B2'!H15</f>
        <v>5.045648630311713E-2</v>
      </c>
      <c r="I43" s="76">
        <f>'B2'!I15</f>
        <v>5.045648630311713E-2</v>
      </c>
      <c r="J43" s="1325"/>
      <c r="L43" s="1330" t="str">
        <f>'B1'!C41</f>
        <v>Total Treatments</v>
      </c>
      <c r="M43" s="1330"/>
      <c r="N43" s="1330"/>
      <c r="O43" s="1326">
        <f>O33+O41</f>
        <v>9163.2354854031037</v>
      </c>
      <c r="P43" s="1326">
        <f>P33+P41</f>
        <v>9482.9891838241674</v>
      </c>
      <c r="Q43" s="1326">
        <f>Q33+Q41</f>
        <v>9767.4788593388912</v>
      </c>
      <c r="R43" s="1326">
        <f>R33+R41</f>
        <v>10060.503225119059</v>
      </c>
      <c r="S43" s="1326">
        <f>S33+S41</f>
        <v>10362.31832187263</v>
      </c>
    </row>
    <row r="44" spans="2:19" x14ac:dyDescent="0.25">
      <c r="C44" s="1" t="str">
        <f>'B2'!C16</f>
        <v>AKI</v>
      </c>
      <c r="D44" s="81"/>
      <c r="E44" s="1332">
        <f>'B2'!E16</f>
        <v>0</v>
      </c>
      <c r="F44" s="1332">
        <f>'B2'!F16</f>
        <v>0</v>
      </c>
      <c r="G44" s="1332">
        <f>'B2'!G16</f>
        <v>0</v>
      </c>
      <c r="H44" s="1332">
        <f>'B2'!H16</f>
        <v>0</v>
      </c>
      <c r="I44" s="1332">
        <f>'B2'!I16</f>
        <v>0</v>
      </c>
      <c r="J44" s="1325"/>
    </row>
    <row r="45" spans="2:19" x14ac:dyDescent="0.25">
      <c r="C45" s="1" t="str">
        <f>'B2'!C17</f>
        <v>Total</v>
      </c>
      <c r="D45" s="81"/>
      <c r="E45" s="76">
        <f>SUM(E38:E44)</f>
        <v>1</v>
      </c>
      <c r="F45" s="76">
        <f>SUM(F38:F44)</f>
        <v>0.99999999999999989</v>
      </c>
      <c r="G45" s="76">
        <f>SUM(G38:G44)</f>
        <v>0.99999999999999978</v>
      </c>
      <c r="H45" s="76">
        <f>SUM(H38:H44)</f>
        <v>0.99999999999999989</v>
      </c>
      <c r="I45" s="76">
        <f>SUM(I38:I44)</f>
        <v>0.99999999999999989</v>
      </c>
      <c r="J45" s="1325"/>
      <c r="L45" s="81"/>
      <c r="M45" s="81"/>
      <c r="N45" s="81"/>
    </row>
    <row r="46" spans="2:19" x14ac:dyDescent="0.25">
      <c r="J46" s="1325"/>
      <c r="L46" s="81"/>
      <c r="M46" s="81"/>
      <c r="N46" s="81"/>
    </row>
  </sheetData>
  <conditionalFormatting sqref="C37:I45">
    <cfRule type="expression" dxfId="18" priority="1">
      <formula>$V$4=0</formula>
    </cfRule>
  </conditionalFormatting>
  <hyperlinks>
    <hyperlink ref="U9" r:id="rId1"/>
  </hyperlinks>
  <printOptions horizontalCentered="1"/>
  <pageMargins left="0.7" right="0.7" top="0.75" bottom="0.75" header="0.3" footer="0.3"/>
  <pageSetup scale="72" orientation="landscape" r:id="rId2"/>
  <ignoredErrors>
    <ignoredError sqref="E37:I40" evalError="1"/>
  </ignoredErrors>
  <drawing r:id="rId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>
    <tabColor rgb="FFFF0000"/>
    <pageSetUpPr fitToPage="1"/>
  </sheetPr>
  <dimension ref="A1:S48"/>
  <sheetViews>
    <sheetView showGridLines="0" view="pageBreakPreview" zoomScale="85" zoomScaleNormal="60" zoomScaleSheetLayoutView="85" workbookViewId="0"/>
  </sheetViews>
  <sheetFormatPr defaultColWidth="9.42578125" defaultRowHeight="15" x14ac:dyDescent="0.25"/>
  <cols>
    <col min="1" max="1" width="1.5703125" style="1" customWidth="1"/>
    <col min="2" max="3" width="3.5703125" style="1" customWidth="1"/>
    <col min="4" max="11" width="10.5703125" style="1" customWidth="1"/>
    <col min="12" max="12" width="2.5703125" style="1" customWidth="1"/>
    <col min="13" max="17" width="10.5703125" style="1" customWidth="1"/>
    <col min="18" max="16384" width="9.42578125" style="1"/>
  </cols>
  <sheetData>
    <row r="1" spans="1:19" ht="7.35" customHeight="1" thickBot="1" x14ac:dyDescent="0.3">
      <c r="C1" s="108"/>
      <c r="D1" s="108"/>
      <c r="E1" s="108"/>
      <c r="F1" s="108"/>
      <c r="G1" s="108"/>
      <c r="H1" s="108"/>
      <c r="I1" s="108"/>
      <c r="J1" s="108"/>
      <c r="K1" s="108"/>
      <c r="L1" s="108"/>
      <c r="M1" s="108"/>
      <c r="N1" s="108"/>
      <c r="O1" s="108"/>
      <c r="P1" s="108"/>
      <c r="Q1" s="108"/>
    </row>
    <row r="2" spans="1:19" ht="16.5" thickTop="1" x14ac:dyDescent="0.25">
      <c r="B2" s="110" t="str">
        <f>MainOutline!B2</f>
        <v>WB Santa Cruz</v>
      </c>
      <c r="C2" s="111"/>
      <c r="D2" s="111"/>
      <c r="E2" s="111"/>
      <c r="F2" s="111"/>
      <c r="G2" s="111"/>
      <c r="H2" s="508" t="str">
        <f>'A1'!$C$90</f>
        <v>Acquisition of an existing facility</v>
      </c>
      <c r="I2" s="111"/>
      <c r="J2" s="111"/>
      <c r="K2" s="111"/>
      <c r="L2" s="111"/>
      <c r="M2" s="111"/>
      <c r="N2" s="111"/>
      <c r="O2" s="111"/>
      <c r="P2" s="111"/>
      <c r="Q2" s="1409">
        <f>$A$3</f>
        <v>11</v>
      </c>
    </row>
    <row r="3" spans="1:19" ht="15.75" x14ac:dyDescent="0.25">
      <c r="A3" s="123">
        <f>MainOutline!B22</f>
        <v>11</v>
      </c>
      <c r="B3" s="102" t="str">
        <f>MainOutline!C22</f>
        <v>Exhibit M3</v>
      </c>
      <c r="C3" s="89"/>
      <c r="D3" s="89"/>
      <c r="E3" s="89"/>
      <c r="F3" s="89"/>
      <c r="G3" s="89"/>
      <c r="H3" s="89"/>
      <c r="I3" s="89"/>
      <c r="J3" s="89"/>
      <c r="K3" s="89"/>
      <c r="L3" s="89"/>
      <c r="M3" s="89"/>
      <c r="N3" s="89"/>
      <c r="O3" s="89"/>
      <c r="P3" s="89"/>
      <c r="Q3" s="89"/>
    </row>
    <row r="4" spans="1:19" ht="16.5" thickBot="1" x14ac:dyDescent="0.3">
      <c r="B4" s="104" t="s">
        <v>542</v>
      </c>
      <c r="C4" s="97"/>
      <c r="D4" s="97"/>
      <c r="E4" s="97"/>
      <c r="F4" s="97"/>
      <c r="G4" s="97"/>
      <c r="H4" s="97"/>
      <c r="I4" s="97"/>
      <c r="J4" s="97"/>
      <c r="K4" s="97"/>
      <c r="L4" s="97"/>
      <c r="M4" s="97"/>
      <c r="N4" s="97"/>
      <c r="O4" s="97"/>
      <c r="P4" s="97"/>
      <c r="Q4" s="138" t="s">
        <v>548</v>
      </c>
    </row>
    <row r="5" spans="1:19" ht="15.75" thickTop="1" x14ac:dyDescent="0.25"/>
    <row r="7" spans="1:19" ht="17.25" x14ac:dyDescent="0.4">
      <c r="B7" s="632" t="s">
        <v>543</v>
      </c>
      <c r="E7" s="341"/>
      <c r="F7" s="341"/>
      <c r="G7" s="341"/>
      <c r="H7" s="341"/>
      <c r="I7" s="341"/>
      <c r="J7" s="341"/>
      <c r="M7" s="291"/>
      <c r="N7" s="75"/>
      <c r="O7" s="291"/>
    </row>
    <row r="8" spans="1:19" x14ac:dyDescent="0.25">
      <c r="L8" s="81"/>
      <c r="M8" s="371"/>
      <c r="N8" s="371"/>
      <c r="O8" s="371"/>
    </row>
    <row r="9" spans="1:19" ht="17.25" x14ac:dyDescent="0.4">
      <c r="C9" s="633" t="s">
        <v>483</v>
      </c>
      <c r="D9" s="633"/>
      <c r="E9" s="633"/>
      <c r="F9" s="633"/>
      <c r="G9" s="633"/>
      <c r="H9" s="633" t="s">
        <v>480</v>
      </c>
      <c r="I9" s="633"/>
      <c r="J9" s="633"/>
      <c r="K9" s="633"/>
      <c r="L9" s="81"/>
      <c r="M9" s="634"/>
      <c r="N9" s="634"/>
      <c r="O9" s="635"/>
    </row>
    <row r="10" spans="1:19" x14ac:dyDescent="0.25">
      <c r="C10" s="175" t="s">
        <v>481</v>
      </c>
      <c r="F10" s="371">
        <f>'A1'!S58</f>
        <v>265</v>
      </c>
      <c r="G10" s="79">
        <f>F10/F$13</f>
        <v>0.41417894500889868</v>
      </c>
      <c r="H10" s="619" t="str">
        <f>'A1'!U59</f>
        <v>Debt</v>
      </c>
      <c r="J10" s="371">
        <f>'A1'!V59</f>
        <v>0</v>
      </c>
      <c r="K10" s="79">
        <f>J10/$J$13</f>
        <v>0</v>
      </c>
      <c r="L10" s="81"/>
      <c r="M10" s="173"/>
      <c r="N10" s="173"/>
      <c r="O10" s="173"/>
      <c r="R10" s="81"/>
    </row>
    <row r="11" spans="1:19" x14ac:dyDescent="0.25">
      <c r="C11" s="175" t="s">
        <v>473</v>
      </c>
      <c r="F11" s="371">
        <f>'A1'!S59</f>
        <v>374.82006616561949</v>
      </c>
      <c r="G11" s="79">
        <f>F11/F$13</f>
        <v>0.58582105499110138</v>
      </c>
      <c r="H11" s="619" t="str">
        <f>'A1'!U60</f>
        <v>SH Cash</v>
      </c>
      <c r="J11" s="371">
        <f>'A1'!V60</f>
        <v>639.82006616561944</v>
      </c>
      <c r="K11" s="79">
        <f>J11/$J$13</f>
        <v>1</v>
      </c>
      <c r="R11" s="175"/>
      <c r="S11" s="81"/>
    </row>
    <row r="12" spans="1:19" x14ac:dyDescent="0.25">
      <c r="C12" s="175" t="s">
        <v>474</v>
      </c>
      <c r="F12" s="636">
        <f>'A1'!S60</f>
        <v>0</v>
      </c>
      <c r="G12" s="637">
        <f>F12/F$13</f>
        <v>0</v>
      </c>
      <c r="H12" s="619" t="str">
        <f>'A1'!U61</f>
        <v>Partner Cash</v>
      </c>
      <c r="J12" s="636">
        <f>'A1'!V61</f>
        <v>0</v>
      </c>
      <c r="K12" s="637">
        <f>J12/$J$13</f>
        <v>0</v>
      </c>
      <c r="R12" s="175"/>
      <c r="S12" s="81"/>
    </row>
    <row r="13" spans="1:19" x14ac:dyDescent="0.25">
      <c r="F13" s="371">
        <f>SUM(F10:F12)</f>
        <v>639.82006616561944</v>
      </c>
      <c r="G13" s="79">
        <f>F13/F$13</f>
        <v>1</v>
      </c>
      <c r="H13" s="638"/>
      <c r="I13" s="639"/>
      <c r="J13" s="371">
        <f>SUM(J10:J12)</f>
        <v>639.82006616561944</v>
      </c>
      <c r="K13" s="79">
        <f>J13/$J$13</f>
        <v>1</v>
      </c>
      <c r="R13" s="175"/>
      <c r="S13" s="81"/>
    </row>
    <row r="14" spans="1:19" x14ac:dyDescent="0.25">
      <c r="B14" s="81"/>
      <c r="C14" s="81"/>
      <c r="R14" s="175"/>
      <c r="S14" s="81"/>
    </row>
    <row r="15" spans="1:19" x14ac:dyDescent="0.25">
      <c r="C15" s="81"/>
      <c r="I15" s="640"/>
      <c r="J15" s="640" t="s">
        <v>541</v>
      </c>
      <c r="K15" s="641">
        <f>J12/(J11+J12)</f>
        <v>0</v>
      </c>
      <c r="R15" s="175"/>
      <c r="S15" s="81"/>
    </row>
    <row r="16" spans="1:19" ht="15.75" thickBot="1" x14ac:dyDescent="0.3">
      <c r="B16" s="257"/>
      <c r="C16" s="257"/>
      <c r="D16" s="257"/>
      <c r="E16" s="257"/>
      <c r="F16" s="257"/>
      <c r="G16" s="257"/>
      <c r="H16" s="257"/>
      <c r="I16" s="257"/>
      <c r="J16" s="257"/>
      <c r="K16" s="257"/>
      <c r="L16" s="257"/>
      <c r="M16" s="257"/>
      <c r="N16" s="257"/>
      <c r="O16" s="257"/>
      <c r="P16" s="257"/>
      <c r="Q16" s="257"/>
      <c r="R16" s="175"/>
      <c r="S16" s="81"/>
    </row>
    <row r="17" spans="2:19" x14ac:dyDescent="0.25">
      <c r="B17" s="106" t="s">
        <v>544</v>
      </c>
      <c r="R17" s="175"/>
      <c r="S17" s="81"/>
    </row>
    <row r="18" spans="2:19" ht="17.25" x14ac:dyDescent="0.4">
      <c r="G18" s="292"/>
      <c r="H18" s="292"/>
      <c r="I18" s="292"/>
      <c r="J18" s="292"/>
      <c r="K18" s="292"/>
      <c r="M18" s="292" t="s">
        <v>374</v>
      </c>
      <c r="N18" s="292"/>
      <c r="O18" s="292"/>
      <c r="P18" s="292"/>
      <c r="Q18" s="292"/>
    </row>
    <row r="19" spans="2:19" ht="17.25" x14ac:dyDescent="0.4">
      <c r="B19" s="81" t="s">
        <v>539</v>
      </c>
      <c r="G19" s="642">
        <v>1</v>
      </c>
      <c r="H19" s="642">
        <v>2</v>
      </c>
      <c r="I19" s="642">
        <v>3</v>
      </c>
      <c r="J19" s="642">
        <v>4</v>
      </c>
      <c r="K19" s="642">
        <v>5</v>
      </c>
      <c r="M19" s="642">
        <f>G19</f>
        <v>1</v>
      </c>
      <c r="N19" s="642">
        <f>H19</f>
        <v>2</v>
      </c>
      <c r="O19" s="642">
        <f>I19</f>
        <v>3</v>
      </c>
      <c r="P19" s="642">
        <f>J19</f>
        <v>4</v>
      </c>
      <c r="Q19" s="642">
        <f>K19</f>
        <v>5</v>
      </c>
    </row>
    <row r="20" spans="2:19" x14ac:dyDescent="0.25">
      <c r="B20" s="81"/>
      <c r="C20" s="81" t="s">
        <v>32</v>
      </c>
      <c r="D20" s="81"/>
      <c r="E20" s="81"/>
      <c r="G20" s="13">
        <f>ApndxA1!J19</f>
        <v>3533.807806374456</v>
      </c>
      <c r="H20" s="13">
        <f>ApndxA1!K19</f>
        <v>3693.6922412977856</v>
      </c>
      <c r="I20" s="13">
        <f>ApndxA1!L19</f>
        <v>3842.5480386220866</v>
      </c>
      <c r="J20" s="13">
        <f>ApndxA1!M19</f>
        <v>3997.4027245785569</v>
      </c>
      <c r="K20" s="13">
        <f>ApndxA1!N19</f>
        <v>4158.4980543790716</v>
      </c>
      <c r="M20" s="13">
        <f>ApndxA1!P19</f>
        <v>385.65065931174183</v>
      </c>
      <c r="N20" s="13">
        <f>ApndxA1!Q19</f>
        <v>389.50716590485922</v>
      </c>
      <c r="O20" s="13">
        <f>ApndxA1!R19</f>
        <v>393.40223756390793</v>
      </c>
      <c r="P20" s="13">
        <f>ApndxA1!S19</f>
        <v>397.33625993954695</v>
      </c>
      <c r="Q20" s="13">
        <f>ApndxA1!T19</f>
        <v>401.30962253894239</v>
      </c>
    </row>
    <row r="21" spans="2:19" x14ac:dyDescent="0.25">
      <c r="B21" s="81"/>
      <c r="C21" s="81" t="s">
        <v>37</v>
      </c>
      <c r="D21" s="81"/>
      <c r="E21" s="81"/>
      <c r="G21" s="13">
        <f>ApndxA1!J28</f>
        <v>1074.5152160960047</v>
      </c>
      <c r="H21" s="13">
        <f>ApndxA1!K28</f>
        <v>1064.5347929423483</v>
      </c>
      <c r="I21" s="13">
        <f>ApndxA1!L28</f>
        <v>1043.6002322794138</v>
      </c>
      <c r="J21" s="13">
        <f>ApndxA1!M28</f>
        <v>1017.3539460030925</v>
      </c>
      <c r="K21" s="13">
        <f>ApndxA1!N28</f>
        <v>985.27133540935893</v>
      </c>
      <c r="M21" s="13">
        <f>ApndxA1!P28</f>
        <v>117.26373482463605</v>
      </c>
      <c r="N21" s="13">
        <f>ApndxA1!Q28</f>
        <v>112.25730329400814</v>
      </c>
      <c r="O21" s="13">
        <f>ApndxA1!R28</f>
        <v>106.84438096137835</v>
      </c>
      <c r="P21" s="13">
        <f>ApndxA1!S28</f>
        <v>101.12356442200264</v>
      </c>
      <c r="Q21" s="13">
        <f>ApndxA1!T28</f>
        <v>95.082133631203234</v>
      </c>
    </row>
    <row r="22" spans="2:19" x14ac:dyDescent="0.25">
      <c r="B22" s="81"/>
      <c r="C22" s="81" t="s">
        <v>38</v>
      </c>
      <c r="D22" s="81"/>
      <c r="E22" s="81"/>
      <c r="G22" s="13">
        <f>ApndxA1!J46</f>
        <v>413.79553739481457</v>
      </c>
      <c r="H22" s="13">
        <f>ApndxA1!K46</f>
        <v>379.76483425774609</v>
      </c>
      <c r="I22" s="13">
        <f>ApndxA1!L46</f>
        <v>335.22289220613311</v>
      </c>
      <c r="J22" s="13">
        <f>ApndxA1!M46</f>
        <v>284.52036624813582</v>
      </c>
      <c r="K22" s="13">
        <f>ApndxA1!N46</f>
        <v>227.10109560929448</v>
      </c>
      <c r="M22" s="13">
        <f>ApndxA1!P46</f>
        <v>45.158234561796938</v>
      </c>
      <c r="N22" s="13">
        <f>ApndxA1!Q46</f>
        <v>40.046954277406421</v>
      </c>
      <c r="O22" s="13">
        <f>ApndxA1!R46</f>
        <v>34.320308959319576</v>
      </c>
      <c r="P22" s="13">
        <f>ApndxA1!S46</f>
        <v>28.280927890142266</v>
      </c>
      <c r="Q22" s="13">
        <f>ApndxA1!T46</f>
        <v>21.916050883124562</v>
      </c>
    </row>
    <row r="23" spans="2:19" x14ac:dyDescent="0.25">
      <c r="B23" s="81"/>
      <c r="C23" s="81" t="s">
        <v>39</v>
      </c>
      <c r="D23" s="81"/>
      <c r="E23" s="81"/>
      <c r="G23" s="13">
        <f>ApndxA1!J38</f>
        <v>401.07908596624316</v>
      </c>
      <c r="H23" s="13">
        <f>ApndxA1!K38</f>
        <v>256.04838282917467</v>
      </c>
      <c r="I23" s="13">
        <f>ApndxA1!L38</f>
        <v>221.7346007775617</v>
      </c>
      <c r="J23" s="13">
        <f>ApndxA1!M38</f>
        <v>171.0320748195644</v>
      </c>
      <c r="K23" s="13">
        <f>ApndxA1!N38</f>
        <v>113.61280418072306</v>
      </c>
      <c r="M23" s="13">
        <f>ApndxA1!P38</f>
        <v>43.770465858392058</v>
      </c>
      <c r="N23" s="13">
        <f>ApndxA1!Q38</f>
        <v>27.000809329819255</v>
      </c>
      <c r="O23" s="13">
        <f>ApndxA1!R38</f>
        <v>22.701313611296595</v>
      </c>
      <c r="P23" s="13">
        <f>ApndxA1!S38</f>
        <v>17.000349882352964</v>
      </c>
      <c r="Q23" s="13">
        <f>ApndxA1!T38</f>
        <v>10.964033399833975</v>
      </c>
    </row>
    <row r="24" spans="2:19" x14ac:dyDescent="0.25">
      <c r="B24" s="81"/>
      <c r="C24" s="81" t="s">
        <v>859</v>
      </c>
      <c r="D24" s="81"/>
      <c r="E24" s="81"/>
      <c r="G24" s="13">
        <f>ApndxA1!J42</f>
        <v>401.07908596624316</v>
      </c>
      <c r="H24" s="13">
        <f>ApndxA1!K42</f>
        <v>256.04838282917467</v>
      </c>
      <c r="I24" s="13">
        <f>ApndxA1!L42</f>
        <v>221.7346007775617</v>
      </c>
      <c r="J24" s="13">
        <f>ApndxA1!M42</f>
        <v>171.0320748195644</v>
      </c>
      <c r="K24" s="13">
        <f>ApndxA1!N42</f>
        <v>113.61280418072306</v>
      </c>
      <c r="M24" s="13">
        <f>ApndxA1!P42</f>
        <v>43.770465858392058</v>
      </c>
      <c r="N24" s="13">
        <f>ApndxA1!Q42</f>
        <v>27.000809329819255</v>
      </c>
      <c r="O24" s="13">
        <f>ApndxA1!R42</f>
        <v>22.701313611296595</v>
      </c>
      <c r="P24" s="13">
        <f>ApndxA1!S42</f>
        <v>17.000349882352964</v>
      </c>
      <c r="Q24" s="13">
        <f>ApndxA1!T42</f>
        <v>10.964033399833975</v>
      </c>
    </row>
    <row r="25" spans="2:19" x14ac:dyDescent="0.25">
      <c r="B25" s="81"/>
      <c r="C25" s="81" t="s">
        <v>858</v>
      </c>
      <c r="D25" s="81"/>
      <c r="E25" s="81"/>
      <c r="G25" s="13">
        <f>ApndxA1!J44</f>
        <v>401.07908596624316</v>
      </c>
      <c r="H25" s="13">
        <f>ApndxA1!K44</f>
        <v>256.04838282917467</v>
      </c>
      <c r="I25" s="13">
        <f>ApndxA1!L44</f>
        <v>221.7346007775617</v>
      </c>
      <c r="J25" s="13">
        <f>ApndxA1!M44</f>
        <v>171.0320748195644</v>
      </c>
      <c r="K25" s="13">
        <f>ApndxA1!N44</f>
        <v>113.61280418072306</v>
      </c>
      <c r="M25" s="13">
        <f>ApndxA1!P44</f>
        <v>43.770465858392058</v>
      </c>
      <c r="N25" s="13">
        <f>ApndxA1!Q44</f>
        <v>27.000809329819255</v>
      </c>
      <c r="O25" s="13">
        <f>ApndxA1!R44</f>
        <v>22.701313611296595</v>
      </c>
      <c r="P25" s="13">
        <f>ApndxA1!S44</f>
        <v>17.000349882352964</v>
      </c>
      <c r="Q25" s="13">
        <f>ApndxA1!T44</f>
        <v>10.964033399833975</v>
      </c>
    </row>
    <row r="26" spans="2:19" x14ac:dyDescent="0.25">
      <c r="B26" s="81"/>
      <c r="C26" s="81"/>
      <c r="D26" s="81"/>
      <c r="E26" s="81"/>
      <c r="G26" s="25"/>
      <c r="H26" s="25"/>
      <c r="I26" s="25"/>
      <c r="J26" s="25"/>
      <c r="K26" s="25"/>
    </row>
    <row r="27" spans="2:19" x14ac:dyDescent="0.25">
      <c r="B27" s="81" t="s">
        <v>540</v>
      </c>
      <c r="C27" s="81"/>
      <c r="D27" s="81"/>
      <c r="E27" s="81"/>
      <c r="G27" s="25"/>
      <c r="H27" s="25"/>
      <c r="I27" s="25"/>
      <c r="J27" s="25"/>
      <c r="K27" s="25"/>
      <c r="Q27" s="13"/>
    </row>
    <row r="28" spans="2:19" x14ac:dyDescent="0.25">
      <c r="B28" s="81"/>
      <c r="C28" s="81" t="str">
        <f>'A1'!R12</f>
        <v>Labor</v>
      </c>
      <c r="D28" s="81"/>
      <c r="E28" s="81"/>
      <c r="G28" s="13">
        <f>ApndxA1!J22</f>
        <v>970.15440716815681</v>
      </c>
      <c r="H28" s="13">
        <f>ApndxA1!K22</f>
        <v>1026.411283161299</v>
      </c>
      <c r="I28" s="13">
        <f>ApndxA1!L22</f>
        <v>1082.0861141867119</v>
      </c>
      <c r="J28" s="13">
        <f>ApndxA1!M22</f>
        <v>1140.9465339379994</v>
      </c>
      <c r="K28" s="13">
        <f>ApndxA1!N22</f>
        <v>1203.1803945140596</v>
      </c>
      <c r="M28" s="13">
        <f>ApndxA1!P22</f>
        <v>105.8746562514516</v>
      </c>
      <c r="N28" s="13">
        <f>ApndxA1!Q22</f>
        <v>108.23710364577072</v>
      </c>
      <c r="O28" s="13">
        <f>ApndxA1!R22</f>
        <v>110.78458727884593</v>
      </c>
      <c r="P28" s="13">
        <f>ApndxA1!S22</f>
        <v>113.40849542091341</v>
      </c>
      <c r="Q28" s="13">
        <f>ApndxA1!T22</f>
        <v>116.11112080724291</v>
      </c>
    </row>
    <row r="29" spans="2:19" x14ac:dyDescent="0.25">
      <c r="C29" s="81" t="str">
        <f>'A1'!R13</f>
        <v>Pharmacy</v>
      </c>
      <c r="E29" s="81"/>
      <c r="G29" s="13">
        <f>ApndxA1!J23</f>
        <v>357.25753213856962</v>
      </c>
      <c r="H29" s="13">
        <f>ApndxA1!K23</f>
        <v>384.5131003395972</v>
      </c>
      <c r="I29" s="13">
        <f>ApndxA1!L23</f>
        <v>411.89043308377649</v>
      </c>
      <c r="J29" s="13">
        <f>ApndxA1!M23</f>
        <v>441.21703191934148</v>
      </c>
      <c r="K29" s="13">
        <f>ApndxA1!N23</f>
        <v>472.63168459199858</v>
      </c>
      <c r="M29" s="13">
        <f>ApndxA1!P23</f>
        <v>38.988142638882898</v>
      </c>
      <c r="N29" s="13">
        <f>ApndxA1!Q23</f>
        <v>40.547668344438215</v>
      </c>
      <c r="O29" s="13">
        <f>ApndxA1!R23</f>
        <v>42.16957507821575</v>
      </c>
      <c r="P29" s="13">
        <f>ApndxA1!S23</f>
        <v>43.856358081344389</v>
      </c>
      <c r="Q29" s="13">
        <f>ApndxA1!T23</f>
        <v>45.610612404598164</v>
      </c>
    </row>
    <row r="30" spans="2:19" x14ac:dyDescent="0.25">
      <c r="C30" s="81" t="str">
        <f>'A1'!R14</f>
        <v>Supplies</v>
      </c>
      <c r="E30" s="81"/>
      <c r="G30" s="13">
        <f>ApndxA1!J24+ApndxA1!J25</f>
        <v>1131.8806509717247</v>
      </c>
      <c r="H30" s="13">
        <f>ApndxA1!K24+ApndxA1!K25</f>
        <v>1218.2330648545408</v>
      </c>
      <c r="I30" s="13">
        <f>ApndxA1!L24+ApndxA1!L25</f>
        <v>1304.971259072184</v>
      </c>
      <c r="J30" s="13">
        <f>ApndxA1!M24+ApndxA1!M25</f>
        <v>1397.8852127181237</v>
      </c>
      <c r="K30" s="13">
        <f>ApndxA1!N24+ApndxA1!N25</f>
        <v>1497.4146398636544</v>
      </c>
      <c r="M30" s="13">
        <f>ApndxA1!P24+ApndxA1!P25</f>
        <v>123.5241255967713</v>
      </c>
      <c r="N30" s="13">
        <f>ApndxA1!Q24+ApndxA1!Q25</f>
        <v>128.46509062064212</v>
      </c>
      <c r="O30" s="13">
        <f>ApndxA1!R24+ApndxA1!R25</f>
        <v>133.60369424546781</v>
      </c>
      <c r="P30" s="13">
        <f>ApndxA1!S24+ApndxA1!S25</f>
        <v>138.94784201528654</v>
      </c>
      <c r="Q30" s="13">
        <f>ApndxA1!T24+ApndxA1!T25</f>
        <v>144.50575569589805</v>
      </c>
    </row>
    <row r="31" spans="2:19" ht="17.25" x14ac:dyDescent="0.4">
      <c r="C31" s="81" t="str">
        <f>'A1'!R15</f>
        <v>G&amp;A</v>
      </c>
      <c r="E31" s="81"/>
      <c r="G31" s="558">
        <f>ApndxA1!J36</f>
        <v>673.43613012976152</v>
      </c>
      <c r="H31" s="558">
        <f>ApndxA1!K36</f>
        <v>808.48641011317363</v>
      </c>
      <c r="I31" s="558">
        <f>ApndxA1!L36</f>
        <v>821.86563150185214</v>
      </c>
      <c r="J31" s="558">
        <f>ApndxA1!M36</f>
        <v>846.32187118352806</v>
      </c>
      <c r="K31" s="558">
        <f>ApndxA1!N36</f>
        <v>871.65853122863587</v>
      </c>
      <c r="M31" s="558">
        <f>ApndxA1!P36</f>
        <v>73.493268966243988</v>
      </c>
      <c r="N31" s="558">
        <f>ApndxA1!Q36</f>
        <v>85.256493964188877</v>
      </c>
      <c r="O31" s="558">
        <f>ApndxA1!R36</f>
        <v>84.143067350081765</v>
      </c>
      <c r="P31" s="558">
        <f>ApndxA1!S36</f>
        <v>84.12321453964968</v>
      </c>
      <c r="Q31" s="558">
        <f>ApndxA1!T36</f>
        <v>84.11810023136924</v>
      </c>
    </row>
    <row r="32" spans="2:19" x14ac:dyDescent="0.25">
      <c r="E32" s="81"/>
      <c r="G32" s="381">
        <f>SUM(G28:G31)</f>
        <v>3132.7287204082122</v>
      </c>
      <c r="H32" s="381">
        <f t="shared" ref="H32:Q32" si="0">SUM(H28:H31)</f>
        <v>3437.6438584686102</v>
      </c>
      <c r="I32" s="381">
        <f t="shared" si="0"/>
        <v>3620.8134378445243</v>
      </c>
      <c r="J32" s="381">
        <f t="shared" si="0"/>
        <v>3826.3706497589928</v>
      </c>
      <c r="K32" s="381">
        <f t="shared" si="0"/>
        <v>4044.8852501983483</v>
      </c>
      <c r="M32" s="381">
        <f t="shared" si="0"/>
        <v>341.88019345334976</v>
      </c>
      <c r="N32" s="381">
        <f t="shared" si="0"/>
        <v>362.50635657503994</v>
      </c>
      <c r="O32" s="381">
        <f t="shared" si="0"/>
        <v>370.70092395261122</v>
      </c>
      <c r="P32" s="381">
        <f t="shared" si="0"/>
        <v>380.33591005719404</v>
      </c>
      <c r="Q32" s="381">
        <f t="shared" si="0"/>
        <v>390.34558913910837</v>
      </c>
    </row>
    <row r="33" spans="2:17" ht="15.75" thickBot="1" x14ac:dyDescent="0.3">
      <c r="B33" s="257"/>
      <c r="C33" s="257"/>
      <c r="D33" s="257"/>
      <c r="E33" s="366"/>
      <c r="F33" s="257"/>
      <c r="G33" s="257"/>
      <c r="H33" s="257"/>
      <c r="I33" s="257"/>
      <c r="J33" s="366"/>
      <c r="K33" s="257"/>
      <c r="L33" s="257"/>
      <c r="M33" s="257"/>
      <c r="N33" s="257"/>
      <c r="O33" s="257"/>
      <c r="P33" s="257"/>
      <c r="Q33" s="257"/>
    </row>
    <row r="34" spans="2:17" x14ac:dyDescent="0.25">
      <c r="B34" s="106" t="s">
        <v>545</v>
      </c>
      <c r="E34" s="81"/>
      <c r="G34" s="533" t="str">
        <f>'A1'!P4</f>
        <v>Cash reaches a minimum of $0.21 million by Y2 Q1</v>
      </c>
      <c r="J34" s="81"/>
    </row>
    <row r="35" spans="2:17" x14ac:dyDescent="0.25">
      <c r="E35" s="81"/>
      <c r="J35" s="81"/>
    </row>
    <row r="36" spans="2:17" x14ac:dyDescent="0.25">
      <c r="B36" s="81" t="s">
        <v>41</v>
      </c>
      <c r="C36" s="81"/>
      <c r="D36" s="81"/>
      <c r="E36" s="81"/>
      <c r="J36" s="81"/>
    </row>
    <row r="37" spans="2:17" ht="17.25" x14ac:dyDescent="0.4">
      <c r="B37" s="81"/>
      <c r="C37" s="81" t="s">
        <v>42</v>
      </c>
      <c r="D37" s="81"/>
      <c r="G37" s="13">
        <f>ApndxA2!J9</f>
        <v>391.25153362245516</v>
      </c>
      <c r="H37" s="13">
        <f>ApndxA2!K9</f>
        <v>446.11592588000491</v>
      </c>
      <c r="I37" s="13">
        <f>ApndxA2!L9</f>
        <v>438.41564330199412</v>
      </c>
      <c r="J37" s="13">
        <f>ApndxA2!M9</f>
        <v>464.11029479130252</v>
      </c>
      <c r="K37" s="13">
        <f>ApndxA2!N9</f>
        <v>491.42461984622207</v>
      </c>
      <c r="L37" s="340"/>
      <c r="M37" s="292"/>
      <c r="N37" s="292"/>
      <c r="O37" s="292"/>
      <c r="P37" s="292"/>
      <c r="Q37" s="292"/>
    </row>
    <row r="38" spans="2:17" x14ac:dyDescent="0.25">
      <c r="B38" s="81"/>
      <c r="C38" s="81" t="s">
        <v>43</v>
      </c>
      <c r="G38" s="13">
        <f>ApndxA2!J14</f>
        <v>1082.591009949095</v>
      </c>
      <c r="H38" s="13">
        <f>ApndxA2!K14</f>
        <v>1285.2858347827575</v>
      </c>
      <c r="I38" s="13">
        <f>ApndxA2!L14</f>
        <v>1196.2997804116592</v>
      </c>
      <c r="J38" s="13">
        <f>ApndxA2!M14</f>
        <v>1140.5540400481157</v>
      </c>
      <c r="K38" s="13">
        <f>ApndxA2!N14</f>
        <v>1087.9384422807918</v>
      </c>
    </row>
    <row r="39" spans="2:17" x14ac:dyDescent="0.25">
      <c r="B39" s="81"/>
      <c r="C39" s="81" t="s">
        <v>221</v>
      </c>
      <c r="D39" s="81"/>
      <c r="E39" s="81"/>
      <c r="G39" s="13">
        <f>ApndxA2!J18</f>
        <v>0</v>
      </c>
      <c r="H39" s="13">
        <f>ApndxA2!K18</f>
        <v>0</v>
      </c>
      <c r="I39" s="13">
        <f>ApndxA2!L18</f>
        <v>0</v>
      </c>
      <c r="J39" s="13">
        <f>ApndxA2!M18</f>
        <v>0</v>
      </c>
      <c r="K39" s="13">
        <f>ApndxA2!N18</f>
        <v>0</v>
      </c>
    </row>
    <row r="40" spans="2:17" x14ac:dyDescent="0.25">
      <c r="B40" s="81"/>
      <c r="C40" s="81" t="s">
        <v>176</v>
      </c>
      <c r="D40" s="81"/>
      <c r="E40" s="81"/>
      <c r="G40" s="13">
        <f>ApndxA2!J25</f>
        <v>751.26511005065584</v>
      </c>
      <c r="H40" s="13">
        <f>ApndxA2!K25</f>
        <v>943.14492073001531</v>
      </c>
      <c r="I40" s="13">
        <f>ApndxA2!L25</f>
        <v>832.5678134443084</v>
      </c>
      <c r="J40" s="13">
        <f>ApndxA2!M25</f>
        <v>754.56182428598936</v>
      </c>
      <c r="K40" s="13">
        <f>ApndxA2!N25</f>
        <v>678.22126886898445</v>
      </c>
      <c r="L40" s="81"/>
    </row>
    <row r="41" spans="2:17" x14ac:dyDescent="0.25">
      <c r="B41" s="81"/>
      <c r="C41" s="81"/>
      <c r="D41" s="81"/>
      <c r="E41" s="81"/>
      <c r="L41" s="81"/>
    </row>
    <row r="42" spans="2:17" x14ac:dyDescent="0.25">
      <c r="B42" s="81" t="s">
        <v>44</v>
      </c>
      <c r="C42" s="81"/>
      <c r="D42" s="81"/>
      <c r="E42" s="81"/>
    </row>
    <row r="43" spans="2:17" x14ac:dyDescent="0.25">
      <c r="B43" s="81"/>
      <c r="C43" s="81" t="s">
        <v>45</v>
      </c>
      <c r="D43" s="81"/>
      <c r="E43" s="81"/>
      <c r="G43" s="13">
        <f>ApndxA3!J15</f>
        <v>74.939869538042501</v>
      </c>
      <c r="H43" s="13">
        <f>ApndxA3!K15</f>
        <v>374.03296440736494</v>
      </c>
      <c r="I43" s="13">
        <f>ApndxA3!L15</f>
        <v>324.61142548525783</v>
      </c>
      <c r="J43" s="13">
        <f>ApndxA3!M15</f>
        <v>274.73271546719184</v>
      </c>
      <c r="K43" s="13">
        <f>ApndxA3!N15</f>
        <v>217.26768465264752</v>
      </c>
    </row>
    <row r="44" spans="2:17" x14ac:dyDescent="0.25">
      <c r="B44" s="81"/>
      <c r="C44" s="81" t="s">
        <v>546</v>
      </c>
      <c r="D44" s="81"/>
      <c r="E44" s="81"/>
      <c r="G44" s="13">
        <f>ApndxA3!J31</f>
        <v>-248.56853254316428</v>
      </c>
      <c r="H44" s="13">
        <f>ApndxA3!K31</f>
        <v>54.864392257549753</v>
      </c>
      <c r="I44" s="13">
        <f>ApndxA3!L31</f>
        <v>-7.7002825780107855</v>
      </c>
      <c r="J44" s="13">
        <f>ApndxA3!M31</f>
        <v>25.694651489308399</v>
      </c>
      <c r="K44" s="13">
        <f>ApndxA3!N31</f>
        <v>27.31432505491955</v>
      </c>
    </row>
    <row r="45" spans="2:17" x14ac:dyDescent="0.25">
      <c r="C45" s="81" t="s">
        <v>978</v>
      </c>
      <c r="G45" s="13">
        <f>ApndxA3!J24</f>
        <v>-313.50840208120678</v>
      </c>
      <c r="H45" s="13">
        <f>ApndxA3!K24</f>
        <v>-64.168572149815191</v>
      </c>
      <c r="I45" s="13">
        <f>ApndxA3!L24</f>
        <v>-332.31170806326861</v>
      </c>
      <c r="J45" s="13">
        <f>ApndxA3!M24</f>
        <v>-249.03806397788344</v>
      </c>
      <c r="K45" s="13">
        <f>ApndxA3!N24</f>
        <v>-189.95335959772797</v>
      </c>
      <c r="L45" s="13"/>
    </row>
    <row r="46" spans="2:17" x14ac:dyDescent="0.25">
      <c r="B46" s="81"/>
      <c r="C46" s="81" t="s">
        <v>547</v>
      </c>
      <c r="D46" s="81"/>
      <c r="E46" s="81"/>
      <c r="G46" s="13">
        <f>ApndxA3!J25</f>
        <v>0</v>
      </c>
      <c r="H46" s="13">
        <f>ApndxA3!K25</f>
        <v>0</v>
      </c>
      <c r="I46" s="13">
        <f>ApndxA3!L25</f>
        <v>0</v>
      </c>
      <c r="J46" s="13">
        <f>ApndxA3!M25</f>
        <v>0</v>
      </c>
      <c r="K46" s="13">
        <f>ApndxA3!N25</f>
        <v>0</v>
      </c>
    </row>
    <row r="47" spans="2:17" x14ac:dyDescent="0.25">
      <c r="B47" s="81"/>
      <c r="C47" s="81"/>
      <c r="D47" s="81"/>
    </row>
    <row r="48" spans="2:17" x14ac:dyDescent="0.25">
      <c r="B48" s="81"/>
      <c r="C48" s="81"/>
      <c r="D48" s="81"/>
    </row>
  </sheetData>
  <printOptions horizontalCentered="1"/>
  <pageMargins left="0.7" right="0.7" top="0.75" bottom="0.75" header="0.3" footer="0.3"/>
  <pageSetup scale="76" orientation="landscape" r:id="rId1"/>
  <ignoredErrors>
    <ignoredError sqref="A2:Q44 A46:B46 A45:B45 L45:Q45 L46:Q46" unlockedFormula="1"/>
  </ignoredErrors>
  <drawing r:id="rId2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>
    <tabColor rgb="FFFF0000"/>
    <pageSetUpPr fitToPage="1"/>
  </sheetPr>
  <dimension ref="A1:Q43"/>
  <sheetViews>
    <sheetView showGridLines="0" topLeftCell="A22" workbookViewId="0">
      <selection activeCell="L31" sqref="L31"/>
    </sheetView>
  </sheetViews>
  <sheetFormatPr defaultColWidth="9.42578125" defaultRowHeight="15" x14ac:dyDescent="0.25"/>
  <cols>
    <col min="1" max="1" width="1.42578125" style="1" customWidth="1"/>
    <col min="2" max="2" width="3.5703125" style="1" customWidth="1"/>
    <col min="3" max="4" width="12" style="1" customWidth="1"/>
    <col min="5" max="7" width="14.42578125" style="1" customWidth="1"/>
    <col min="8" max="8" width="6.5703125" style="1" customWidth="1"/>
    <col min="9" max="9" width="9.42578125" style="1" customWidth="1"/>
    <col min="10" max="11" width="12" style="1" customWidth="1"/>
    <col min="12" max="13" width="10.5703125" style="1" customWidth="1"/>
    <col min="14" max="14" width="17.42578125" style="1" customWidth="1"/>
    <col min="15" max="15" width="11.5703125" style="1" customWidth="1"/>
    <col min="16" max="16384" width="9.42578125" style="1"/>
  </cols>
  <sheetData>
    <row r="1" spans="1:17" ht="13.5" customHeight="1" thickBot="1" x14ac:dyDescent="0.3">
      <c r="B1" s="108"/>
      <c r="C1" s="108"/>
      <c r="D1" s="108"/>
      <c r="E1" s="108"/>
      <c r="F1" s="108"/>
      <c r="G1" s="108"/>
      <c r="H1" s="108"/>
      <c r="I1" s="108"/>
      <c r="J1" s="108"/>
      <c r="K1" s="108"/>
      <c r="L1" s="108"/>
      <c r="M1" s="108"/>
      <c r="N1" s="108"/>
      <c r="O1" s="108"/>
    </row>
    <row r="2" spans="1:17" ht="16.5" thickTop="1" x14ac:dyDescent="0.25">
      <c r="B2" s="110" t="str">
        <f>MainOutline!B2</f>
        <v>WB Santa Cruz</v>
      </c>
      <c r="C2" s="111"/>
      <c r="D2" s="111"/>
      <c r="E2" s="111"/>
      <c r="F2" s="111"/>
      <c r="G2" s="111"/>
      <c r="H2" s="111"/>
      <c r="I2" s="508" t="str">
        <f>'A1'!$C$90</f>
        <v>Acquisition of an existing facility</v>
      </c>
      <c r="J2" s="111"/>
      <c r="K2" s="111"/>
      <c r="L2" s="111"/>
      <c r="M2" s="111"/>
      <c r="N2" s="111"/>
      <c r="O2" s="1409">
        <f>$A$3</f>
        <v>12</v>
      </c>
    </row>
    <row r="3" spans="1:17" ht="15.75" x14ac:dyDescent="0.25">
      <c r="A3" s="123">
        <f>MainOutline!B23</f>
        <v>12</v>
      </c>
      <c r="B3" s="102" t="str">
        <f>MainOutline!C23</f>
        <v>Exhibit M4</v>
      </c>
      <c r="C3" s="89"/>
      <c r="D3" s="89"/>
      <c r="E3" s="89"/>
      <c r="F3" s="89"/>
      <c r="G3" s="89"/>
      <c r="H3" s="89"/>
      <c r="I3" s="89"/>
      <c r="J3" s="89"/>
      <c r="K3" s="89"/>
      <c r="L3" s="89"/>
      <c r="M3" s="89"/>
      <c r="N3" s="89"/>
      <c r="O3" s="89"/>
    </row>
    <row r="4" spans="1:17" ht="16.5" thickBot="1" x14ac:dyDescent="0.3">
      <c r="B4" s="104" t="s">
        <v>56</v>
      </c>
      <c r="C4" s="97"/>
      <c r="D4" s="97"/>
      <c r="E4" s="97"/>
      <c r="F4" s="97"/>
      <c r="G4" s="97"/>
      <c r="H4" s="97"/>
      <c r="I4" s="97"/>
      <c r="J4" s="97"/>
      <c r="K4" s="97"/>
      <c r="L4" s="97"/>
      <c r="M4" s="97"/>
      <c r="N4" s="97"/>
      <c r="O4" s="138" t="s">
        <v>548</v>
      </c>
    </row>
    <row r="5" spans="1:17" ht="15.75" thickTop="1" x14ac:dyDescent="0.25"/>
    <row r="7" spans="1:17" ht="17.25" x14ac:dyDescent="0.4">
      <c r="F7" s="291"/>
      <c r="G7" s="75"/>
      <c r="H7" s="75"/>
      <c r="I7" s="291"/>
    </row>
    <row r="8" spans="1:17" ht="16.5" x14ac:dyDescent="0.35">
      <c r="A8" s="653"/>
      <c r="B8" s="340" t="s">
        <v>1091</v>
      </c>
      <c r="C8" s="340"/>
      <c r="D8" s="340"/>
      <c r="E8" s="340"/>
      <c r="F8" s="340"/>
      <c r="G8" s="340" t="s">
        <v>549</v>
      </c>
      <c r="H8" s="340"/>
      <c r="I8" s="340"/>
    </row>
    <row r="9" spans="1:17" x14ac:dyDescent="0.25">
      <c r="E9" s="81"/>
    </row>
    <row r="10" spans="1:17" ht="17.25" x14ac:dyDescent="0.4">
      <c r="B10" s="81" t="s">
        <v>390</v>
      </c>
      <c r="C10" s="633"/>
      <c r="D10" s="633"/>
      <c r="E10" s="633" t="s">
        <v>1089</v>
      </c>
      <c r="F10" s="633" t="s">
        <v>64</v>
      </c>
      <c r="G10" s="81" t="s">
        <v>11</v>
      </c>
      <c r="H10" s="81"/>
      <c r="I10" s="634">
        <f>'A1'!$Z$10</f>
        <v>0.67828161320288327</v>
      </c>
    </row>
    <row r="11" spans="1:17" x14ac:dyDescent="0.25">
      <c r="B11" s="81"/>
      <c r="C11" s="81" t="str">
        <f>'A1'!R46</f>
        <v>Years 1-5 SH Distributions</v>
      </c>
      <c r="E11" s="371">
        <f>'A1'!T46</f>
        <v>872.46861192039808</v>
      </c>
      <c r="G11" s="81" t="s">
        <v>511</v>
      </c>
      <c r="H11" s="81"/>
      <c r="I11" s="634" t="str">
        <f>'A1'!$Y$10</f>
        <v>NMF</v>
      </c>
      <c r="L11" s="81"/>
      <c r="M11" s="173"/>
      <c r="N11" s="173"/>
      <c r="P11" s="81"/>
    </row>
    <row r="12" spans="1:17" x14ac:dyDescent="0.25">
      <c r="B12" s="81"/>
      <c r="C12" s="81" t="str">
        <f>'A1'!R47</f>
        <v>Terminal SH Distribution</v>
      </c>
      <c r="E12" s="636">
        <f>'A1'!T47</f>
        <v>453.66610060290355</v>
      </c>
      <c r="G12" s="80"/>
      <c r="H12" s="80"/>
      <c r="I12" s="371"/>
      <c r="P12" s="175"/>
      <c r="Q12" s="81"/>
    </row>
    <row r="13" spans="1:17" x14ac:dyDescent="0.25">
      <c r="B13" s="81"/>
      <c r="C13" s="81" t="str">
        <f>'A1'!R48</f>
        <v>Total Value of Dist'n to SH</v>
      </c>
      <c r="E13" s="371">
        <f>E11+E12</f>
        <v>1326.1347125233017</v>
      </c>
      <c r="F13" s="371">
        <f>'A1'!U48</f>
        <v>686.31464635768225</v>
      </c>
      <c r="G13" s="80"/>
      <c r="H13" s="80"/>
      <c r="I13" s="636"/>
      <c r="P13" s="175"/>
      <c r="Q13" s="81"/>
    </row>
    <row r="14" spans="1:17" x14ac:dyDescent="0.25">
      <c r="B14" s="81"/>
      <c r="C14" s="81"/>
      <c r="G14" s="81"/>
      <c r="H14" s="81"/>
      <c r="I14" s="371"/>
      <c r="P14" s="175"/>
      <c r="Q14" s="81"/>
    </row>
    <row r="15" spans="1:17" x14ac:dyDescent="0.25">
      <c r="A15" s="81"/>
      <c r="B15" s="81" t="str">
        <f>"PV of " &amp; 'A1'!R49</f>
        <v>PV of Synergies</v>
      </c>
      <c r="C15" s="81"/>
      <c r="E15" s="636">
        <f>'A1'!U49</f>
        <v>0</v>
      </c>
      <c r="G15" s="2"/>
      <c r="H15" s="81"/>
      <c r="I15" s="634"/>
      <c r="P15" s="175"/>
      <c r="Q15" s="81"/>
    </row>
    <row r="16" spans="1:17" x14ac:dyDescent="0.25">
      <c r="B16" s="81"/>
      <c r="C16" s="81"/>
      <c r="G16" s="4"/>
      <c r="H16" s="4"/>
      <c r="I16" s="368"/>
      <c r="P16" s="175"/>
      <c r="Q16" s="81"/>
    </row>
    <row r="17" spans="1:17" x14ac:dyDescent="0.25">
      <c r="B17" s="81"/>
      <c r="C17" s="81" t="str">
        <f>'A1'!R50</f>
        <v>Total Value to SH</v>
      </c>
      <c r="E17" s="371">
        <f>'A1'!U50</f>
        <v>686.31464635768225</v>
      </c>
      <c r="F17" s="79">
        <f>E17/$E$19</f>
        <v>1</v>
      </c>
      <c r="P17" s="175"/>
      <c r="Q17" s="81"/>
    </row>
    <row r="18" spans="1:17" x14ac:dyDescent="0.25">
      <c r="B18" s="81"/>
      <c r="C18" s="619" t="s">
        <v>1019</v>
      </c>
      <c r="E18" s="371">
        <f>'A1'!U51</f>
        <v>0</v>
      </c>
      <c r="F18" s="637">
        <f>E18/$E$19</f>
        <v>0</v>
      </c>
      <c r="P18" s="175"/>
      <c r="Q18" s="81"/>
    </row>
    <row r="19" spans="1:17" ht="17.25" x14ac:dyDescent="0.4">
      <c r="A19" s="81"/>
      <c r="B19" s="81"/>
      <c r="C19" s="654" t="str">
        <f>'A1'!R52</f>
        <v xml:space="preserve">Total Equity NPV </v>
      </c>
      <c r="D19" s="655"/>
      <c r="E19" s="656">
        <f>E17+E18</f>
        <v>686.31464635768225</v>
      </c>
      <c r="F19" s="79">
        <f>E19/$E$19</f>
        <v>1</v>
      </c>
      <c r="I19" s="642"/>
      <c r="J19" s="642"/>
      <c r="K19" s="642"/>
    </row>
    <row r="20" spans="1:17" x14ac:dyDescent="0.25">
      <c r="A20" s="81"/>
      <c r="B20" s="81"/>
      <c r="C20" s="81"/>
      <c r="I20" s="13"/>
      <c r="J20" s="13"/>
      <c r="K20" s="13"/>
    </row>
    <row r="21" spans="1:17" x14ac:dyDescent="0.25">
      <c r="A21" s="81"/>
      <c r="B21" s="81" t="s">
        <v>1020</v>
      </c>
      <c r="E21" s="371">
        <f>'A1'!T65</f>
        <v>0</v>
      </c>
      <c r="J21" s="13"/>
      <c r="K21" s="13"/>
    </row>
    <row r="22" spans="1:17" x14ac:dyDescent="0.25">
      <c r="A22" s="81"/>
      <c r="B22" s="81"/>
      <c r="G22" s="13"/>
      <c r="H22" s="13"/>
      <c r="I22" s="13"/>
      <c r="J22" s="13"/>
      <c r="K22" s="13"/>
    </row>
    <row r="23" spans="1:17" x14ac:dyDescent="0.25">
      <c r="A23" s="81"/>
      <c r="C23" s="81" t="str">
        <f>'D5'!H42</f>
        <v>ROI - Initial Cash Investment Only</v>
      </c>
      <c r="D23" s="81"/>
      <c r="F23" s="657">
        <f>'D5'!K42</f>
        <v>3.136945225230618</v>
      </c>
      <c r="G23" s="13"/>
      <c r="H23" s="13"/>
      <c r="I23" s="13"/>
      <c r="J23" s="13"/>
      <c r="K23" s="13"/>
    </row>
    <row r="24" spans="1:17" x14ac:dyDescent="0.25">
      <c r="A24" s="81"/>
      <c r="C24" s="81" t="str">
        <f>'D5'!H43</f>
        <v>ROI - Investment + Debt Assumption</v>
      </c>
      <c r="D24" s="81"/>
      <c r="F24" s="657">
        <f>'D5'!K43</f>
        <v>3.136945225230618</v>
      </c>
      <c r="G24" s="13"/>
      <c r="H24" s="13"/>
      <c r="I24" s="13"/>
      <c r="J24" s="13"/>
      <c r="K24" s="13"/>
    </row>
    <row r="25" spans="1:17" ht="17.25" x14ac:dyDescent="0.4">
      <c r="A25" s="81"/>
      <c r="B25" s="81"/>
      <c r="C25" s="81"/>
      <c r="D25" s="81"/>
      <c r="G25" s="13"/>
      <c r="H25" s="13"/>
      <c r="I25" s="13"/>
      <c r="J25" s="13"/>
      <c r="K25" s="13"/>
      <c r="L25" s="13"/>
      <c r="M25" s="292"/>
      <c r="N25" s="292"/>
      <c r="O25" s="292"/>
    </row>
    <row r="26" spans="1:17" ht="15.75" thickBot="1" x14ac:dyDescent="0.3">
      <c r="A26" s="81"/>
      <c r="B26" s="366"/>
      <c r="C26" s="366"/>
      <c r="D26" s="366"/>
      <c r="E26" s="257"/>
      <c r="F26" s="658"/>
      <c r="G26" s="658"/>
      <c r="H26" s="658"/>
      <c r="I26" s="658"/>
      <c r="J26" s="658"/>
      <c r="K26" s="658"/>
      <c r="L26" s="257"/>
      <c r="M26" s="257"/>
      <c r="N26" s="257"/>
      <c r="O26" s="257"/>
    </row>
    <row r="27" spans="1:17" x14ac:dyDescent="0.25">
      <c r="A27" s="81"/>
      <c r="B27" s="107" t="s">
        <v>554</v>
      </c>
      <c r="C27" s="81"/>
      <c r="D27" s="81"/>
      <c r="F27" s="25"/>
      <c r="G27" s="25"/>
      <c r="H27" s="25"/>
      <c r="I27" s="25"/>
      <c r="J27" s="25"/>
      <c r="K27" s="25"/>
    </row>
    <row r="28" spans="1:17" x14ac:dyDescent="0.25">
      <c r="A28" s="81"/>
      <c r="B28" s="81"/>
      <c r="C28" s="81"/>
      <c r="D28" s="81"/>
      <c r="J28" s="81"/>
    </row>
    <row r="29" spans="1:17" s="101" customFormat="1" ht="34.5" x14ac:dyDescent="0.4">
      <c r="E29" s="101" t="s">
        <v>550</v>
      </c>
      <c r="F29" s="101" t="s">
        <v>551</v>
      </c>
      <c r="G29" s="101" t="s">
        <v>977</v>
      </c>
      <c r="K29" s="1730" t="s">
        <v>950</v>
      </c>
      <c r="L29" s="1730"/>
      <c r="M29" s="1730"/>
    </row>
    <row r="30" spans="1:17" ht="17.25" x14ac:dyDescent="0.4">
      <c r="C30" s="81" t="s">
        <v>514</v>
      </c>
      <c r="D30" s="81"/>
      <c r="E30" s="659">
        <f>'A1'!N54</f>
        <v>0.2</v>
      </c>
      <c r="F30" s="659">
        <f>'D4'!F13</f>
        <v>0</v>
      </c>
      <c r="G30" s="659">
        <f>'A1'!AS54</f>
        <v>0.13</v>
      </c>
      <c r="J30" s="81"/>
      <c r="L30" s="291" t="s">
        <v>510</v>
      </c>
      <c r="M30" s="291" t="s">
        <v>949</v>
      </c>
    </row>
    <row r="31" spans="1:17" x14ac:dyDescent="0.25">
      <c r="A31" s="81"/>
      <c r="B31" s="81"/>
      <c r="C31" s="81" t="s">
        <v>511</v>
      </c>
      <c r="D31" s="81"/>
      <c r="E31" s="659">
        <f>'A1'!N55</f>
        <v>0.2</v>
      </c>
      <c r="F31" s="659">
        <f>'D4'!K13</f>
        <v>0</v>
      </c>
      <c r="G31" s="659">
        <f>'A1'!AS55</f>
        <v>0.15</v>
      </c>
      <c r="K31" s="1" t="str">
        <f>'A1'!R64</f>
        <v>Cash</v>
      </c>
      <c r="L31" s="371">
        <f>'A1'!T64</f>
        <v>639.82006616561944</v>
      </c>
      <c r="M31" s="371">
        <f>'A1'!U64</f>
        <v>0</v>
      </c>
      <c r="N31" s="81"/>
    </row>
    <row r="32" spans="1:17" x14ac:dyDescent="0.25">
      <c r="A32" s="81"/>
      <c r="B32" s="81"/>
      <c r="C32" s="81"/>
      <c r="D32" s="81"/>
      <c r="K32" s="1" t="str">
        <f>'A1'!R65</f>
        <v>Debt</v>
      </c>
      <c r="L32" s="636">
        <f>'A1'!T65</f>
        <v>0</v>
      </c>
      <c r="M32" s="636">
        <f>'A1'!U65</f>
        <v>0</v>
      </c>
      <c r="N32" s="81"/>
    </row>
    <row r="33" spans="1:14" x14ac:dyDescent="0.25">
      <c r="A33" s="81"/>
      <c r="B33" s="81"/>
      <c r="C33" s="81" t="s">
        <v>552</v>
      </c>
      <c r="D33" s="81"/>
      <c r="E33" s="77">
        <f>'A1'!O50</f>
        <v>0.03</v>
      </c>
      <c r="K33" s="1" t="s">
        <v>13</v>
      </c>
      <c r="L33" s="371">
        <f>L31+L32</f>
        <v>639.82006616561944</v>
      </c>
      <c r="M33" s="371">
        <f>M31+M32</f>
        <v>0</v>
      </c>
      <c r="N33" s="81"/>
    </row>
    <row r="34" spans="1:14" x14ac:dyDescent="0.25">
      <c r="A34" s="81"/>
      <c r="B34" s="81"/>
      <c r="C34" s="81" t="s">
        <v>336</v>
      </c>
      <c r="D34" s="81"/>
      <c r="E34" s="371">
        <f>'A1'!O49/1000</f>
        <v>0</v>
      </c>
      <c r="J34" s="81"/>
      <c r="L34" s="81"/>
    </row>
    <row r="35" spans="1:14" x14ac:dyDescent="0.25">
      <c r="A35" s="81"/>
      <c r="B35" s="81"/>
      <c r="C35" s="81" t="s">
        <v>553</v>
      </c>
      <c r="D35" s="81"/>
      <c r="E35" s="77">
        <f>'A1'!P63</f>
        <v>0</v>
      </c>
    </row>
    <row r="36" spans="1:14" x14ac:dyDescent="0.25">
      <c r="A36" s="81"/>
      <c r="B36" s="81"/>
      <c r="C36" s="81"/>
      <c r="D36" s="81"/>
    </row>
    <row r="37" spans="1:14" x14ac:dyDescent="0.25">
      <c r="A37" s="81"/>
      <c r="B37" s="81"/>
      <c r="C37" s="81"/>
      <c r="D37" s="81"/>
    </row>
    <row r="38" spans="1:14" x14ac:dyDescent="0.25">
      <c r="A38" s="81"/>
      <c r="B38" s="81"/>
      <c r="C38" s="81"/>
      <c r="D38" s="81"/>
    </row>
    <row r="39" spans="1:14" x14ac:dyDescent="0.25">
      <c r="A39" s="81"/>
      <c r="B39" s="81"/>
      <c r="C39" s="81"/>
      <c r="D39" s="81"/>
    </row>
    <row r="40" spans="1:14" x14ac:dyDescent="0.25">
      <c r="A40" s="81"/>
      <c r="B40" s="81"/>
      <c r="C40" s="81"/>
      <c r="D40" s="81"/>
    </row>
    <row r="41" spans="1:14" x14ac:dyDescent="0.25">
      <c r="A41" s="81"/>
      <c r="B41" s="81"/>
      <c r="C41" s="81"/>
      <c r="D41" s="81"/>
    </row>
    <row r="42" spans="1:14" x14ac:dyDescent="0.25">
      <c r="A42" s="81"/>
      <c r="B42" s="81"/>
      <c r="C42" s="81"/>
    </row>
    <row r="43" spans="1:14" x14ac:dyDescent="0.25">
      <c r="A43" s="81"/>
      <c r="B43" s="81"/>
      <c r="C43" s="81"/>
    </row>
  </sheetData>
  <mergeCells count="1">
    <mergeCell ref="K29:M29"/>
  </mergeCells>
  <pageMargins left="0.7" right="0.7" top="0.75" bottom="0.75" header="0.3" footer="0.3"/>
  <pageSetup scale="76" orientation="landscape" r:id="rId1"/>
  <ignoredErrors>
    <ignoredError sqref="A2:O7 A25:O28 A23:E23 G23:O23 A24:E24 G24:O24 A17:E17 A14:F16 J13:O16 A22:O22 A21 J21:O21 A12:D12 A11:D11 J11:O11 A10:D10 J10:O10 H10 F11 F12:O12 A34:O38 A29:F29 H29:I29 A20:O20 A18:B18 G18:O18 A19:D19 G19:O19 D18 G17:O17 C21:D21 F21 N29:O29 A30:I30 N30:O30 A31:J31 N31:O31 A32:J32 N32:O32 A33:J33 N33:O33 A9:O9 A8 C8:E8 G8:O8 A13:D13" unlockedFormula="1"/>
  </ignoredErrors>
  <drawing r:id="rId2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>
    <tabColor rgb="FFFF0000"/>
    <pageSetUpPr fitToPage="1"/>
  </sheetPr>
  <dimension ref="A1:Q62"/>
  <sheetViews>
    <sheetView showGridLines="0" view="pageBreakPreview" zoomScale="80" zoomScaleNormal="70" zoomScaleSheetLayoutView="80" workbookViewId="0"/>
  </sheetViews>
  <sheetFormatPr defaultColWidth="9.42578125" defaultRowHeight="15" x14ac:dyDescent="0.25"/>
  <cols>
    <col min="1" max="1" width="1.5703125" style="1" customWidth="1"/>
    <col min="2" max="13" width="13.5703125" style="1" customWidth="1"/>
    <col min="14" max="16384" width="9.42578125" style="1"/>
  </cols>
  <sheetData>
    <row r="1" spans="1:17" ht="4.5" customHeight="1" thickBot="1" x14ac:dyDescent="0.3">
      <c r="C1" s="108"/>
      <c r="D1" s="108"/>
      <c r="E1" s="108"/>
      <c r="F1" s="108"/>
      <c r="G1" s="108"/>
      <c r="H1" s="108"/>
      <c r="I1" s="108"/>
      <c r="J1" s="108"/>
      <c r="K1" s="108"/>
      <c r="L1" s="108"/>
      <c r="M1" s="108"/>
    </row>
    <row r="2" spans="1:17" ht="16.5" thickTop="1" x14ac:dyDescent="0.25">
      <c r="B2" s="110" t="str">
        <f>MainOutline!B2</f>
        <v>WB Santa Cruz</v>
      </c>
      <c r="C2" s="111"/>
      <c r="D2" s="111"/>
      <c r="E2" s="111"/>
      <c r="F2" s="111"/>
      <c r="G2" s="508" t="str">
        <f>'A1'!$C$90</f>
        <v>Acquisition of an existing facility</v>
      </c>
      <c r="H2" s="111"/>
      <c r="I2" s="111"/>
      <c r="J2" s="111"/>
      <c r="K2" s="111"/>
      <c r="L2" s="111"/>
      <c r="M2" s="1409">
        <f>$A$3</f>
        <v>13</v>
      </c>
    </row>
    <row r="3" spans="1:17" ht="15.75" x14ac:dyDescent="0.25">
      <c r="A3" s="123">
        <f>MainOutline!B24</f>
        <v>13</v>
      </c>
      <c r="B3" s="102" t="str">
        <f>MainOutline!C24</f>
        <v>Exhibit M5</v>
      </c>
      <c r="C3" s="89"/>
      <c r="D3" s="89"/>
      <c r="E3" s="89"/>
      <c r="F3" s="89"/>
      <c r="G3" s="89"/>
      <c r="H3" s="89"/>
      <c r="I3" s="89"/>
      <c r="J3" s="89"/>
      <c r="K3" s="89"/>
      <c r="L3" s="89"/>
      <c r="M3" s="89"/>
    </row>
    <row r="4" spans="1:17" ht="16.5" thickBot="1" x14ac:dyDescent="0.3">
      <c r="B4" s="104" t="s">
        <v>1023</v>
      </c>
      <c r="C4" s="97"/>
      <c r="D4" s="97"/>
      <c r="E4" s="97"/>
      <c r="F4" s="97"/>
      <c r="G4" s="97"/>
      <c r="H4" s="97"/>
      <c r="I4" s="97"/>
      <c r="J4" s="97"/>
      <c r="K4" s="97"/>
      <c r="L4" s="97"/>
      <c r="M4" s="138" t="s">
        <v>19</v>
      </c>
      <c r="P4" s="1" t="s">
        <v>64</v>
      </c>
    </row>
    <row r="5" spans="1:17" ht="15.75" thickTop="1" x14ac:dyDescent="0.25">
      <c r="P5" s="363" t="s">
        <v>510</v>
      </c>
      <c r="Q5" s="363" t="s">
        <v>511</v>
      </c>
    </row>
    <row r="6" spans="1:17" x14ac:dyDescent="0.25">
      <c r="P6" s="80">
        <f>'A1'!Z9</f>
        <v>686.31464635768225</v>
      </c>
      <c r="Q6" s="80">
        <f>'A1'!Y9</f>
        <v>0</v>
      </c>
    </row>
    <row r="7" spans="1:17" ht="17.25" x14ac:dyDescent="0.4">
      <c r="B7" s="340" t="s">
        <v>66</v>
      </c>
      <c r="C7" s="292"/>
      <c r="D7" s="292"/>
      <c r="E7" s="292"/>
      <c r="F7" s="292"/>
      <c r="G7" s="292"/>
      <c r="H7" s="371"/>
      <c r="I7" s="371"/>
      <c r="J7" s="371"/>
      <c r="K7" s="371"/>
      <c r="L7" s="371"/>
      <c r="M7" s="371"/>
    </row>
    <row r="8" spans="1:17" ht="17.25" x14ac:dyDescent="0.4">
      <c r="E8" s="291" t="s">
        <v>1013</v>
      </c>
      <c r="F8" s="291" t="s">
        <v>1014</v>
      </c>
      <c r="G8" s="291" t="s">
        <v>65</v>
      </c>
      <c r="H8" s="371"/>
      <c r="I8" s="371"/>
      <c r="J8" s="371"/>
      <c r="K8" s="371"/>
      <c r="L8" s="371"/>
      <c r="M8" s="371"/>
    </row>
    <row r="9" spans="1:17" x14ac:dyDescent="0.25">
      <c r="B9" s="81" t="str">
        <f>'A4'!D10</f>
        <v>Base Case</v>
      </c>
      <c r="E9" s="371">
        <f>'A4'!G10</f>
        <v>-8753.8284449394341</v>
      </c>
      <c r="F9" s="371">
        <f>'A4'!F10</f>
        <v>0</v>
      </c>
      <c r="H9" s="371"/>
      <c r="I9" s="371"/>
      <c r="J9" s="371"/>
      <c r="K9" s="371"/>
      <c r="L9" s="371"/>
      <c r="M9" s="371"/>
    </row>
    <row r="10" spans="1:17" x14ac:dyDescent="0.25">
      <c r="B10" s="81" t="str">
        <f>'A4'!D11</f>
        <v>Com'l Mix Change by 3%</v>
      </c>
      <c r="C10" s="81"/>
      <c r="E10" s="371">
        <f>'A4'!G11</f>
        <v>-8127.0558097642861</v>
      </c>
      <c r="F10" s="371">
        <f>'A4'!F11</f>
        <v>0</v>
      </c>
      <c r="H10" s="371"/>
      <c r="I10" s="371"/>
    </row>
    <row r="11" spans="1:17" x14ac:dyDescent="0.25">
      <c r="B11" s="81" t="str">
        <f>'A4'!D12</f>
        <v>Com'l Mix Change by 5%</v>
      </c>
      <c r="C11" s="81"/>
      <c r="E11" s="371">
        <f>'A4'!G12</f>
        <v>-7709.2073863141895</v>
      </c>
      <c r="F11" s="371">
        <f>'A4'!F12</f>
        <v>0</v>
      </c>
      <c r="H11" s="371"/>
      <c r="I11" s="371"/>
    </row>
    <row r="12" spans="1:17" x14ac:dyDescent="0.25">
      <c r="B12" s="81" t="str">
        <f>'A4'!D13</f>
        <v>Com'l Mix Change by 10%</v>
      </c>
      <c r="C12" s="81"/>
      <c r="E12" s="371">
        <f>'A4'!G13</f>
        <v>-6664.5863276889413</v>
      </c>
      <c r="F12" s="371">
        <f>'A4'!F13</f>
        <v>0</v>
      </c>
      <c r="H12" s="371"/>
      <c r="I12" s="371"/>
    </row>
    <row r="13" spans="1:17" x14ac:dyDescent="0.25">
      <c r="B13" s="81" t="str">
        <f>'A4'!D14</f>
        <v>Com'l Mix Change by -3%</v>
      </c>
      <c r="C13" s="81"/>
      <c r="E13" s="371">
        <f>'A4'!G14</f>
        <v>-9380.6010801145821</v>
      </c>
      <c r="F13" s="371">
        <f>'A4'!F14</f>
        <v>0</v>
      </c>
      <c r="H13" s="371"/>
      <c r="I13" s="371"/>
    </row>
    <row r="14" spans="1:17" x14ac:dyDescent="0.25">
      <c r="B14" s="81" t="str">
        <f>'A4'!D15</f>
        <v>Com'l Mix Change by -5%</v>
      </c>
      <c r="C14" s="81"/>
      <c r="E14" s="371">
        <f>'A4'!G15</f>
        <v>-9798.4495035646833</v>
      </c>
      <c r="F14" s="371">
        <f>'A4'!F15</f>
        <v>0</v>
      </c>
      <c r="H14" s="371"/>
      <c r="I14" s="371"/>
    </row>
    <row r="15" spans="1:17" x14ac:dyDescent="0.25">
      <c r="B15" s="81" t="str">
        <f>'A4'!D16</f>
        <v>Com'l Mix Change by -10%</v>
      </c>
      <c r="C15" s="81"/>
      <c r="D15" s="81"/>
      <c r="E15" s="371">
        <f>'A4'!G16</f>
        <v>-10878.648241590396</v>
      </c>
      <c r="F15" s="371">
        <f>'A4'!F16</f>
        <v>0</v>
      </c>
      <c r="H15" s="371"/>
      <c r="I15" s="371"/>
    </row>
    <row r="16" spans="1:17" x14ac:dyDescent="0.25">
      <c r="B16" s="175"/>
      <c r="C16" s="81"/>
      <c r="D16" s="81"/>
      <c r="E16" s="371"/>
      <c r="F16" s="371"/>
      <c r="G16" s="643"/>
      <c r="H16" s="643"/>
      <c r="I16" s="643"/>
    </row>
    <row r="17" spans="2:13" ht="15.75" thickBot="1" x14ac:dyDescent="0.3">
      <c r="B17" s="175"/>
      <c r="C17" s="81"/>
      <c r="D17" s="81"/>
      <c r="E17" s="371"/>
      <c r="F17" s="371"/>
      <c r="G17" s="643"/>
      <c r="H17" s="643"/>
      <c r="I17" s="643"/>
    </row>
    <row r="18" spans="2:13" ht="15.75" x14ac:dyDescent="0.25">
      <c r="B18" s="644" t="s">
        <v>1021</v>
      </c>
      <c r="C18" s="624"/>
      <c r="D18" s="644"/>
      <c r="E18" s="644"/>
      <c r="F18" s="624"/>
      <c r="G18" s="644"/>
      <c r="H18" s="645"/>
      <c r="I18" s="624"/>
      <c r="J18" s="646"/>
      <c r="K18" s="646"/>
      <c r="L18" s="624"/>
      <c r="M18" s="647"/>
    </row>
    <row r="19" spans="2:13" x14ac:dyDescent="0.25">
      <c r="B19" s="626"/>
      <c r="C19" s="305"/>
      <c r="D19" s="305"/>
      <c r="E19" s="305"/>
      <c r="F19" s="648"/>
      <c r="G19" s="648"/>
      <c r="H19" s="305"/>
      <c r="I19" s="305"/>
      <c r="J19" s="305"/>
      <c r="K19" s="305"/>
      <c r="L19" s="648"/>
      <c r="M19" s="649"/>
    </row>
    <row r="20" spans="2:13" x14ac:dyDescent="0.25">
      <c r="B20" s="626"/>
      <c r="C20" s="305"/>
      <c r="D20" s="305"/>
      <c r="E20" s="305"/>
      <c r="F20" s="213"/>
      <c r="G20" s="213"/>
      <c r="H20" s="305"/>
      <c r="I20" s="305"/>
      <c r="J20" s="305"/>
      <c r="K20" s="305"/>
      <c r="L20" s="213"/>
      <c r="M20" s="208"/>
    </row>
    <row r="21" spans="2:13" x14ac:dyDescent="0.25">
      <c r="B21" s="626"/>
      <c r="C21" s="305"/>
      <c r="D21" s="305"/>
      <c r="E21" s="305"/>
      <c r="F21" s="213"/>
      <c r="G21" s="213"/>
      <c r="H21" s="305"/>
      <c r="I21" s="305"/>
      <c r="J21" s="305"/>
      <c r="K21" s="305"/>
      <c r="L21" s="213"/>
      <c r="M21" s="208"/>
    </row>
    <row r="22" spans="2:13" x14ac:dyDescent="0.25">
      <c r="B22" s="626"/>
      <c r="C22" s="305"/>
      <c r="D22" s="305"/>
      <c r="E22" s="305"/>
      <c r="F22" s="650"/>
      <c r="G22" s="650"/>
      <c r="H22" s="305"/>
      <c r="I22" s="305"/>
      <c r="J22" s="305"/>
      <c r="K22" s="305"/>
      <c r="L22" s="650"/>
      <c r="M22" s="651"/>
    </row>
    <row r="23" spans="2:13" x14ac:dyDescent="0.25">
      <c r="B23" s="626"/>
      <c r="C23" s="305"/>
      <c r="D23" s="305"/>
      <c r="E23" s="305"/>
      <c r="F23" s="650"/>
      <c r="G23" s="650"/>
      <c r="H23" s="305"/>
      <c r="I23" s="305"/>
      <c r="J23" s="305"/>
      <c r="K23" s="305"/>
      <c r="L23" s="650"/>
      <c r="M23" s="651"/>
    </row>
    <row r="24" spans="2:13" x14ac:dyDescent="0.25">
      <c r="B24" s="626"/>
      <c r="C24" s="305"/>
      <c r="D24" s="305"/>
      <c r="E24" s="305"/>
      <c r="F24" s="650"/>
      <c r="G24" s="650"/>
      <c r="H24" s="305"/>
      <c r="I24" s="305"/>
      <c r="J24" s="305"/>
      <c r="K24" s="305"/>
      <c r="L24" s="650"/>
      <c r="M24" s="651"/>
    </row>
    <row r="25" spans="2:13" x14ac:dyDescent="0.25">
      <c r="B25" s="626"/>
      <c r="C25" s="305"/>
      <c r="D25" s="305"/>
      <c r="E25" s="305"/>
      <c r="F25" s="650"/>
      <c r="G25" s="650"/>
      <c r="H25" s="305"/>
      <c r="I25" s="305"/>
      <c r="J25" s="305"/>
      <c r="K25" s="305"/>
      <c r="L25" s="650"/>
      <c r="M25" s="651"/>
    </row>
    <row r="26" spans="2:13" x14ac:dyDescent="0.25">
      <c r="B26" s="626"/>
      <c r="C26" s="305"/>
      <c r="D26" s="305"/>
      <c r="E26" s="305"/>
      <c r="F26" s="213"/>
      <c r="G26" s="213"/>
      <c r="H26" s="305"/>
      <c r="I26" s="305"/>
      <c r="J26" s="305"/>
      <c r="K26" s="305"/>
      <c r="L26" s="213"/>
      <c r="M26" s="208"/>
    </row>
    <row r="27" spans="2:13" x14ac:dyDescent="0.25">
      <c r="B27" s="626"/>
      <c r="C27" s="305"/>
      <c r="D27" s="305"/>
      <c r="E27" s="305"/>
      <c r="F27" s="213"/>
      <c r="G27" s="213"/>
      <c r="H27" s="305"/>
      <c r="I27" s="305"/>
      <c r="J27" s="305"/>
      <c r="K27" s="305"/>
      <c r="L27" s="213"/>
      <c r="M27" s="208"/>
    </row>
    <row r="28" spans="2:13" x14ac:dyDescent="0.25">
      <c r="B28" s="626"/>
      <c r="C28" s="305"/>
      <c r="D28" s="305"/>
      <c r="E28" s="305"/>
      <c r="F28" s="213"/>
      <c r="G28" s="213"/>
      <c r="H28" s="305"/>
      <c r="I28" s="305"/>
      <c r="J28" s="305"/>
      <c r="K28" s="305"/>
      <c r="L28" s="213"/>
      <c r="M28" s="208"/>
    </row>
    <row r="29" spans="2:13" x14ac:dyDescent="0.25">
      <c r="B29" s="626"/>
      <c r="C29" s="305"/>
      <c r="D29" s="305"/>
      <c r="E29" s="305"/>
      <c r="F29" s="213"/>
      <c r="G29" s="213"/>
      <c r="H29" s="305"/>
      <c r="I29" s="305"/>
      <c r="J29" s="305"/>
      <c r="K29" s="305"/>
      <c r="L29" s="213"/>
      <c r="M29" s="208"/>
    </row>
    <row r="30" spans="2:13" x14ac:dyDescent="0.25">
      <c r="B30" s="626"/>
      <c r="C30" s="305"/>
      <c r="D30" s="305"/>
      <c r="E30" s="305"/>
      <c r="F30" s="213"/>
      <c r="G30" s="213"/>
      <c r="H30" s="305"/>
      <c r="I30" s="305"/>
      <c r="J30" s="305"/>
      <c r="K30" s="305"/>
      <c r="L30" s="213"/>
      <c r="M30" s="208"/>
    </row>
    <row r="31" spans="2:13" x14ac:dyDescent="0.25">
      <c r="B31" s="626"/>
      <c r="C31" s="305"/>
      <c r="D31" s="305"/>
      <c r="E31" s="305"/>
      <c r="F31" s="213"/>
      <c r="G31" s="213"/>
      <c r="H31" s="305"/>
      <c r="I31" s="305"/>
      <c r="J31" s="305"/>
      <c r="K31" s="305"/>
      <c r="L31" s="213"/>
      <c r="M31" s="208"/>
    </row>
    <row r="32" spans="2:13" x14ac:dyDescent="0.25">
      <c r="B32" s="626"/>
      <c r="C32" s="305"/>
      <c r="D32" s="305"/>
      <c r="E32" s="305"/>
      <c r="F32" s="213"/>
      <c r="G32" s="213"/>
      <c r="H32" s="305"/>
      <c r="I32" s="305"/>
      <c r="J32" s="305"/>
      <c r="K32" s="305"/>
      <c r="L32" s="213"/>
      <c r="M32" s="208"/>
    </row>
    <row r="33" spans="2:13" x14ac:dyDescent="0.25">
      <c r="B33" s="626"/>
      <c r="C33" s="305"/>
      <c r="D33" s="305"/>
      <c r="E33" s="305"/>
      <c r="F33" s="213"/>
      <c r="G33" s="213"/>
      <c r="H33" s="305"/>
      <c r="I33" s="305"/>
      <c r="J33" s="305"/>
      <c r="K33" s="305"/>
      <c r="L33" s="213"/>
      <c r="M33" s="208"/>
    </row>
    <row r="34" spans="2:13" ht="15.75" thickBot="1" x14ac:dyDescent="0.3">
      <c r="B34" s="629"/>
      <c r="C34" s="630"/>
      <c r="D34" s="630"/>
      <c r="E34" s="630"/>
      <c r="F34" s="229"/>
      <c r="G34" s="229"/>
      <c r="H34" s="630"/>
      <c r="I34" s="630"/>
      <c r="J34" s="630"/>
      <c r="K34" s="630"/>
      <c r="L34" s="229"/>
      <c r="M34" s="231"/>
    </row>
    <row r="35" spans="2:13" ht="15.75" x14ac:dyDescent="0.25">
      <c r="B35" s="644" t="s">
        <v>1022</v>
      </c>
      <c r="C35" s="624"/>
      <c r="D35" s="644"/>
      <c r="E35" s="644"/>
      <c r="F35" s="624"/>
      <c r="G35" s="644"/>
      <c r="H35" s="645"/>
      <c r="I35" s="624"/>
      <c r="J35" s="646"/>
      <c r="K35" s="646"/>
      <c r="L35" s="624"/>
      <c r="M35" s="647"/>
    </row>
    <row r="36" spans="2:13" x14ac:dyDescent="0.25">
      <c r="B36" s="626"/>
      <c r="C36" s="305"/>
      <c r="D36" s="305"/>
      <c r="E36" s="305"/>
      <c r="F36" s="648"/>
      <c r="G36" s="648"/>
      <c r="H36" s="305"/>
      <c r="I36" s="305"/>
      <c r="J36" s="305"/>
      <c r="K36" s="305"/>
      <c r="L36" s="648"/>
      <c r="M36" s="649"/>
    </row>
    <row r="37" spans="2:13" x14ac:dyDescent="0.25">
      <c r="B37" s="626"/>
      <c r="C37" s="305"/>
      <c r="D37" s="305"/>
      <c r="E37" s="305"/>
      <c r="F37" s="213"/>
      <c r="G37" s="213"/>
      <c r="H37" s="305"/>
      <c r="I37" s="305"/>
      <c r="J37" s="305"/>
      <c r="K37" s="305"/>
      <c r="L37" s="213"/>
      <c r="M37" s="208"/>
    </row>
    <row r="38" spans="2:13" x14ac:dyDescent="0.25">
      <c r="B38" s="626"/>
      <c r="C38" s="305"/>
      <c r="D38" s="305"/>
      <c r="E38" s="305"/>
      <c r="F38" s="213"/>
      <c r="G38" s="213"/>
      <c r="H38" s="305"/>
      <c r="I38" s="305"/>
      <c r="J38" s="305"/>
      <c r="K38" s="305"/>
      <c r="L38" s="213"/>
      <c r="M38" s="208"/>
    </row>
    <row r="39" spans="2:13" x14ac:dyDescent="0.25">
      <c r="B39" s="626"/>
      <c r="C39" s="305"/>
      <c r="D39" s="305"/>
      <c r="E39" s="305"/>
      <c r="F39" s="650"/>
      <c r="G39" s="650"/>
      <c r="H39" s="305"/>
      <c r="I39" s="305"/>
      <c r="J39" s="305"/>
      <c r="K39" s="305"/>
      <c r="L39" s="650"/>
      <c r="M39" s="651"/>
    </row>
    <row r="40" spans="2:13" x14ac:dyDescent="0.25">
      <c r="B40" s="626"/>
      <c r="C40" s="305"/>
      <c r="D40" s="305"/>
      <c r="E40" s="305"/>
      <c r="F40" s="650"/>
      <c r="G40" s="650"/>
      <c r="H40" s="305"/>
      <c r="I40" s="305"/>
      <c r="J40" s="305"/>
      <c r="K40" s="305"/>
      <c r="L40" s="650"/>
      <c r="M40" s="651"/>
    </row>
    <row r="41" spans="2:13" x14ac:dyDescent="0.25">
      <c r="B41" s="626"/>
      <c r="C41" s="305"/>
      <c r="D41" s="305"/>
      <c r="E41" s="305"/>
      <c r="F41" s="650"/>
      <c r="G41" s="650"/>
      <c r="H41" s="305"/>
      <c r="I41" s="305"/>
      <c r="J41" s="305"/>
      <c r="K41" s="305"/>
      <c r="L41" s="650"/>
      <c r="M41" s="651"/>
    </row>
    <row r="42" spans="2:13" x14ac:dyDescent="0.25">
      <c r="B42" s="626"/>
      <c r="C42" s="305"/>
      <c r="D42" s="305"/>
      <c r="E42" s="305"/>
      <c r="F42" s="650"/>
      <c r="G42" s="650"/>
      <c r="H42" s="305"/>
      <c r="I42" s="305"/>
      <c r="J42" s="305"/>
      <c r="K42" s="305"/>
      <c r="L42" s="650"/>
      <c r="M42" s="651"/>
    </row>
    <row r="43" spans="2:13" x14ac:dyDescent="0.25">
      <c r="B43" s="626"/>
      <c r="C43" s="305"/>
      <c r="D43" s="305"/>
      <c r="E43" s="305"/>
      <c r="F43" s="213"/>
      <c r="G43" s="213"/>
      <c r="H43" s="305"/>
      <c r="I43" s="305"/>
      <c r="J43" s="305"/>
      <c r="K43" s="305"/>
      <c r="L43" s="213"/>
      <c r="M43" s="208"/>
    </row>
    <row r="44" spans="2:13" x14ac:dyDescent="0.25">
      <c r="B44" s="626"/>
      <c r="C44" s="305"/>
      <c r="D44" s="305"/>
      <c r="E44" s="305"/>
      <c r="F44" s="213"/>
      <c r="G44" s="213"/>
      <c r="H44" s="305"/>
      <c r="I44" s="305"/>
      <c r="J44" s="305"/>
      <c r="K44" s="305"/>
      <c r="L44" s="213"/>
      <c r="M44" s="208"/>
    </row>
    <row r="45" spans="2:13" x14ac:dyDescent="0.25">
      <c r="B45" s="626"/>
      <c r="C45" s="305"/>
      <c r="D45" s="305"/>
      <c r="E45" s="305"/>
      <c r="F45" s="213"/>
      <c r="G45" s="213"/>
      <c r="H45" s="305"/>
      <c r="I45" s="305"/>
      <c r="J45" s="305"/>
      <c r="K45" s="305"/>
      <c r="L45" s="213"/>
      <c r="M45" s="208"/>
    </row>
    <row r="46" spans="2:13" x14ac:dyDescent="0.25">
      <c r="B46" s="626"/>
      <c r="C46" s="305"/>
      <c r="D46" s="305"/>
      <c r="E46" s="305"/>
      <c r="F46" s="213"/>
      <c r="G46" s="213"/>
      <c r="H46" s="305"/>
      <c r="I46" s="305"/>
      <c r="J46" s="305"/>
      <c r="K46" s="305"/>
      <c r="L46" s="213"/>
      <c r="M46" s="208"/>
    </row>
    <row r="47" spans="2:13" x14ac:dyDescent="0.25">
      <c r="B47" s="626"/>
      <c r="C47" s="305"/>
      <c r="D47" s="305"/>
      <c r="E47" s="305"/>
      <c r="F47" s="213"/>
      <c r="G47" s="213"/>
      <c r="H47" s="305"/>
      <c r="I47" s="305"/>
      <c r="J47" s="305"/>
      <c r="K47" s="305"/>
      <c r="L47" s="213"/>
      <c r="M47" s="208"/>
    </row>
    <row r="48" spans="2:13" x14ac:dyDescent="0.25">
      <c r="B48" s="626"/>
      <c r="C48" s="305"/>
      <c r="D48" s="305"/>
      <c r="E48" s="305"/>
      <c r="F48" s="213"/>
      <c r="G48" s="213"/>
      <c r="H48" s="305"/>
      <c r="I48" s="305"/>
      <c r="J48" s="305"/>
      <c r="K48" s="305"/>
      <c r="L48" s="213"/>
      <c r="M48" s="208"/>
    </row>
    <row r="49" spans="2:13" x14ac:dyDescent="0.25">
      <c r="B49" s="626"/>
      <c r="C49" s="305"/>
      <c r="D49" s="305"/>
      <c r="E49" s="305"/>
      <c r="F49" s="213"/>
      <c r="G49" s="213"/>
      <c r="H49" s="305"/>
      <c r="I49" s="305"/>
      <c r="J49" s="305"/>
      <c r="K49" s="305"/>
      <c r="L49" s="213"/>
      <c r="M49" s="208"/>
    </row>
    <row r="50" spans="2:13" x14ac:dyDescent="0.25">
      <c r="B50" s="626"/>
      <c r="C50" s="305"/>
      <c r="D50" s="305"/>
      <c r="E50" s="305"/>
      <c r="F50" s="213"/>
      <c r="G50" s="213"/>
      <c r="H50" s="305"/>
      <c r="I50" s="305"/>
      <c r="J50" s="305"/>
      <c r="K50" s="305"/>
      <c r="L50" s="213"/>
      <c r="M50" s="208"/>
    </row>
    <row r="51" spans="2:13" ht="15.75" thickBot="1" x14ac:dyDescent="0.3">
      <c r="B51" s="629"/>
      <c r="C51" s="630"/>
      <c r="D51" s="630"/>
      <c r="E51" s="630"/>
      <c r="F51" s="229"/>
      <c r="G51" s="229"/>
      <c r="H51" s="630"/>
      <c r="I51" s="630"/>
      <c r="J51" s="630"/>
      <c r="K51" s="630"/>
      <c r="L51" s="229"/>
      <c r="M51" s="231"/>
    </row>
    <row r="52" spans="2:13" x14ac:dyDescent="0.25">
      <c r="B52" s="81"/>
      <c r="C52" s="81"/>
      <c r="D52" s="81"/>
      <c r="E52" s="81"/>
    </row>
    <row r="53" spans="2:13" x14ac:dyDescent="0.25">
      <c r="B53" s="81"/>
      <c r="C53" s="81"/>
      <c r="D53" s="81"/>
      <c r="E53" s="81"/>
    </row>
    <row r="54" spans="2:13" ht="17.25" x14ac:dyDescent="0.4">
      <c r="B54" s="81"/>
      <c r="C54" s="81"/>
      <c r="D54" s="81"/>
      <c r="E54" s="81"/>
      <c r="F54" s="292" t="s">
        <v>510</v>
      </c>
      <c r="G54" s="292"/>
      <c r="H54" s="341"/>
      <c r="J54" s="292" t="s">
        <v>511</v>
      </c>
      <c r="K54" s="292"/>
      <c r="L54" s="341"/>
    </row>
    <row r="55" spans="2:13" x14ac:dyDescent="0.25">
      <c r="B55" s="81"/>
      <c r="C55" s="81"/>
      <c r="D55" s="81"/>
      <c r="E55" s="652" t="str">
        <f t="shared" ref="E55:E61" si="0">B9</f>
        <v>Base Case</v>
      </c>
      <c r="G55" s="80">
        <f>E9</f>
        <v>-8753.8284449394341</v>
      </c>
      <c r="H55" s="80">
        <f>G55</f>
        <v>-8753.8284449394341</v>
      </c>
      <c r="K55" s="80">
        <f>F9</f>
        <v>0</v>
      </c>
      <c r="L55" s="80">
        <f>K55</f>
        <v>0</v>
      </c>
    </row>
    <row r="56" spans="2:13" x14ac:dyDescent="0.25">
      <c r="B56" s="81"/>
      <c r="C56" s="81"/>
      <c r="D56" s="81"/>
      <c r="E56" s="652" t="str">
        <f t="shared" si="0"/>
        <v>Com'l Mix Change by 3%</v>
      </c>
      <c r="F56" s="80">
        <f t="shared" ref="F56:F61" si="1">G56-G$55</f>
        <v>626.77263517514803</v>
      </c>
      <c r="G56" s="80">
        <f t="shared" ref="G56:G61" si="2">E10</f>
        <v>-8127.0558097642861</v>
      </c>
      <c r="H56" s="80">
        <f t="shared" ref="H56:H61" si="3">H55</f>
        <v>-8753.8284449394341</v>
      </c>
      <c r="J56" s="80">
        <f t="shared" ref="J56:J61" si="4">K56-K$55</f>
        <v>0</v>
      </c>
      <c r="K56" s="80">
        <f t="shared" ref="K56:K61" si="5">F10</f>
        <v>0</v>
      </c>
      <c r="L56" s="80">
        <f t="shared" ref="L56:L61" si="6">L55</f>
        <v>0</v>
      </c>
    </row>
    <row r="57" spans="2:13" x14ac:dyDescent="0.25">
      <c r="B57" s="81"/>
      <c r="C57" s="81"/>
      <c r="D57" s="81"/>
      <c r="E57" s="652" t="str">
        <f t="shared" si="0"/>
        <v>Com'l Mix Change by 5%</v>
      </c>
      <c r="F57" s="80">
        <f t="shared" si="1"/>
        <v>1044.6210586252446</v>
      </c>
      <c r="G57" s="80">
        <f t="shared" si="2"/>
        <v>-7709.2073863141895</v>
      </c>
      <c r="H57" s="80">
        <f t="shared" si="3"/>
        <v>-8753.8284449394341</v>
      </c>
      <c r="J57" s="80">
        <f t="shared" si="4"/>
        <v>0</v>
      </c>
      <c r="K57" s="80">
        <f t="shared" si="5"/>
        <v>0</v>
      </c>
      <c r="L57" s="80">
        <f t="shared" si="6"/>
        <v>0</v>
      </c>
    </row>
    <row r="58" spans="2:13" x14ac:dyDescent="0.25">
      <c r="E58" s="652" t="str">
        <f t="shared" si="0"/>
        <v>Com'l Mix Change by 10%</v>
      </c>
      <c r="F58" s="80">
        <f t="shared" si="1"/>
        <v>2089.2421172504928</v>
      </c>
      <c r="G58" s="80">
        <f t="shared" si="2"/>
        <v>-6664.5863276889413</v>
      </c>
      <c r="H58" s="80">
        <f t="shared" si="3"/>
        <v>-8753.8284449394341</v>
      </c>
      <c r="J58" s="80">
        <f t="shared" si="4"/>
        <v>0</v>
      </c>
      <c r="K58" s="80">
        <f t="shared" si="5"/>
        <v>0</v>
      </c>
      <c r="L58" s="80">
        <f t="shared" si="6"/>
        <v>0</v>
      </c>
    </row>
    <row r="59" spans="2:13" x14ac:dyDescent="0.25">
      <c r="E59" s="652" t="str">
        <f t="shared" si="0"/>
        <v>Com'l Mix Change by -3%</v>
      </c>
      <c r="F59" s="80">
        <f t="shared" si="1"/>
        <v>-626.77263517514803</v>
      </c>
      <c r="G59" s="80">
        <f t="shared" si="2"/>
        <v>-9380.6010801145821</v>
      </c>
      <c r="H59" s="80">
        <f t="shared" si="3"/>
        <v>-8753.8284449394341</v>
      </c>
      <c r="J59" s="80">
        <f t="shared" si="4"/>
        <v>0</v>
      </c>
      <c r="K59" s="80">
        <f t="shared" si="5"/>
        <v>0</v>
      </c>
      <c r="L59" s="80">
        <f t="shared" si="6"/>
        <v>0</v>
      </c>
    </row>
    <row r="60" spans="2:13" x14ac:dyDescent="0.25">
      <c r="E60" s="652" t="str">
        <f t="shared" si="0"/>
        <v>Com'l Mix Change by -5%</v>
      </c>
      <c r="F60" s="80">
        <f t="shared" si="1"/>
        <v>-1044.6210586252491</v>
      </c>
      <c r="G60" s="80">
        <f t="shared" si="2"/>
        <v>-9798.4495035646833</v>
      </c>
      <c r="H60" s="80">
        <f t="shared" si="3"/>
        <v>-8753.8284449394341</v>
      </c>
      <c r="J60" s="80">
        <f t="shared" si="4"/>
        <v>0</v>
      </c>
      <c r="K60" s="80">
        <f t="shared" si="5"/>
        <v>0</v>
      </c>
      <c r="L60" s="80">
        <f t="shared" si="6"/>
        <v>0</v>
      </c>
    </row>
    <row r="61" spans="2:13" x14ac:dyDescent="0.25">
      <c r="E61" s="652" t="str">
        <f t="shared" si="0"/>
        <v>Com'l Mix Change by -10%</v>
      </c>
      <c r="F61" s="80">
        <f t="shared" si="1"/>
        <v>-2124.8197966509615</v>
      </c>
      <c r="G61" s="80">
        <f t="shared" si="2"/>
        <v>-10878.648241590396</v>
      </c>
      <c r="H61" s="80">
        <f t="shared" si="3"/>
        <v>-8753.8284449394341</v>
      </c>
      <c r="J61" s="80">
        <f t="shared" si="4"/>
        <v>0</v>
      </c>
      <c r="K61" s="80">
        <f t="shared" si="5"/>
        <v>0</v>
      </c>
      <c r="L61" s="80">
        <f t="shared" si="6"/>
        <v>0</v>
      </c>
    </row>
    <row r="62" spans="2:13" x14ac:dyDescent="0.25">
      <c r="E62" s="81"/>
    </row>
  </sheetData>
  <printOptions horizontalCentered="1"/>
  <pageMargins left="0.7" right="0.7" top="0.75" bottom="0.75" header="0.3" footer="0.3"/>
  <pageSetup scale="71" orientation="landscape" r:id="rId1"/>
  <drawing r:id="rId2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>
    <tabColor theme="4" tint="0.39997558519241921"/>
    <pageSetUpPr fitToPage="1"/>
  </sheetPr>
  <dimension ref="B1:F21"/>
  <sheetViews>
    <sheetView showGridLines="0" workbookViewId="0"/>
  </sheetViews>
  <sheetFormatPr defaultColWidth="9.42578125" defaultRowHeight="15" x14ac:dyDescent="0.25"/>
  <cols>
    <col min="1" max="1" width="3" style="1" customWidth="1"/>
    <col min="2" max="2" width="3.42578125" style="1" customWidth="1"/>
    <col min="3" max="3" width="9.42578125" style="1"/>
    <col min="4" max="4" width="81.5703125" style="173" customWidth="1"/>
    <col min="5" max="5" width="8.5703125" style="1" customWidth="1"/>
    <col min="6" max="6" width="3.42578125" style="1" customWidth="1"/>
    <col min="7" max="7" width="2.5703125" style="1" customWidth="1"/>
    <col min="8" max="16384" width="9.42578125" style="1"/>
  </cols>
  <sheetData>
    <row r="1" spans="2:6" ht="20.25" x14ac:dyDescent="0.3">
      <c r="B1" s="1331" t="str">
        <f>IF(ReportMode=3,"","Please select Partner Report in the 'MainOutline' tab!")</f>
        <v>Please select Partner Report in the 'MainOutline' tab!</v>
      </c>
    </row>
    <row r="6" spans="2:6" ht="15.75" thickBot="1" x14ac:dyDescent="0.3">
      <c r="B6" s="85"/>
      <c r="C6" s="86"/>
      <c r="D6" s="87"/>
      <c r="E6" s="86"/>
      <c r="F6" s="86"/>
    </row>
    <row r="7" spans="2:6" ht="15.75" thickTop="1" x14ac:dyDescent="0.25">
      <c r="B7" s="88"/>
      <c r="C7" s="89"/>
      <c r="D7" s="90"/>
      <c r="E7" s="89"/>
      <c r="F7" s="89"/>
    </row>
    <row r="8" spans="2:6" s="94" customFormat="1" ht="49.5" x14ac:dyDescent="0.65">
      <c r="B8" s="91"/>
      <c r="C8" s="92"/>
      <c r="D8" s="93" t="s">
        <v>11</v>
      </c>
      <c r="E8" s="92"/>
      <c r="F8" s="92"/>
    </row>
    <row r="9" spans="2:6" x14ac:dyDescent="0.25">
      <c r="B9" s="88"/>
      <c r="C9" s="89"/>
      <c r="D9" s="90"/>
      <c r="E9" s="89"/>
      <c r="F9" s="89"/>
    </row>
    <row r="10" spans="2:6" x14ac:dyDescent="0.25">
      <c r="B10" s="88"/>
      <c r="C10" s="89"/>
      <c r="D10" s="90"/>
      <c r="E10" s="89"/>
      <c r="F10" s="89"/>
    </row>
    <row r="11" spans="2:6" x14ac:dyDescent="0.25">
      <c r="B11" s="88"/>
      <c r="C11" s="89"/>
      <c r="D11" s="509"/>
      <c r="E11" s="89"/>
      <c r="F11" s="89"/>
    </row>
    <row r="12" spans="2:6" ht="38.25" x14ac:dyDescent="0.55000000000000004">
      <c r="B12" s="88"/>
      <c r="C12" s="89"/>
      <c r="D12" s="95" t="str">
        <f>Title!D12</f>
        <v>Project: WB Santa Cruz</v>
      </c>
      <c r="E12" s="89"/>
      <c r="F12" s="89"/>
    </row>
    <row r="13" spans="2:6" ht="33" x14ac:dyDescent="0.45">
      <c r="B13" s="88"/>
      <c r="C13" s="89"/>
      <c r="D13" s="660" t="s">
        <v>5</v>
      </c>
      <c r="E13" s="89"/>
      <c r="F13" s="89"/>
    </row>
    <row r="14" spans="2:6" ht="33" x14ac:dyDescent="0.45">
      <c r="B14" s="88"/>
      <c r="C14" s="89"/>
      <c r="D14" s="660"/>
      <c r="E14" s="89"/>
      <c r="F14" s="89"/>
    </row>
    <row r="15" spans="2:6" ht="33" x14ac:dyDescent="0.45">
      <c r="B15" s="88"/>
      <c r="C15" s="89"/>
      <c r="D15" s="660" t="str">
        <f>'A1'!T90</f>
        <v>No Partnering</v>
      </c>
      <c r="E15" s="89"/>
      <c r="F15" s="89"/>
    </row>
    <row r="16" spans="2:6" ht="15.75" thickBot="1" x14ac:dyDescent="0.3">
      <c r="B16" s="96"/>
      <c r="C16" s="97"/>
      <c r="D16" s="98"/>
      <c r="E16" s="97"/>
      <c r="F16" s="97"/>
    </row>
    <row r="17" spans="4:4" ht="15.75" thickTop="1" x14ac:dyDescent="0.25"/>
    <row r="20" spans="4:4" ht="26.25" x14ac:dyDescent="0.4">
      <c r="D20" s="99" t="s">
        <v>12</v>
      </c>
    </row>
    <row r="21" spans="4:4" ht="26.25" x14ac:dyDescent="0.4">
      <c r="D21" s="100">
        <f ca="1">NOW()</f>
        <v>43599.529573611107</v>
      </c>
    </row>
  </sheetData>
  <printOptions horizontalCentered="1" verticalCentered="1"/>
  <pageMargins left="0.7" right="0.7" top="0.75" bottom="0.75" header="0.3" footer="0.3"/>
  <pageSetup orientation="landscape" r:id="rId1"/>
  <ignoredErrors>
    <ignoredError sqref="D12:D21" unlockedFormula="1"/>
  </ignoredErrors>
  <drawing r:id="rId2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4" tint="0.39997558519241921"/>
    <pageSetUpPr fitToPage="1"/>
  </sheetPr>
  <dimension ref="B1:N48"/>
  <sheetViews>
    <sheetView view="pageBreakPreview" zoomScale="80" zoomScaleNormal="90" zoomScaleSheetLayoutView="80" workbookViewId="0"/>
  </sheetViews>
  <sheetFormatPr defaultColWidth="9.42578125" defaultRowHeight="15" x14ac:dyDescent="0.25"/>
  <cols>
    <col min="1" max="1" width="2.42578125" style="1" customWidth="1"/>
    <col min="2" max="2" width="5.42578125" style="1" customWidth="1"/>
    <col min="3" max="3" width="13" style="1" customWidth="1"/>
    <col min="4" max="6" width="9.42578125" style="1"/>
    <col min="7" max="7" width="15.42578125" style="1" customWidth="1"/>
    <col min="8" max="8" width="7.140625" style="1" customWidth="1"/>
    <col min="9" max="10" width="12.42578125" style="1" customWidth="1"/>
    <col min="11" max="12" width="7" style="1" customWidth="1"/>
    <col min="13" max="16384" width="9.42578125" style="1"/>
  </cols>
  <sheetData>
    <row r="1" spans="2:14" ht="9.6" customHeight="1" thickBot="1" x14ac:dyDescent="0.45">
      <c r="B1" s="85"/>
      <c r="C1" s="86"/>
      <c r="D1" s="85"/>
      <c r="E1" s="85"/>
      <c r="F1" s="85"/>
      <c r="G1" s="85"/>
      <c r="H1" s="85"/>
      <c r="I1" s="85"/>
      <c r="J1" s="85"/>
      <c r="K1" s="85"/>
      <c r="L1" s="85"/>
      <c r="M1" s="101"/>
      <c r="N1" s="101"/>
    </row>
    <row r="2" spans="2:14" ht="18.75" thickTop="1" x14ac:dyDescent="0.4">
      <c r="B2" s="102" t="str">
        <f>'A1'!F3</f>
        <v>WB Santa Cruz</v>
      </c>
      <c r="C2" s="89"/>
      <c r="D2" s="89"/>
      <c r="E2" s="89"/>
      <c r="F2" s="89"/>
      <c r="G2" s="89"/>
      <c r="H2" s="103"/>
      <c r="I2" s="583" t="str">
        <f>IF(MainOutline!H2=3,"","Set Outline Toggle to Partner Report!")</f>
        <v>Set Outline Toggle to Partner Report!</v>
      </c>
      <c r="J2" s="89"/>
      <c r="K2" s="89"/>
      <c r="L2" s="89"/>
      <c r="M2" s="101"/>
      <c r="N2" s="101"/>
    </row>
    <row r="3" spans="2:14" ht="18.75" thickBot="1" x14ac:dyDescent="0.45">
      <c r="B3" s="104" t="s">
        <v>17</v>
      </c>
      <c r="C3" s="97"/>
      <c r="D3" s="97"/>
      <c r="E3" s="97"/>
      <c r="F3" s="97"/>
      <c r="G3" s="97"/>
      <c r="H3" s="97"/>
      <c r="I3" s="97"/>
      <c r="J3" s="97"/>
      <c r="K3" s="97"/>
      <c r="L3" s="97"/>
      <c r="M3" s="101"/>
      <c r="N3" s="101"/>
    </row>
    <row r="4" spans="2:14" ht="18.75" thickTop="1" x14ac:dyDescent="0.4">
      <c r="B4" s="105"/>
      <c r="J4" s="173"/>
      <c r="M4" s="101"/>
      <c r="N4" s="101"/>
    </row>
    <row r="5" spans="2:14" s="101" customFormat="1" ht="17.25" x14ac:dyDescent="0.4">
      <c r="I5" s="101" t="s">
        <v>6</v>
      </c>
      <c r="J5" s="173"/>
    </row>
    <row r="6" spans="2:14" x14ac:dyDescent="0.25">
      <c r="B6" s="106" t="str">
        <f>MainOutline!B19</f>
        <v>Section M</v>
      </c>
      <c r="C6" s="106"/>
      <c r="D6" s="107" t="str">
        <f>MainOutline!D26</f>
        <v>Partner Review</v>
      </c>
      <c r="E6" s="106"/>
      <c r="F6" s="106"/>
      <c r="I6" s="173"/>
      <c r="J6" s="173"/>
    </row>
    <row r="7" spans="2:14" x14ac:dyDescent="0.25">
      <c r="C7" s="1" t="str">
        <f>MainOutline!C20</f>
        <v>Exhibit M1</v>
      </c>
      <c r="D7" s="81" t="str">
        <f>MainOutline!D27</f>
        <v>Project Overview</v>
      </c>
      <c r="I7" s="173">
        <f>MainOutline!I27</f>
        <v>14</v>
      </c>
      <c r="J7" s="173"/>
    </row>
    <row r="8" spans="2:14" x14ac:dyDescent="0.25">
      <c r="C8" s="1" t="str">
        <f>MainOutline!C21</f>
        <v>Exhibit M2</v>
      </c>
      <c r="D8" s="81" t="str">
        <f>MainOutline!D28</f>
        <v>Network Statistics</v>
      </c>
      <c r="I8" s="173">
        <f>MainOutline!I28</f>
        <v>15</v>
      </c>
      <c r="J8" s="173"/>
    </row>
    <row r="9" spans="2:14" x14ac:dyDescent="0.25">
      <c r="C9" s="1" t="str">
        <f>MainOutline!C22</f>
        <v>Exhibit M3</v>
      </c>
      <c r="D9" s="81" t="str">
        <f>MainOutline!D29</f>
        <v>Operating Financial Summary</v>
      </c>
      <c r="I9" s="173">
        <f>MainOutline!I29</f>
        <v>16</v>
      </c>
      <c r="J9" s="173"/>
    </row>
    <row r="10" spans="2:14" x14ac:dyDescent="0.25">
      <c r="C10" s="1" t="str">
        <f>MainOutline!C23</f>
        <v>Exhibit M4</v>
      </c>
      <c r="D10" s="81" t="str">
        <f>MainOutline!D30</f>
        <v>Valuation of Partner Distributions</v>
      </c>
      <c r="I10" s="173">
        <f>MainOutline!I30</f>
        <v>17</v>
      </c>
      <c r="J10" s="173"/>
    </row>
    <row r="11" spans="2:14" x14ac:dyDescent="0.25">
      <c r="D11" s="81"/>
      <c r="I11" s="173"/>
      <c r="J11" s="173"/>
    </row>
    <row r="12" spans="2:14" x14ac:dyDescent="0.25">
      <c r="B12" s="106" t="str">
        <f>MainOutline!B32</f>
        <v>Appendix A</v>
      </c>
      <c r="C12" s="106"/>
      <c r="D12" s="107" t="s">
        <v>7</v>
      </c>
      <c r="E12" s="106"/>
      <c r="F12" s="106"/>
      <c r="I12" s="173"/>
      <c r="J12" s="173"/>
    </row>
    <row r="13" spans="2:14" x14ac:dyDescent="0.25">
      <c r="C13" s="1" t="str">
        <f>MainOutline!C33</f>
        <v>Appendix A1</v>
      </c>
      <c r="D13" s="81" t="str">
        <f>ApndxA1!$B$4</f>
        <v>Summary Income Statement</v>
      </c>
      <c r="I13" s="173">
        <f>MainOutline!I33</f>
        <v>18</v>
      </c>
      <c r="J13" s="173"/>
    </row>
    <row r="14" spans="2:14" x14ac:dyDescent="0.25">
      <c r="C14" s="1" t="str">
        <f>MainOutline!C34</f>
        <v>Appendix A2</v>
      </c>
      <c r="D14" s="81" t="str">
        <f>ApndxA2!$B$4</f>
        <v>Summary Balance Sheet</v>
      </c>
      <c r="I14" s="173">
        <f>MainOutline!I34</f>
        <v>19</v>
      </c>
      <c r="J14" s="173"/>
    </row>
    <row r="15" spans="2:14" x14ac:dyDescent="0.25">
      <c r="C15" s="1" t="str">
        <f>MainOutline!C35</f>
        <v>Appendix A3</v>
      </c>
      <c r="D15" s="81" t="str">
        <f>ApndxA3!$B$4</f>
        <v>Summary Statement of Cash Flows</v>
      </c>
      <c r="I15" s="173">
        <f>MainOutline!I35</f>
        <v>20</v>
      </c>
      <c r="J15" s="173"/>
    </row>
    <row r="16" spans="2:14" x14ac:dyDescent="0.25">
      <c r="D16" s="81"/>
      <c r="I16" s="173"/>
      <c r="J16" s="173"/>
    </row>
    <row r="17" spans="2:10" x14ac:dyDescent="0.25">
      <c r="B17" s="106" t="str">
        <f>MainOutline!B37</f>
        <v>Appendix B</v>
      </c>
      <c r="C17" s="106"/>
      <c r="D17" s="107" t="str">
        <f>MainOutline!D37</f>
        <v>Detailed Financial Statements</v>
      </c>
      <c r="E17" s="106"/>
      <c r="F17" s="106"/>
      <c r="I17" s="173"/>
      <c r="J17" s="173"/>
    </row>
    <row r="18" spans="2:10" x14ac:dyDescent="0.25">
      <c r="C18" s="1" t="str">
        <f>MainOutline!C38</f>
        <v>Appendix B1</v>
      </c>
      <c r="D18" s="81" t="str">
        <f>MainOutline!D38</f>
        <v>Operating Income Statement</v>
      </c>
      <c r="I18" s="173">
        <f>MainOutline!I38</f>
        <v>21</v>
      </c>
      <c r="J18" s="173"/>
    </row>
    <row r="19" spans="2:10" x14ac:dyDescent="0.25">
      <c r="C19" s="1" t="str">
        <f>MainOutline!C39</f>
        <v>Appendix B2</v>
      </c>
      <c r="D19" s="81" t="str">
        <f>MainOutline!D39</f>
        <v>Oper. Inc. St. (per treatment)</v>
      </c>
      <c r="I19" s="173">
        <f>MainOutline!I39</f>
        <v>23</v>
      </c>
      <c r="J19" s="173"/>
    </row>
    <row r="20" spans="2:10" x14ac:dyDescent="0.25">
      <c r="C20" s="1" t="str">
        <f>MainOutline!C40</f>
        <v>Appendix B3</v>
      </c>
      <c r="D20" s="81" t="str">
        <f>MainOutline!D40</f>
        <v>Operating Balance Sheet</v>
      </c>
      <c r="I20" s="173">
        <f>MainOutline!I40</f>
        <v>25</v>
      </c>
      <c r="J20" s="173"/>
    </row>
    <row r="21" spans="2:10" x14ac:dyDescent="0.25">
      <c r="C21" s="1" t="str">
        <f>MainOutline!C41</f>
        <v>Appendix B4</v>
      </c>
      <c r="D21" s="81" t="str">
        <f>MainOutline!D41</f>
        <v>Operating Cash Flows</v>
      </c>
      <c r="I21" s="173">
        <f>MainOutline!I41</f>
        <v>27</v>
      </c>
      <c r="J21" s="173"/>
    </row>
    <row r="22" spans="2:10" x14ac:dyDescent="0.25">
      <c r="C22" s="1" t="str">
        <f>MainOutline!C42</f>
        <v>Appendix B5</v>
      </c>
      <c r="D22" s="81" t="str">
        <f>MainOutline!D42</f>
        <v>Financial Statements - Prebuild Phase</v>
      </c>
      <c r="I22" s="173">
        <f>MainOutline!I42</f>
        <v>29</v>
      </c>
      <c r="J22" s="173"/>
    </row>
    <row r="23" spans="2:10" x14ac:dyDescent="0.25">
      <c r="C23" s="1" t="str">
        <f>MainOutline!C43</f>
        <v>Appendix B6</v>
      </c>
      <c r="D23" s="81" t="str">
        <f>MainOutline!D43</f>
        <v>Financial Statements - Licensing &amp; Permit Phase</v>
      </c>
      <c r="I23" s="173">
        <f>MainOutline!I43</f>
        <v>30</v>
      </c>
      <c r="J23" s="173"/>
    </row>
    <row r="24" spans="2:10" x14ac:dyDescent="0.25">
      <c r="D24" s="81"/>
      <c r="J24" s="173"/>
    </row>
    <row r="25" spans="2:10" x14ac:dyDescent="0.25">
      <c r="B25" s="106" t="str">
        <f>MainOutline!B45</f>
        <v>Appendix C</v>
      </c>
      <c r="C25" s="106"/>
      <c r="D25" s="107" t="s">
        <v>530</v>
      </c>
      <c r="E25" s="106"/>
      <c r="F25" s="106"/>
      <c r="I25" s="173"/>
      <c r="J25" s="173"/>
    </row>
    <row r="26" spans="2:10" x14ac:dyDescent="0.25">
      <c r="C26" s="1" t="str">
        <f>MainOutline!C46</f>
        <v>Appendix C1</v>
      </c>
      <c r="D26" s="81" t="str">
        <f>MainOutline!D46</f>
        <v>Hemo Dialysis [In Center] Revenues</v>
      </c>
      <c r="I26" s="173">
        <f>MainOutline!I46</f>
        <v>31</v>
      </c>
      <c r="J26" s="173"/>
    </row>
    <row r="27" spans="2:10" x14ac:dyDescent="0.25">
      <c r="C27" s="1" t="str">
        <f>MainOutline!C47</f>
        <v>Appendix C2</v>
      </c>
      <c r="D27" s="81" t="str">
        <f>MainOutline!D47</f>
        <v>Hemo Dialysis [Nocturnal] Revenues</v>
      </c>
      <c r="I27" s="173">
        <f>MainOutline!I47</f>
        <v>32</v>
      </c>
      <c r="J27" s="173"/>
    </row>
    <row r="28" spans="2:10" x14ac:dyDescent="0.25">
      <c r="C28" s="1" t="str">
        <f>MainOutline!C48</f>
        <v>Appendix C3</v>
      </c>
      <c r="D28" s="81" t="str">
        <f>MainOutline!D48</f>
        <v>Home Dialysis [Peritoneal] Revenues</v>
      </c>
      <c r="I28" s="173">
        <f>MainOutline!I48</f>
        <v>33</v>
      </c>
      <c r="J28" s="173"/>
    </row>
    <row r="29" spans="2:10" x14ac:dyDescent="0.25">
      <c r="C29" s="1" t="str">
        <f>MainOutline!C49</f>
        <v>Appendix C4</v>
      </c>
      <c r="D29" s="81" t="str">
        <f>MainOutline!D49</f>
        <v>Home Dialysis [Hemo Dialysis] Revenues</v>
      </c>
      <c r="I29" s="173">
        <f>MainOutline!I49</f>
        <v>34</v>
      </c>
      <c r="J29" s="173"/>
    </row>
    <row r="30" spans="2:10" x14ac:dyDescent="0.25">
      <c r="C30" s="1" t="str">
        <f>MainOutline!C50</f>
        <v>Appendix C5</v>
      </c>
      <c r="D30" s="81" t="str">
        <f>MainOutline!D50</f>
        <v>Acute Care Revenues</v>
      </c>
      <c r="I30" s="173">
        <f>MainOutline!I50</f>
        <v>35</v>
      </c>
      <c r="J30" s="173"/>
    </row>
    <row r="31" spans="2:10" x14ac:dyDescent="0.25">
      <c r="C31" s="1" t="str">
        <f>MainOutline!C51</f>
        <v>Appendix C6</v>
      </c>
      <c r="D31" s="81" t="str">
        <f>MainOutline!D51</f>
        <v>Commercial Mix Change</v>
      </c>
      <c r="I31" s="173">
        <f>MainOutline!I51</f>
        <v>36</v>
      </c>
      <c r="J31" s="173"/>
    </row>
    <row r="32" spans="2:10" x14ac:dyDescent="0.25">
      <c r="C32" s="1" t="str">
        <f>MainOutline!C52</f>
        <v>Appendix C7</v>
      </c>
      <c r="D32" s="81" t="str">
        <f>MainOutline!D52</f>
        <v>Cost of Service</v>
      </c>
      <c r="I32" s="173">
        <f>MainOutline!I52</f>
        <v>37</v>
      </c>
      <c r="J32" s="173"/>
    </row>
    <row r="33" spans="2:10" x14ac:dyDescent="0.25">
      <c r="C33" s="1" t="str">
        <f>MainOutline!C53</f>
        <v>Appendix C8</v>
      </c>
      <c r="D33" s="81" t="str">
        <f>MainOutline!D53</f>
        <v>Staffing Costs</v>
      </c>
      <c r="I33" s="173">
        <f>MainOutline!I53</f>
        <v>38</v>
      </c>
      <c r="J33" s="173"/>
    </row>
    <row r="34" spans="2:10" x14ac:dyDescent="0.25">
      <c r="C34" s="1" t="str">
        <f>MainOutline!C54</f>
        <v>Appendix C9</v>
      </c>
      <c r="D34" s="81" t="str">
        <f>MainOutline!D54</f>
        <v>Operating Costs</v>
      </c>
      <c r="I34" s="173">
        <f>MainOutline!I54</f>
        <v>39</v>
      </c>
      <c r="J34" s="173"/>
    </row>
    <row r="35" spans="2:10" x14ac:dyDescent="0.25">
      <c r="C35" s="1" t="str">
        <f>MainOutline!C55</f>
        <v>Appendix C10</v>
      </c>
      <c r="D35" s="81" t="str">
        <f>MainOutline!D55</f>
        <v>Capital Expenditures and Depreciation</v>
      </c>
      <c r="I35" s="173">
        <f>MainOutline!I55</f>
        <v>40</v>
      </c>
      <c r="J35" s="173"/>
    </row>
    <row r="36" spans="2:10" x14ac:dyDescent="0.25">
      <c r="C36" s="1" t="str">
        <f>MainOutline!C56</f>
        <v>Appendix C11</v>
      </c>
      <c r="D36" s="81" t="str">
        <f>MainOutline!D56</f>
        <v>Timing of Clinical Manager Hiring</v>
      </c>
      <c r="I36" s="173">
        <f>MainOutline!I56</f>
        <v>41</v>
      </c>
      <c r="J36" s="173"/>
    </row>
    <row r="37" spans="2:10" x14ac:dyDescent="0.25">
      <c r="C37" s="1" t="str">
        <f>MainOutline!C57</f>
        <v>Appendix C12</v>
      </c>
      <c r="D37" s="81" t="str">
        <f>MainOutline!D57</f>
        <v>Delivery Capacity Limit Estimations</v>
      </c>
      <c r="I37" s="173">
        <f>MainOutline!I57</f>
        <v>42</v>
      </c>
      <c r="J37" s="173"/>
    </row>
    <row r="38" spans="2:10" x14ac:dyDescent="0.25">
      <c r="D38" s="81"/>
      <c r="I38" s="173"/>
      <c r="J38" s="173"/>
    </row>
    <row r="39" spans="2:10" x14ac:dyDescent="0.25">
      <c r="B39" s="106" t="str">
        <f>MainOutline!B59</f>
        <v>Appendix D</v>
      </c>
      <c r="C39" s="106"/>
      <c r="D39" s="107" t="s">
        <v>531</v>
      </c>
      <c r="E39" s="106"/>
      <c r="F39" s="106"/>
      <c r="I39" s="173"/>
      <c r="J39" s="173"/>
    </row>
    <row r="40" spans="2:10" x14ac:dyDescent="0.25">
      <c r="C40" s="1" t="str">
        <f>MainOutline!C60</f>
        <v>Appendix D1</v>
      </c>
      <c r="D40" s="81" t="str">
        <f>MainOutline!D60</f>
        <v>Initial Funding Requirements</v>
      </c>
      <c r="E40" s="106"/>
      <c r="F40" s="106"/>
      <c r="I40" s="173">
        <f>MainOutline!I60</f>
        <v>43</v>
      </c>
      <c r="J40" s="173"/>
    </row>
    <row r="41" spans="2:10" x14ac:dyDescent="0.25">
      <c r="C41" s="1" t="str">
        <f>MainOutline!C61</f>
        <v>Appendix D2</v>
      </c>
      <c r="D41" s="81" t="str">
        <f>MainOutline!D61</f>
        <v>Cash Distributions to Satellite Healthcare</v>
      </c>
      <c r="E41" s="106"/>
      <c r="F41" s="106"/>
      <c r="I41" s="173">
        <f>MainOutline!I61</f>
        <v>44</v>
      </c>
      <c r="J41" s="173"/>
    </row>
    <row r="42" spans="2:10" x14ac:dyDescent="0.25">
      <c r="C42" s="1" t="str">
        <f>MainOutline!C62</f>
        <v>Appendix D3</v>
      </c>
      <c r="D42" s="81" t="str">
        <f>MainOutline!D62</f>
        <v>Debt Financing</v>
      </c>
      <c r="E42" s="106"/>
      <c r="F42" s="106"/>
      <c r="I42" s="173">
        <f>MainOutline!I62</f>
        <v>45</v>
      </c>
      <c r="J42" s="173"/>
    </row>
    <row r="43" spans="2:10" x14ac:dyDescent="0.25">
      <c r="C43" s="1" t="str">
        <f>MainOutline!C63</f>
        <v>Appendix D4</v>
      </c>
      <c r="D43" s="81" t="str">
        <f>MainOutline!D63</f>
        <v>Cost of Capital Analysis</v>
      </c>
      <c r="E43" s="106"/>
      <c r="F43" s="106"/>
      <c r="I43" s="173">
        <f>MainOutline!I63</f>
        <v>46</v>
      </c>
      <c r="J43" s="173"/>
    </row>
    <row r="44" spans="2:10" x14ac:dyDescent="0.25">
      <c r="C44" s="1" t="str">
        <f>MainOutline!C64</f>
        <v>Appendix D5</v>
      </c>
      <c r="D44" s="81" t="str">
        <f>MainOutline!D64</f>
        <v>Valuation of Firm to Satellite Healthcare</v>
      </c>
      <c r="E44" s="106"/>
      <c r="F44" s="106"/>
      <c r="I44" s="173">
        <f>MainOutline!I64</f>
        <v>47</v>
      </c>
      <c r="J44" s="173"/>
    </row>
    <row r="45" spans="2:10" x14ac:dyDescent="0.25">
      <c r="C45" s="1" t="str">
        <f>MainOutline!C65</f>
        <v>Appendix D6</v>
      </c>
      <c r="D45" s="81" t="str">
        <f>MainOutline!D65</f>
        <v>Valuation of Cash Flow Distribution to Satellite Healthcare</v>
      </c>
      <c r="E45" s="106"/>
      <c r="F45" s="106"/>
      <c r="I45" s="173">
        <f>MainOutline!I65</f>
        <v>48</v>
      </c>
      <c r="J45" s="173"/>
    </row>
    <row r="46" spans="2:10" x14ac:dyDescent="0.25">
      <c r="C46" s="1" t="str">
        <f>MainOutline!C66</f>
        <v>Appendix D7</v>
      </c>
      <c r="D46" s="81" t="str">
        <f>MainOutline!D66</f>
        <v>Valuation of Distributions to Partner</v>
      </c>
      <c r="E46" s="106"/>
      <c r="F46" s="106"/>
      <c r="I46" s="173">
        <f>MainOutline!I66</f>
        <v>49</v>
      </c>
      <c r="J46" s="173"/>
    </row>
    <row r="47" spans="2:10" x14ac:dyDescent="0.25">
      <c r="C47" s="1" t="str">
        <f>MainOutline!C67</f>
        <v>Appendix D8</v>
      </c>
      <c r="D47" s="81" t="str">
        <f>MainOutline!D67</f>
        <v>Payback Calculation</v>
      </c>
      <c r="E47" s="106"/>
      <c r="F47" s="106"/>
      <c r="I47" s="173">
        <f>MainOutline!I67</f>
        <v>50</v>
      </c>
      <c r="J47" s="173"/>
    </row>
    <row r="48" spans="2:10" x14ac:dyDescent="0.25">
      <c r="J48" s="173"/>
    </row>
  </sheetData>
  <conditionalFormatting sqref="I7:I10">
    <cfRule type="expression" dxfId="17" priority="1">
      <formula>$H$2=3</formula>
    </cfRule>
  </conditionalFormatting>
  <printOptions horizontalCentered="1"/>
  <pageMargins left="0.7" right="0.7" top="0.5" bottom="0.5" header="0.3" footer="0.3"/>
  <pageSetup scale="72" orientation="landscape" r:id="rId1"/>
  <ignoredErrors>
    <ignoredError sqref="B9:I40 B42:B43 B44:I47 B2:I7" unlockedFormula="1"/>
  </ignoredErrors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>
    <tabColor theme="4" tint="0.39997558519241921"/>
    <pageSetUpPr fitToPage="1"/>
  </sheetPr>
  <dimension ref="A1:M53"/>
  <sheetViews>
    <sheetView showGridLines="0" zoomScale="40" zoomScaleNormal="40" workbookViewId="0"/>
  </sheetViews>
  <sheetFormatPr defaultColWidth="9.42578125" defaultRowHeight="15" x14ac:dyDescent="0.25"/>
  <cols>
    <col min="1" max="1" width="1.5703125" style="1" customWidth="1"/>
    <col min="2" max="13" width="15.42578125" style="1" customWidth="1"/>
    <col min="14" max="16384" width="9.42578125" style="1"/>
  </cols>
  <sheetData>
    <row r="1" spans="1:13" ht="4.3499999999999996" customHeight="1" thickBot="1" x14ac:dyDescent="0.3">
      <c r="C1" s="108"/>
      <c r="D1" s="108"/>
      <c r="E1" s="108"/>
      <c r="F1" s="108"/>
      <c r="G1" s="108"/>
      <c r="H1" s="108"/>
      <c r="I1" s="108"/>
      <c r="J1" s="108"/>
      <c r="K1" s="108"/>
      <c r="L1" s="108"/>
      <c r="M1" s="108"/>
    </row>
    <row r="2" spans="1:13" ht="16.5" thickTop="1" x14ac:dyDescent="0.25">
      <c r="B2" s="110" t="str">
        <f>MainOutline!B2</f>
        <v>WB Santa Cruz</v>
      </c>
      <c r="C2" s="111"/>
      <c r="D2" s="111"/>
      <c r="E2" s="508" t="str">
        <f>'A1'!$C$90</f>
        <v>Acquisition of an existing facility</v>
      </c>
      <c r="F2" s="111"/>
      <c r="G2" s="111"/>
      <c r="H2" s="111"/>
      <c r="I2" s="111"/>
      <c r="J2" s="111"/>
      <c r="K2" s="111"/>
      <c r="L2" s="111"/>
      <c r="M2" s="1409">
        <f>A3</f>
        <v>14</v>
      </c>
    </row>
    <row r="3" spans="1:13" ht="15.75" x14ac:dyDescent="0.25">
      <c r="A3" s="123">
        <f>MainOutline!B27</f>
        <v>14</v>
      </c>
      <c r="B3" s="102" t="str">
        <f>MainOutline!C27</f>
        <v>Exhibit P1</v>
      </c>
      <c r="C3" s="89"/>
      <c r="D3" s="89"/>
      <c r="E3" s="89"/>
      <c r="F3" s="89"/>
      <c r="G3" s="89"/>
      <c r="H3" s="89"/>
      <c r="I3" s="89"/>
      <c r="J3" s="89"/>
      <c r="K3" s="89"/>
      <c r="L3" s="89"/>
      <c r="M3" s="89"/>
    </row>
    <row r="4" spans="1:13" ht="16.5" thickBot="1" x14ac:dyDescent="0.3">
      <c r="B4" s="104" t="s">
        <v>52</v>
      </c>
      <c r="C4" s="97"/>
      <c r="D4" s="97"/>
      <c r="E4" s="97"/>
      <c r="F4" s="97"/>
      <c r="G4" s="97"/>
      <c r="H4" s="97"/>
      <c r="I4" s="97"/>
      <c r="J4" s="97"/>
      <c r="K4" s="97"/>
      <c r="L4" s="97"/>
      <c r="M4" s="138" t="s">
        <v>19</v>
      </c>
    </row>
    <row r="5" spans="1:13" ht="16.5" thickTop="1" thickBot="1" x14ac:dyDescent="0.3"/>
    <row r="6" spans="1:13" ht="24.75" thickTop="1" thickBot="1" x14ac:dyDescent="0.65">
      <c r="B6" s="584" t="s">
        <v>68</v>
      </c>
      <c r="C6" s="585"/>
      <c r="D6" s="585"/>
      <c r="E6" s="585"/>
      <c r="F6" s="585"/>
      <c r="G6" s="585"/>
      <c r="H6" s="585"/>
      <c r="I6" s="585"/>
      <c r="J6" s="585"/>
      <c r="K6" s="585"/>
      <c r="L6" s="585"/>
      <c r="M6" s="586"/>
    </row>
    <row r="7" spans="1:13" s="587" customFormat="1" ht="20.25" x14ac:dyDescent="0.55000000000000004">
      <c r="B7" s="588" t="s">
        <v>33</v>
      </c>
      <c r="C7" s="589"/>
      <c r="D7" s="589"/>
      <c r="E7" s="590"/>
      <c r="F7" s="589"/>
      <c r="G7" s="591"/>
      <c r="H7" s="592" t="s">
        <v>67</v>
      </c>
      <c r="I7" s="589"/>
      <c r="J7" s="589"/>
      <c r="K7" s="589"/>
      <c r="L7" s="589"/>
      <c r="M7" s="593"/>
    </row>
    <row r="8" spans="1:13" s="594" customFormat="1" ht="15.75" x14ac:dyDescent="0.25">
      <c r="B8" s="1727" t="s">
        <v>87</v>
      </c>
      <c r="C8" s="1725"/>
      <c r="D8" s="1725"/>
      <c r="E8" s="1725"/>
      <c r="F8" s="1725"/>
      <c r="G8" s="1728"/>
      <c r="H8" s="1729" t="s">
        <v>35</v>
      </c>
      <c r="I8" s="1725"/>
      <c r="J8" s="1725"/>
      <c r="K8" s="1725"/>
      <c r="L8" s="1725"/>
      <c r="M8" s="1726"/>
    </row>
    <row r="9" spans="1:13" s="594" customFormat="1" ht="14.1" customHeight="1" x14ac:dyDescent="0.25">
      <c r="B9" s="1727"/>
      <c r="C9" s="1725"/>
      <c r="D9" s="1725"/>
      <c r="E9" s="1725"/>
      <c r="F9" s="1725"/>
      <c r="G9" s="1728"/>
      <c r="H9" s="1729" t="s">
        <v>36</v>
      </c>
      <c r="I9" s="1725"/>
      <c r="J9" s="1725"/>
      <c r="K9" s="1725"/>
      <c r="L9" s="1725"/>
      <c r="M9" s="1726"/>
    </row>
    <row r="10" spans="1:13" s="594" customFormat="1" ht="14.1" customHeight="1" x14ac:dyDescent="0.25">
      <c r="B10" s="1727"/>
      <c r="C10" s="1725"/>
      <c r="D10" s="1725"/>
      <c r="E10" s="1725"/>
      <c r="F10" s="1725"/>
      <c r="G10" s="1728"/>
      <c r="H10" s="1729"/>
      <c r="I10" s="1725"/>
      <c r="J10" s="1725"/>
      <c r="K10" s="1725"/>
      <c r="L10" s="1725"/>
      <c r="M10" s="1726"/>
    </row>
    <row r="11" spans="1:13" s="594" customFormat="1" ht="14.1" customHeight="1" x14ac:dyDescent="0.25">
      <c r="B11" s="1727"/>
      <c r="C11" s="1725"/>
      <c r="D11" s="1725"/>
      <c r="E11" s="1725"/>
      <c r="F11" s="1725"/>
      <c r="G11" s="1728"/>
      <c r="H11" s="1729"/>
      <c r="I11" s="1725"/>
      <c r="J11" s="1725"/>
      <c r="K11" s="1725"/>
      <c r="L11" s="1725"/>
      <c r="M11" s="1726"/>
    </row>
    <row r="12" spans="1:13" s="594" customFormat="1" ht="14.1" customHeight="1" x14ac:dyDescent="0.25">
      <c r="B12" s="1727"/>
      <c r="C12" s="1725"/>
      <c r="D12" s="1725"/>
      <c r="E12" s="1725"/>
      <c r="F12" s="1725"/>
      <c r="G12" s="1728"/>
      <c r="H12" s="1729"/>
      <c r="I12" s="1725"/>
      <c r="J12" s="1725"/>
      <c r="K12" s="1725"/>
      <c r="L12" s="1725"/>
      <c r="M12" s="1726"/>
    </row>
    <row r="13" spans="1:13" s="594" customFormat="1" ht="14.1" customHeight="1" x14ac:dyDescent="0.25">
      <c r="B13" s="1727"/>
      <c r="C13" s="1725"/>
      <c r="D13" s="1725"/>
      <c r="E13" s="1725"/>
      <c r="F13" s="1725"/>
      <c r="G13" s="1728"/>
      <c r="H13" s="1729"/>
      <c r="I13" s="1725"/>
      <c r="J13" s="1725"/>
      <c r="K13" s="1725"/>
      <c r="L13" s="1725"/>
      <c r="M13" s="1726"/>
    </row>
    <row r="14" spans="1:13" s="594" customFormat="1" ht="14.1" customHeight="1" x14ac:dyDescent="0.25">
      <c r="B14" s="1727"/>
      <c r="C14" s="1725"/>
      <c r="D14" s="1725"/>
      <c r="E14" s="1725"/>
      <c r="F14" s="1725"/>
      <c r="G14" s="1728"/>
      <c r="H14" s="1729"/>
      <c r="I14" s="1725"/>
      <c r="J14" s="1725"/>
      <c r="K14" s="1725"/>
      <c r="L14" s="1725"/>
      <c r="M14" s="1726"/>
    </row>
    <row r="15" spans="1:13" s="594" customFormat="1" ht="14.1" customHeight="1" x14ac:dyDescent="0.25">
      <c r="B15" s="1727"/>
      <c r="C15" s="1725"/>
      <c r="D15" s="1725"/>
      <c r="E15" s="1725"/>
      <c r="F15" s="1725"/>
      <c r="G15" s="1728"/>
      <c r="H15" s="1729"/>
      <c r="I15" s="1725"/>
      <c r="J15" s="1725"/>
      <c r="K15" s="1725"/>
      <c r="L15" s="1725"/>
      <c r="M15" s="1726"/>
    </row>
    <row r="16" spans="1:13" s="594" customFormat="1" ht="16.5" thickBot="1" x14ac:dyDescent="0.3">
      <c r="B16" s="595"/>
      <c r="C16" s="596"/>
      <c r="D16" s="596"/>
      <c r="E16" s="597"/>
      <c r="F16" s="597"/>
      <c r="G16" s="598"/>
      <c r="H16" s="599"/>
      <c r="I16" s="596"/>
      <c r="J16" s="596"/>
      <c r="K16" s="597"/>
      <c r="L16" s="597"/>
      <c r="M16" s="600"/>
    </row>
    <row r="17" spans="2:13" s="587" customFormat="1" ht="20.25" x14ac:dyDescent="0.55000000000000004">
      <c r="B17" s="588" t="s">
        <v>51</v>
      </c>
      <c r="C17" s="589"/>
      <c r="D17" s="589"/>
      <c r="E17" s="590"/>
      <c r="F17" s="589"/>
      <c r="G17" s="591"/>
      <c r="H17" s="601" t="s">
        <v>34</v>
      </c>
      <c r="I17" s="602"/>
      <c r="J17" s="602"/>
      <c r="K17" s="602"/>
      <c r="L17" s="602"/>
      <c r="M17" s="603"/>
    </row>
    <row r="18" spans="2:13" s="594" customFormat="1" ht="14.1" customHeight="1" x14ac:dyDescent="0.25">
      <c r="B18" s="1727" t="s">
        <v>54</v>
      </c>
      <c r="C18" s="1725"/>
      <c r="D18" s="1725"/>
      <c r="E18" s="1725"/>
      <c r="F18" s="1725"/>
      <c r="G18" s="1728"/>
      <c r="H18" s="1725" t="s">
        <v>61</v>
      </c>
      <c r="I18" s="1725"/>
      <c r="J18" s="1725"/>
      <c r="K18" s="1725"/>
      <c r="L18" s="1725"/>
      <c r="M18" s="1726"/>
    </row>
    <row r="19" spans="2:13" s="594" customFormat="1" ht="14.1" customHeight="1" x14ac:dyDescent="0.25">
      <c r="B19" s="1727" t="s">
        <v>55</v>
      </c>
      <c r="C19" s="1725"/>
      <c r="D19" s="1725"/>
      <c r="E19" s="1725"/>
      <c r="F19" s="1725"/>
      <c r="G19" s="1728"/>
      <c r="H19" s="1725" t="s">
        <v>62</v>
      </c>
      <c r="I19" s="1725"/>
      <c r="J19" s="1725"/>
      <c r="K19" s="1725"/>
      <c r="L19" s="1725"/>
      <c r="M19" s="1726"/>
    </row>
    <row r="20" spans="2:13" s="594" customFormat="1" ht="15.75" x14ac:dyDescent="0.25">
      <c r="B20" s="1727"/>
      <c r="C20" s="1725"/>
      <c r="D20" s="1725"/>
      <c r="E20" s="1725"/>
      <c r="F20" s="1725"/>
      <c r="G20" s="1728"/>
      <c r="H20" s="1725" t="s">
        <v>568</v>
      </c>
      <c r="I20" s="1725"/>
      <c r="J20" s="1725"/>
      <c r="K20" s="1725"/>
      <c r="L20" s="1725"/>
      <c r="M20" s="1726"/>
    </row>
    <row r="21" spans="2:13" s="594" customFormat="1" ht="14.1" customHeight="1" x14ac:dyDescent="0.25">
      <c r="B21" s="1727"/>
      <c r="C21" s="1725"/>
      <c r="D21" s="1725"/>
      <c r="E21" s="1725"/>
      <c r="F21" s="1725"/>
      <c r="G21" s="1728"/>
      <c r="H21" s="1725"/>
      <c r="I21" s="1725"/>
      <c r="J21" s="1725"/>
      <c r="K21" s="1725"/>
      <c r="L21" s="1725"/>
      <c r="M21" s="1726"/>
    </row>
    <row r="22" spans="2:13" s="594" customFormat="1" ht="14.1" customHeight="1" x14ac:dyDescent="0.25">
      <c r="B22" s="1727"/>
      <c r="C22" s="1725"/>
      <c r="D22" s="1725"/>
      <c r="E22" s="1725"/>
      <c r="F22" s="1725"/>
      <c r="G22" s="1728"/>
      <c r="H22" s="1725"/>
      <c r="I22" s="1725"/>
      <c r="J22" s="1725"/>
      <c r="K22" s="1725"/>
      <c r="L22" s="1725"/>
      <c r="M22" s="1726"/>
    </row>
    <row r="23" spans="2:13" s="594" customFormat="1" ht="14.1" customHeight="1" x14ac:dyDescent="0.25">
      <c r="B23" s="1727"/>
      <c r="C23" s="1725"/>
      <c r="D23" s="1725"/>
      <c r="E23" s="1725"/>
      <c r="F23" s="1725"/>
      <c r="G23" s="1728"/>
      <c r="H23" s="1725"/>
      <c r="I23" s="1725"/>
      <c r="J23" s="1725"/>
      <c r="K23" s="1725"/>
      <c r="L23" s="1725"/>
      <c r="M23" s="1726"/>
    </row>
    <row r="24" spans="2:13" s="594" customFormat="1" ht="14.1" customHeight="1" x14ac:dyDescent="0.25">
      <c r="B24" s="1727"/>
      <c r="C24" s="1725"/>
      <c r="D24" s="1725"/>
      <c r="E24" s="1725"/>
      <c r="F24" s="1725"/>
      <c r="G24" s="1728"/>
      <c r="H24" s="1725"/>
      <c r="I24" s="1725"/>
      <c r="J24" s="1725"/>
      <c r="K24" s="1725"/>
      <c r="L24" s="1725"/>
      <c r="M24" s="1726"/>
    </row>
    <row r="25" spans="2:13" s="594" customFormat="1" ht="14.1" customHeight="1" x14ac:dyDescent="0.25">
      <c r="B25" s="1727"/>
      <c r="C25" s="1725"/>
      <c r="D25" s="1725"/>
      <c r="E25" s="1725"/>
      <c r="F25" s="1725"/>
      <c r="G25" s="1728"/>
      <c r="H25" s="1725"/>
      <c r="I25" s="1725"/>
      <c r="J25" s="1725"/>
      <c r="K25" s="1725"/>
      <c r="L25" s="1725"/>
      <c r="M25" s="1726"/>
    </row>
    <row r="26" spans="2:13" s="594" customFormat="1" ht="16.5" thickBot="1" x14ac:dyDescent="0.3">
      <c r="B26" s="604"/>
      <c r="C26" s="605"/>
      <c r="D26" s="605"/>
      <c r="E26" s="606"/>
      <c r="F26" s="606"/>
      <c r="G26" s="607"/>
      <c r="H26" s="605"/>
      <c r="I26" s="605"/>
      <c r="J26" s="605"/>
      <c r="K26" s="606"/>
      <c r="L26" s="606"/>
      <c r="M26" s="608"/>
    </row>
    <row r="27" spans="2:13" s="594" customFormat="1" ht="17.25" thickTop="1" thickBot="1" x14ac:dyDescent="0.3">
      <c r="E27" s="609"/>
      <c r="F27" s="609"/>
      <c r="G27" s="609"/>
      <c r="K27" s="609"/>
      <c r="L27" s="609"/>
      <c r="M27" s="609"/>
    </row>
    <row r="28" spans="2:13" s="613" customFormat="1" ht="24" thickBot="1" x14ac:dyDescent="0.65">
      <c r="B28" s="610" t="s">
        <v>69</v>
      </c>
      <c r="C28" s="611"/>
      <c r="D28" s="611"/>
      <c r="E28" s="611"/>
      <c r="F28" s="611"/>
      <c r="G28" s="611"/>
      <c r="H28" s="611"/>
      <c r="I28" s="611"/>
      <c r="J28" s="611"/>
      <c r="K28" s="611"/>
      <c r="L28" s="611"/>
      <c r="M28" s="612"/>
    </row>
    <row r="29" spans="2:13" ht="17.25" x14ac:dyDescent="0.4">
      <c r="B29" s="614" t="s">
        <v>57</v>
      </c>
      <c r="C29" s="615"/>
      <c r="D29" s="615"/>
      <c r="E29" s="615"/>
      <c r="F29" s="615"/>
      <c r="G29" s="616"/>
      <c r="H29" s="617" t="s">
        <v>46</v>
      </c>
      <c r="I29" s="615"/>
      <c r="J29" s="615"/>
      <c r="K29" s="615"/>
      <c r="L29" s="615"/>
      <c r="M29" s="616"/>
    </row>
    <row r="30" spans="2:13" x14ac:dyDescent="0.25">
      <c r="B30" s="150"/>
      <c r="G30" s="151"/>
      <c r="H30" s="619"/>
      <c r="M30" s="151"/>
    </row>
    <row r="31" spans="2:13" x14ac:dyDescent="0.25">
      <c r="B31" s="296"/>
      <c r="G31" s="151"/>
      <c r="H31" s="619"/>
      <c r="M31" s="151"/>
    </row>
    <row r="32" spans="2:13" x14ac:dyDescent="0.25">
      <c r="B32" s="296"/>
      <c r="G32" s="151"/>
      <c r="H32" s="619"/>
      <c r="M32" s="151"/>
    </row>
    <row r="33" spans="2:13" x14ac:dyDescent="0.25">
      <c r="B33" s="296"/>
      <c r="G33" s="151"/>
      <c r="H33" s="81"/>
      <c r="M33" s="151"/>
    </row>
    <row r="34" spans="2:13" x14ac:dyDescent="0.25">
      <c r="B34" s="296"/>
      <c r="C34" s="81"/>
      <c r="D34" s="81"/>
      <c r="G34" s="151"/>
      <c r="H34" s="81"/>
      <c r="M34" s="151"/>
    </row>
    <row r="35" spans="2:13" ht="15.75" thickBot="1" x14ac:dyDescent="0.3">
      <c r="B35" s="430"/>
      <c r="C35" s="366"/>
      <c r="D35" s="366"/>
      <c r="E35" s="257"/>
      <c r="F35" s="257"/>
      <c r="G35" s="258"/>
      <c r="H35" s="366"/>
      <c r="I35" s="257"/>
      <c r="J35" s="257"/>
      <c r="K35" s="257"/>
      <c r="L35" s="257"/>
      <c r="M35" s="258"/>
    </row>
    <row r="36" spans="2:13" ht="15.75" thickBot="1" x14ac:dyDescent="0.3"/>
    <row r="37" spans="2:13" s="384" customFormat="1" ht="18.75" x14ac:dyDescent="0.3">
      <c r="B37" s="620" t="s">
        <v>234</v>
      </c>
      <c r="C37" s="621"/>
      <c r="D37" s="621"/>
      <c r="E37" s="622"/>
      <c r="F37" s="623" t="s">
        <v>433</v>
      </c>
      <c r="G37" s="621"/>
      <c r="H37" s="621"/>
      <c r="I37" s="622"/>
      <c r="J37" s="623" t="s">
        <v>901</v>
      </c>
      <c r="K37" s="621"/>
      <c r="L37" s="624"/>
      <c r="M37" s="625"/>
    </row>
    <row r="38" spans="2:13" x14ac:dyDescent="0.25">
      <c r="B38" s="626"/>
      <c r="C38" s="305"/>
      <c r="D38" s="305"/>
      <c r="E38" s="214"/>
      <c r="F38" s="627"/>
      <c r="G38" s="305"/>
      <c r="H38" s="305"/>
      <c r="I38" s="214"/>
      <c r="J38" s="628"/>
      <c r="K38" s="305"/>
      <c r="L38" s="305"/>
      <c r="M38" s="208"/>
    </row>
    <row r="39" spans="2:13" x14ac:dyDescent="0.25">
      <c r="B39" s="626"/>
      <c r="C39" s="305"/>
      <c r="D39" s="305"/>
      <c r="E39" s="214"/>
      <c r="F39" s="627"/>
      <c r="G39" s="305"/>
      <c r="H39" s="305"/>
      <c r="I39" s="214"/>
      <c r="J39" s="627"/>
      <c r="K39" s="305"/>
      <c r="L39" s="305"/>
      <c r="M39" s="208"/>
    </row>
    <row r="40" spans="2:13" x14ac:dyDescent="0.25">
      <c r="B40" s="626"/>
      <c r="C40" s="305"/>
      <c r="D40" s="305"/>
      <c r="E40" s="214"/>
      <c r="F40" s="627"/>
      <c r="G40" s="305"/>
      <c r="H40" s="305"/>
      <c r="I40" s="214"/>
      <c r="J40" s="627"/>
      <c r="K40" s="305"/>
      <c r="L40" s="305"/>
      <c r="M40" s="208"/>
    </row>
    <row r="41" spans="2:13" x14ac:dyDescent="0.25">
      <c r="B41" s="626"/>
      <c r="C41" s="305"/>
      <c r="D41" s="305"/>
      <c r="E41" s="214"/>
      <c r="F41" s="627"/>
      <c r="G41" s="305"/>
      <c r="H41" s="305"/>
      <c r="I41" s="214"/>
      <c r="J41" s="627"/>
      <c r="K41" s="305"/>
      <c r="L41" s="305"/>
      <c r="M41" s="208"/>
    </row>
    <row r="42" spans="2:13" x14ac:dyDescent="0.25">
      <c r="B42" s="626"/>
      <c r="C42" s="305"/>
      <c r="D42" s="305"/>
      <c r="E42" s="214"/>
      <c r="F42" s="627"/>
      <c r="G42" s="305"/>
      <c r="H42" s="305"/>
      <c r="I42" s="214"/>
      <c r="J42" s="627"/>
      <c r="K42" s="305"/>
      <c r="L42" s="305"/>
      <c r="M42" s="208"/>
    </row>
    <row r="43" spans="2:13" x14ac:dyDescent="0.25">
      <c r="B43" s="626"/>
      <c r="C43" s="305"/>
      <c r="D43" s="305"/>
      <c r="E43" s="214"/>
      <c r="F43" s="627"/>
      <c r="G43" s="305"/>
      <c r="H43" s="305"/>
      <c r="I43" s="214"/>
      <c r="J43" s="627"/>
      <c r="K43" s="305"/>
      <c r="L43" s="305"/>
      <c r="M43" s="208"/>
    </row>
    <row r="44" spans="2:13" x14ac:dyDescent="0.25">
      <c r="B44" s="626"/>
      <c r="C44" s="305"/>
      <c r="D44" s="305"/>
      <c r="E44" s="214"/>
      <c r="F44" s="627"/>
      <c r="G44" s="305"/>
      <c r="H44" s="305"/>
      <c r="I44" s="214"/>
      <c r="J44" s="627"/>
      <c r="K44" s="305"/>
      <c r="L44" s="305"/>
      <c r="M44" s="208"/>
    </row>
    <row r="45" spans="2:13" x14ac:dyDescent="0.25">
      <c r="B45" s="626"/>
      <c r="C45" s="305"/>
      <c r="D45" s="305"/>
      <c r="E45" s="214"/>
      <c r="F45" s="627"/>
      <c r="G45" s="305"/>
      <c r="H45" s="305"/>
      <c r="I45" s="214"/>
      <c r="J45" s="627"/>
      <c r="K45" s="305"/>
      <c r="L45" s="305"/>
      <c r="M45" s="208"/>
    </row>
    <row r="46" spans="2:13" x14ac:dyDescent="0.25">
      <c r="B46" s="626"/>
      <c r="C46" s="305"/>
      <c r="D46" s="305"/>
      <c r="E46" s="214"/>
      <c r="F46" s="627"/>
      <c r="G46" s="305"/>
      <c r="H46" s="305"/>
      <c r="I46" s="214"/>
      <c r="J46" s="627"/>
      <c r="K46" s="305"/>
      <c r="L46" s="305"/>
      <c r="M46" s="208"/>
    </row>
    <row r="47" spans="2:13" x14ac:dyDescent="0.25">
      <c r="B47" s="626"/>
      <c r="C47" s="305"/>
      <c r="D47" s="305"/>
      <c r="E47" s="214"/>
      <c r="F47" s="627"/>
      <c r="G47" s="305"/>
      <c r="H47" s="305"/>
      <c r="I47" s="214"/>
      <c r="J47" s="627"/>
      <c r="K47" s="305"/>
      <c r="L47" s="305"/>
      <c r="M47" s="208"/>
    </row>
    <row r="48" spans="2:13" x14ac:dyDescent="0.25">
      <c r="B48" s="626"/>
      <c r="C48" s="305"/>
      <c r="D48" s="305"/>
      <c r="E48" s="214"/>
      <c r="F48" s="627"/>
      <c r="G48" s="305"/>
      <c r="H48" s="305"/>
      <c r="I48" s="214"/>
      <c r="J48" s="627"/>
      <c r="K48" s="305"/>
      <c r="L48" s="305"/>
      <c r="M48" s="208"/>
    </row>
    <row r="49" spans="2:13" x14ac:dyDescent="0.25">
      <c r="B49" s="626"/>
      <c r="C49" s="305"/>
      <c r="D49" s="305"/>
      <c r="E49" s="214"/>
      <c r="F49" s="627"/>
      <c r="G49" s="305"/>
      <c r="H49" s="305"/>
      <c r="I49" s="214"/>
      <c r="J49" s="627"/>
      <c r="K49" s="305"/>
      <c r="L49" s="305"/>
      <c r="M49" s="208"/>
    </row>
    <row r="50" spans="2:13" x14ac:dyDescent="0.25">
      <c r="B50" s="626"/>
      <c r="C50" s="305"/>
      <c r="D50" s="305"/>
      <c r="E50" s="214"/>
      <c r="F50" s="627"/>
      <c r="G50" s="305"/>
      <c r="H50" s="305"/>
      <c r="I50" s="214"/>
      <c r="J50" s="627"/>
      <c r="K50" s="305"/>
      <c r="L50" s="305"/>
      <c r="M50" s="208"/>
    </row>
    <row r="51" spans="2:13" x14ac:dyDescent="0.25">
      <c r="B51" s="626"/>
      <c r="C51" s="305"/>
      <c r="D51" s="305"/>
      <c r="E51" s="214"/>
      <c r="F51" s="627"/>
      <c r="G51" s="305"/>
      <c r="H51" s="305"/>
      <c r="I51" s="214"/>
      <c r="J51" s="627"/>
      <c r="K51" s="305"/>
      <c r="L51" s="305"/>
      <c r="M51" s="208"/>
    </row>
    <row r="52" spans="2:13" x14ac:dyDescent="0.25">
      <c r="B52" s="626"/>
      <c r="C52" s="305"/>
      <c r="D52" s="305"/>
      <c r="E52" s="214"/>
      <c r="F52" s="627"/>
      <c r="G52" s="305"/>
      <c r="H52" s="305"/>
      <c r="I52" s="214"/>
      <c r="J52" s="627"/>
      <c r="K52" s="305"/>
      <c r="L52" s="305"/>
      <c r="M52" s="208"/>
    </row>
    <row r="53" spans="2:13" ht="15.75" thickBot="1" x14ac:dyDescent="0.3">
      <c r="B53" s="629"/>
      <c r="C53" s="630"/>
      <c r="D53" s="630"/>
      <c r="E53" s="230"/>
      <c r="F53" s="631"/>
      <c r="G53" s="630"/>
      <c r="H53" s="630"/>
      <c r="I53" s="230"/>
      <c r="J53" s="631"/>
      <c r="K53" s="630"/>
      <c r="L53" s="630"/>
      <c r="M53" s="231"/>
    </row>
  </sheetData>
  <mergeCells count="25">
    <mergeCell ref="B8:G15"/>
    <mergeCell ref="H8:M8"/>
    <mergeCell ref="H9:M9"/>
    <mergeCell ref="H10:M10"/>
    <mergeCell ref="H11:M11"/>
    <mergeCell ref="H12:M12"/>
    <mergeCell ref="H13:M13"/>
    <mergeCell ref="H14:M14"/>
    <mergeCell ref="H15:M15"/>
    <mergeCell ref="B18:G18"/>
    <mergeCell ref="H18:M18"/>
    <mergeCell ref="B19:G19"/>
    <mergeCell ref="H19:M19"/>
    <mergeCell ref="B20:G20"/>
    <mergeCell ref="H20:M20"/>
    <mergeCell ref="B24:G24"/>
    <mergeCell ref="H24:M24"/>
    <mergeCell ref="B25:G25"/>
    <mergeCell ref="H25:M25"/>
    <mergeCell ref="B21:G21"/>
    <mergeCell ref="H21:M21"/>
    <mergeCell ref="B22:G22"/>
    <mergeCell ref="H22:M22"/>
    <mergeCell ref="B23:G23"/>
    <mergeCell ref="H23:M23"/>
  </mergeCells>
  <printOptions horizontalCentered="1"/>
  <pageMargins left="0.7" right="0.7" top="0.75" bottom="0.75" header="0.3" footer="0.3"/>
  <pageSetup scale="66" orientation="landscape" r:id="rId1"/>
  <ignoredErrors>
    <ignoredError sqref="B2:M9 B38:M58 C37:I37 K37:M37 B11:M36 B10:G10" unlockedFormula="1"/>
  </ignoredErrors>
  <drawing r:id="rId2"/>
</worksheet>
</file>

<file path=xl/worksheets/sheet5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7">
    <tabColor theme="4" tint="0.39997558519241921"/>
    <pageSetUpPr fitToPage="1"/>
  </sheetPr>
  <dimension ref="A1:AC46"/>
  <sheetViews>
    <sheetView showGridLines="0" view="pageBreakPreview" zoomScale="80" zoomScaleNormal="60" zoomScaleSheetLayoutView="80" workbookViewId="0"/>
  </sheetViews>
  <sheetFormatPr defaultColWidth="9.42578125" defaultRowHeight="15" x14ac:dyDescent="0.25"/>
  <cols>
    <col min="1" max="1" width="1.5703125" style="1" customWidth="1"/>
    <col min="2" max="2" width="3.5703125" style="1" customWidth="1"/>
    <col min="3" max="3" width="3.42578125" style="1" customWidth="1"/>
    <col min="4" max="4" width="18.140625" style="1" customWidth="1"/>
    <col min="5" max="9" width="10.5703125" style="1" customWidth="1"/>
    <col min="10" max="11" width="4.42578125" style="1" customWidth="1"/>
    <col min="12" max="12" width="3.5703125" style="1" customWidth="1"/>
    <col min="13" max="13" width="4.140625" style="1" customWidth="1"/>
    <col min="14" max="14" width="22.140625" style="1" customWidth="1"/>
    <col min="15" max="19" width="10.5703125" style="1" customWidth="1"/>
    <col min="20" max="16384" width="9.42578125" style="1"/>
  </cols>
  <sheetData>
    <row r="1" spans="1:22" ht="7.35" customHeight="1" thickBot="1" x14ac:dyDescent="0.3">
      <c r="D1" s="108"/>
      <c r="E1" s="108"/>
      <c r="F1" s="108"/>
      <c r="G1" s="108"/>
      <c r="H1" s="108"/>
      <c r="I1" s="108"/>
      <c r="J1" s="108"/>
      <c r="K1" s="108"/>
      <c r="L1" s="108"/>
      <c r="M1" s="108"/>
      <c r="N1" s="108"/>
      <c r="O1" s="108"/>
      <c r="P1" s="108"/>
      <c r="Q1" s="108"/>
      <c r="R1" s="108"/>
      <c r="S1" s="108"/>
    </row>
    <row r="2" spans="1:22" ht="16.5" thickTop="1" x14ac:dyDescent="0.25">
      <c r="B2" s="110" t="str">
        <f>MainOutline!B2</f>
        <v>WB Santa Cruz</v>
      </c>
      <c r="C2" s="110"/>
      <c r="D2" s="111"/>
      <c r="E2" s="111"/>
      <c r="F2" s="111"/>
      <c r="G2" s="111"/>
      <c r="H2" s="508" t="str">
        <f>'A1'!$C$90</f>
        <v>Acquisition of an existing facility</v>
      </c>
      <c r="I2" s="111"/>
      <c r="J2" s="111"/>
      <c r="K2" s="111"/>
      <c r="L2" s="111"/>
      <c r="M2" s="111"/>
      <c r="N2" s="111"/>
      <c r="O2" s="111"/>
      <c r="P2" s="111"/>
      <c r="Q2" s="111"/>
      <c r="R2" s="111"/>
      <c r="S2" s="1409">
        <f>$A$3</f>
        <v>15</v>
      </c>
    </row>
    <row r="3" spans="1:22" ht="15.75" x14ac:dyDescent="0.25">
      <c r="A3" s="123">
        <f>MainOutline!B28</f>
        <v>15</v>
      </c>
      <c r="B3" s="102" t="str">
        <f>MainOutline!C28</f>
        <v>Exhibit P2</v>
      </c>
      <c r="C3" s="102"/>
      <c r="D3" s="89"/>
      <c r="E3" s="89"/>
      <c r="F3" s="89"/>
      <c r="G3" s="89"/>
      <c r="H3" s="89"/>
      <c r="I3" s="89"/>
      <c r="J3" s="89"/>
      <c r="K3" s="89"/>
      <c r="L3" s="89"/>
      <c r="M3" s="89"/>
      <c r="N3" s="89"/>
      <c r="O3" s="89"/>
      <c r="P3" s="89"/>
      <c r="Q3" s="89"/>
      <c r="R3" s="89"/>
      <c r="S3" s="89"/>
    </row>
    <row r="4" spans="1:22" ht="16.5" thickBot="1" x14ac:dyDescent="0.3">
      <c r="B4" s="104" t="s">
        <v>380</v>
      </c>
      <c r="C4" s="104"/>
      <c r="D4" s="97"/>
      <c r="E4" s="97"/>
      <c r="F4" s="97"/>
      <c r="G4" s="97"/>
      <c r="H4" s="97"/>
      <c r="I4" s="97"/>
      <c r="J4" s="97"/>
      <c r="K4" s="97"/>
      <c r="L4" s="97"/>
      <c r="M4" s="97"/>
      <c r="N4" s="97"/>
      <c r="O4" s="97"/>
      <c r="P4" s="97"/>
      <c r="Q4" s="97"/>
      <c r="R4" s="97"/>
      <c r="S4" s="138" t="s">
        <v>1041</v>
      </c>
      <c r="U4" s="1" t="s">
        <v>1056</v>
      </c>
      <c r="V4" s="1">
        <f>NonAcute</f>
        <v>2</v>
      </c>
    </row>
    <row r="5" spans="1:22" ht="15.75" thickTop="1" x14ac:dyDescent="0.25"/>
    <row r="7" spans="1:22" ht="17.25" x14ac:dyDescent="0.4">
      <c r="B7" s="1333"/>
      <c r="C7" s="1334"/>
      <c r="D7" s="1335"/>
      <c r="E7" s="1335"/>
      <c r="F7" s="1335"/>
      <c r="G7" s="1335"/>
      <c r="H7" s="1335"/>
      <c r="I7" s="1335"/>
      <c r="J7" s="1336"/>
      <c r="O7" s="291" t="s">
        <v>116</v>
      </c>
      <c r="P7" s="291" t="s">
        <v>90</v>
      </c>
      <c r="Q7" s="291" t="s">
        <v>91</v>
      </c>
      <c r="R7" s="291" t="s">
        <v>92</v>
      </c>
      <c r="S7" s="291" t="s">
        <v>93</v>
      </c>
    </row>
    <row r="8" spans="1:22" x14ac:dyDescent="0.25">
      <c r="B8" s="1337"/>
      <c r="C8" s="1338"/>
      <c r="D8" s="1337"/>
      <c r="E8" s="1337"/>
      <c r="F8" s="1337"/>
      <c r="G8" s="1337"/>
      <c r="H8" s="1337"/>
      <c r="I8" s="1337"/>
      <c r="J8" s="1336"/>
      <c r="L8" s="107" t="s">
        <v>385</v>
      </c>
      <c r="T8" s="175"/>
      <c r="U8" s="1" t="s">
        <v>1045</v>
      </c>
    </row>
    <row r="9" spans="1:22" x14ac:dyDescent="0.25">
      <c r="B9" s="1337"/>
      <c r="C9" s="1338"/>
      <c r="D9" s="1337"/>
      <c r="E9" s="1339"/>
      <c r="F9" s="1337"/>
      <c r="G9" s="1337"/>
      <c r="H9" s="1337"/>
      <c r="I9" s="1337"/>
      <c r="J9" s="1336"/>
      <c r="M9" s="81" t="str">
        <f>'B1'!C10</f>
        <v>Hemo Dialysis</v>
      </c>
      <c r="N9" s="81"/>
      <c r="T9" s="175"/>
      <c r="U9" s="1328" t="s">
        <v>1044</v>
      </c>
    </row>
    <row r="10" spans="1:22" x14ac:dyDescent="0.25">
      <c r="B10" s="1337"/>
      <c r="C10" s="1338"/>
      <c r="D10" s="1337"/>
      <c r="E10" s="1339"/>
      <c r="F10" s="1337"/>
      <c r="G10" s="1337"/>
      <c r="H10" s="1337"/>
      <c r="I10" s="1337"/>
      <c r="J10" s="1336"/>
      <c r="M10" s="81"/>
      <c r="N10" s="81" t="str">
        <f>'B1'!D11</f>
        <v>In Center</v>
      </c>
      <c r="O10" s="13">
        <f>'M2'!O10</f>
        <v>0</v>
      </c>
      <c r="P10" s="13">
        <f>'M2'!P10</f>
        <v>0</v>
      </c>
      <c r="Q10" s="13">
        <f>'M2'!Q10</f>
        <v>0</v>
      </c>
      <c r="R10" s="13">
        <f>'M2'!R10</f>
        <v>0</v>
      </c>
      <c r="S10" s="13">
        <f>'M2'!S10</f>
        <v>0</v>
      </c>
      <c r="T10" s="175"/>
    </row>
    <row r="11" spans="1:22" ht="17.25" x14ac:dyDescent="0.4">
      <c r="B11" s="1337"/>
      <c r="C11" s="1337"/>
      <c r="D11" s="1337"/>
      <c r="E11" s="1337"/>
      <c r="F11" s="1337"/>
      <c r="G11" s="1337"/>
      <c r="H11" s="1337"/>
      <c r="I11" s="1337"/>
      <c r="J11" s="1336"/>
      <c r="M11" s="81"/>
      <c r="N11" s="81" t="str">
        <f>'B1'!D12</f>
        <v>Nocturnal</v>
      </c>
      <c r="O11" s="558">
        <f>'M2'!O11</f>
        <v>0</v>
      </c>
      <c r="P11" s="558">
        <f>'M2'!P11</f>
        <v>0</v>
      </c>
      <c r="Q11" s="558">
        <f>'M2'!Q11</f>
        <v>0</v>
      </c>
      <c r="R11" s="558">
        <f>'M2'!R11</f>
        <v>0</v>
      </c>
      <c r="S11" s="558">
        <f>'M2'!S11</f>
        <v>0</v>
      </c>
      <c r="T11" s="175"/>
    </row>
    <row r="12" spans="1:22" x14ac:dyDescent="0.25">
      <c r="B12" s="1337"/>
      <c r="C12" s="1337"/>
      <c r="D12" s="1337"/>
      <c r="E12" s="1337"/>
      <c r="F12" s="1337"/>
      <c r="G12" s="1337"/>
      <c r="H12" s="1337"/>
      <c r="I12" s="1337"/>
      <c r="J12" s="1336"/>
      <c r="M12" s="81"/>
      <c r="N12" s="81"/>
      <c r="O12" s="13">
        <f>SUM(O10:O11)</f>
        <v>0</v>
      </c>
      <c r="P12" s="13">
        <f>SUM(P10:P11)</f>
        <v>0</v>
      </c>
      <c r="Q12" s="13">
        <f>SUM(Q10:Q11)</f>
        <v>0</v>
      </c>
      <c r="R12" s="13">
        <f>SUM(R10:R11)</f>
        <v>0</v>
      </c>
      <c r="S12" s="13">
        <f>SUM(S10:S11)</f>
        <v>0</v>
      </c>
      <c r="T12" s="175"/>
    </row>
    <row r="13" spans="1:22" x14ac:dyDescent="0.25">
      <c r="B13" s="1337"/>
      <c r="C13" s="1337"/>
      <c r="D13" s="1337"/>
      <c r="E13" s="1337"/>
      <c r="F13" s="1337"/>
      <c r="G13" s="1337"/>
      <c r="H13" s="1337"/>
      <c r="I13" s="1337"/>
      <c r="J13" s="1336"/>
      <c r="M13" s="81"/>
      <c r="N13" s="81"/>
      <c r="O13" s="13"/>
      <c r="P13" s="13"/>
      <c r="Q13" s="13"/>
      <c r="R13" s="13"/>
      <c r="S13" s="13"/>
      <c r="T13" s="175"/>
    </row>
    <row r="14" spans="1:22" x14ac:dyDescent="0.25">
      <c r="B14" s="1337"/>
      <c r="C14" s="1337"/>
      <c r="D14" s="1337"/>
      <c r="E14" s="1337"/>
      <c r="F14" s="1337"/>
      <c r="G14" s="1337"/>
      <c r="H14" s="1337"/>
      <c r="I14" s="1337"/>
      <c r="J14" s="1336"/>
      <c r="M14" s="81" t="str">
        <f>'B1'!C15</f>
        <v>Home Dialysis</v>
      </c>
      <c r="N14" s="81"/>
      <c r="O14" s="13"/>
      <c r="P14" s="13"/>
      <c r="Q14" s="13"/>
      <c r="R14" s="13"/>
      <c r="S14" s="13"/>
      <c r="T14" s="175"/>
    </row>
    <row r="15" spans="1:22" x14ac:dyDescent="0.25">
      <c r="B15" s="1337"/>
      <c r="C15" s="1337"/>
      <c r="D15" s="1337"/>
      <c r="E15" s="1337"/>
      <c r="F15" s="1337"/>
      <c r="G15" s="1337"/>
      <c r="H15" s="1337"/>
      <c r="I15" s="1337"/>
      <c r="J15" s="1336"/>
      <c r="L15" s="81"/>
      <c r="M15" s="81"/>
      <c r="N15" s="81" t="str">
        <f>'B1'!D16</f>
        <v>Peritoneal</v>
      </c>
      <c r="O15" s="13">
        <f>'M2'!O15</f>
        <v>53.040342230309705</v>
      </c>
      <c r="P15" s="13">
        <f>'M2'!P15</f>
        <v>54.891200000000033</v>
      </c>
      <c r="Q15" s="13">
        <f>'M2'!Q15</f>
        <v>56.53793600000003</v>
      </c>
      <c r="R15" s="13">
        <f>'M2'!R15</f>
        <v>58.234074080000035</v>
      </c>
      <c r="S15" s="13">
        <f>'M2'!S15</f>
        <v>59.981096302400033</v>
      </c>
    </row>
    <row r="16" spans="1:22" ht="17.25" x14ac:dyDescent="0.4">
      <c r="B16" s="1337"/>
      <c r="C16" s="1337"/>
      <c r="D16" s="1337"/>
      <c r="E16" s="1337"/>
      <c r="F16" s="1337"/>
      <c r="G16" s="1337"/>
      <c r="H16" s="1337"/>
      <c r="I16" s="1337"/>
      <c r="J16" s="1336"/>
      <c r="L16" s="81"/>
      <c r="M16" s="81"/>
      <c r="N16" s="81" t="str">
        <f>'B1'!D17</f>
        <v>Home HD</v>
      </c>
      <c r="O16" s="558">
        <f>'M2'!O16</f>
        <v>6.1200394881126572</v>
      </c>
      <c r="P16" s="558">
        <f>'M2'!P16</f>
        <v>6.3336000000000023</v>
      </c>
      <c r="Q16" s="558">
        <f>'M2'!Q16</f>
        <v>6.523608000000003</v>
      </c>
      <c r="R16" s="558">
        <f>'M2'!R16</f>
        <v>6.719316240000003</v>
      </c>
      <c r="S16" s="558">
        <f>'M2'!S16</f>
        <v>6.920895727200004</v>
      </c>
    </row>
    <row r="17" spans="2:29" x14ac:dyDescent="0.25">
      <c r="B17" s="1337"/>
      <c r="C17" s="1337"/>
      <c r="D17" s="1337"/>
      <c r="E17" s="1337"/>
      <c r="F17" s="1337"/>
      <c r="G17" s="1337"/>
      <c r="H17" s="1337"/>
      <c r="I17" s="1337"/>
      <c r="J17" s="1336"/>
      <c r="L17" s="81"/>
      <c r="M17" s="81"/>
      <c r="N17" s="81"/>
      <c r="O17" s="13">
        <f>SUM(O15:O16)</f>
        <v>59.160381718422364</v>
      </c>
      <c r="P17" s="13">
        <f>SUM(P15:P16)</f>
        <v>61.224800000000037</v>
      </c>
      <c r="Q17" s="13">
        <f>SUM(Q15:Q16)</f>
        <v>63.061544000000033</v>
      </c>
      <c r="R17" s="13">
        <f>SUM(R15:R16)</f>
        <v>64.95339032000004</v>
      </c>
      <c r="S17" s="13">
        <f>SUM(S15:S16)</f>
        <v>66.901992029600038</v>
      </c>
    </row>
    <row r="18" spans="2:29" x14ac:dyDescent="0.25">
      <c r="B18" s="1337"/>
      <c r="C18" s="1337"/>
      <c r="D18" s="1337"/>
      <c r="E18" s="1337"/>
      <c r="F18" s="1337"/>
      <c r="G18" s="1337"/>
      <c r="H18" s="1337"/>
      <c r="I18" s="1337"/>
      <c r="J18" s="1336"/>
      <c r="L18" s="81"/>
      <c r="M18" s="81"/>
      <c r="N18" s="81"/>
      <c r="O18" s="13"/>
      <c r="P18" s="13"/>
      <c r="Q18" s="13"/>
      <c r="R18" s="13"/>
      <c r="S18" s="13"/>
    </row>
    <row r="19" spans="2:29" x14ac:dyDescent="0.25">
      <c r="B19" s="1337"/>
      <c r="C19" s="1337"/>
      <c r="D19" s="1337"/>
      <c r="E19" s="1337"/>
      <c r="F19" s="1337"/>
      <c r="G19" s="1337"/>
      <c r="H19" s="1337"/>
      <c r="I19" s="1337"/>
      <c r="J19" s="1336"/>
      <c r="L19" s="1330" t="str">
        <f>'B1'!C20</f>
        <v>Total Patients</v>
      </c>
      <c r="M19" s="1330"/>
      <c r="N19" s="1330"/>
      <c r="O19" s="1326">
        <f>O12+O17</f>
        <v>59.160381718422364</v>
      </c>
      <c r="P19" s="1326">
        <f>P12+P17</f>
        <v>61.224800000000037</v>
      </c>
      <c r="Q19" s="1326">
        <f>Q12+Q17</f>
        <v>63.061544000000033</v>
      </c>
      <c r="R19" s="1326">
        <f>R12+R17</f>
        <v>64.95339032000004</v>
      </c>
      <c r="S19" s="1326">
        <f>S12+S17</f>
        <v>66.901992029600038</v>
      </c>
    </row>
    <row r="20" spans="2:29" ht="15.75" thickBot="1" x14ac:dyDescent="0.3">
      <c r="B20" s="1340"/>
      <c r="C20" s="1340"/>
      <c r="D20" s="1340"/>
      <c r="E20" s="1340"/>
      <c r="F20" s="1340"/>
      <c r="G20" s="1340"/>
      <c r="H20" s="1340"/>
      <c r="I20" s="1340"/>
      <c r="J20" s="1341"/>
      <c r="K20" s="1327"/>
      <c r="L20" s="1327"/>
      <c r="M20" s="1327"/>
      <c r="N20" s="1327"/>
      <c r="O20" s="1327"/>
      <c r="P20" s="1327"/>
      <c r="Q20" s="1327"/>
      <c r="R20" s="1327"/>
      <c r="S20" s="1327"/>
    </row>
    <row r="21" spans="2:29" x14ac:dyDescent="0.25">
      <c r="J21" s="1325"/>
    </row>
    <row r="22" spans="2:29" ht="17.25" x14ac:dyDescent="0.4">
      <c r="E22" s="291" t="str">
        <f>O7</f>
        <v>Year 1</v>
      </c>
      <c r="F22" s="291" t="str">
        <f>P7</f>
        <v>Year 2</v>
      </c>
      <c r="G22" s="291" t="str">
        <f>Q7</f>
        <v>Year 3</v>
      </c>
      <c r="H22" s="291" t="str">
        <f>R7</f>
        <v>Year 4</v>
      </c>
      <c r="I22" s="291" t="str">
        <f>S7</f>
        <v>Year 5</v>
      </c>
      <c r="J22" s="1325"/>
      <c r="L22" s="107" t="str">
        <f>'B1'!B22</f>
        <v>TREATMENTS</v>
      </c>
      <c r="Y22" s="13"/>
      <c r="Z22" s="13"/>
      <c r="AA22" s="13"/>
      <c r="AB22" s="13"/>
      <c r="AC22" s="13"/>
    </row>
    <row r="23" spans="2:29" x14ac:dyDescent="0.25">
      <c r="B23" s="107" t="s">
        <v>1042</v>
      </c>
      <c r="J23" s="1325"/>
      <c r="M23" s="81" t="str">
        <f>'B1'!C23</f>
        <v>Hemo Dialysis</v>
      </c>
      <c r="N23" s="81"/>
      <c r="O23" s="13"/>
      <c r="P23" s="13"/>
      <c r="Q23" s="13"/>
      <c r="R23" s="13"/>
      <c r="S23" s="13"/>
    </row>
    <row r="24" spans="2:29" x14ac:dyDescent="0.25">
      <c r="C24" s="81" t="str">
        <f>'B1'!D48</f>
        <v>Clinical Manager</v>
      </c>
      <c r="E24" s="36">
        <f>'M2'!E24</f>
        <v>1</v>
      </c>
      <c r="F24" s="36">
        <f>'M2'!F24</f>
        <v>1</v>
      </c>
      <c r="G24" s="36">
        <f>'M2'!G24</f>
        <v>1</v>
      </c>
      <c r="H24" s="36">
        <f>'M2'!H24</f>
        <v>1</v>
      </c>
      <c r="I24" s="36">
        <f>'M2'!I24</f>
        <v>1</v>
      </c>
      <c r="J24" s="1325"/>
      <c r="M24" s="81"/>
      <c r="N24" s="81" t="str">
        <f>'B1'!D24</f>
        <v>In Center</v>
      </c>
      <c r="O24" s="13">
        <f>'M2'!O24</f>
        <v>0</v>
      </c>
      <c r="P24" s="13">
        <f>'M2'!P24</f>
        <v>0</v>
      </c>
      <c r="Q24" s="13">
        <f>'M2'!Q24</f>
        <v>0</v>
      </c>
      <c r="R24" s="13">
        <f>'M2'!R24</f>
        <v>0</v>
      </c>
      <c r="S24" s="13">
        <f>'M2'!S24</f>
        <v>0</v>
      </c>
    </row>
    <row r="25" spans="2:29" ht="17.25" x14ac:dyDescent="0.4">
      <c r="C25" s="81" t="str">
        <f>'B1'!D49</f>
        <v>Clinical Coordinator</v>
      </c>
      <c r="E25" s="36">
        <f>'M2'!E25</f>
        <v>0</v>
      </c>
      <c r="F25" s="36">
        <f>'M2'!F25</f>
        <v>0</v>
      </c>
      <c r="G25" s="36">
        <f>'M2'!G25</f>
        <v>0</v>
      </c>
      <c r="H25" s="36">
        <f>'M2'!H25</f>
        <v>0</v>
      </c>
      <c r="I25" s="36">
        <f>'M2'!I25</f>
        <v>0</v>
      </c>
      <c r="J25" s="1325"/>
      <c r="M25" s="81"/>
      <c r="N25" s="81" t="str">
        <f>'B1'!D25</f>
        <v>Nocturnal</v>
      </c>
      <c r="O25" s="558">
        <f>'M2'!O25</f>
        <v>0</v>
      </c>
      <c r="P25" s="558">
        <f>'M2'!P25</f>
        <v>0</v>
      </c>
      <c r="Q25" s="558">
        <f>'M2'!Q25</f>
        <v>0</v>
      </c>
      <c r="R25" s="558">
        <f>'M2'!R25</f>
        <v>0</v>
      </c>
      <c r="S25" s="558">
        <f>'M2'!S25</f>
        <v>0</v>
      </c>
    </row>
    <row r="26" spans="2:29" x14ac:dyDescent="0.25">
      <c r="C26" s="81" t="str">
        <f>'B1'!D50</f>
        <v>CCHT (PCT)</v>
      </c>
      <c r="E26" s="36">
        <f>'M2'!E26</f>
        <v>0</v>
      </c>
      <c r="F26" s="36">
        <f>'M2'!F26</f>
        <v>0</v>
      </c>
      <c r="G26" s="36">
        <f>'M2'!G26</f>
        <v>0</v>
      </c>
      <c r="H26" s="36">
        <f>'M2'!H26</f>
        <v>0</v>
      </c>
      <c r="I26" s="36">
        <f>'M2'!I26</f>
        <v>0</v>
      </c>
      <c r="J26" s="1325"/>
      <c r="M26" s="81"/>
      <c r="N26" s="81"/>
      <c r="O26" s="13">
        <f>SUM(O24:O25)</f>
        <v>0</v>
      </c>
      <c r="P26" s="13">
        <f>SUM(P24:P25)</f>
        <v>0</v>
      </c>
      <c r="Q26" s="13">
        <f>SUM(Q24:Q25)</f>
        <v>0</v>
      </c>
      <c r="R26" s="13">
        <f>SUM(R24:R25)</f>
        <v>0</v>
      </c>
      <c r="S26" s="13">
        <f>SUM(S24:S25)</f>
        <v>0</v>
      </c>
    </row>
    <row r="27" spans="2:29" x14ac:dyDescent="0.25">
      <c r="C27" s="81" t="str">
        <f>'B1'!D51</f>
        <v>RN</v>
      </c>
      <c r="E27" s="36">
        <f>'M2'!E27</f>
        <v>3.3456436771875486</v>
      </c>
      <c r="F27" s="36">
        <f>'M2'!F27</f>
        <v>3.4390777777777797</v>
      </c>
      <c r="G27" s="36">
        <f>'M2'!G27</f>
        <v>3.5034191111111128</v>
      </c>
      <c r="H27" s="36">
        <f>'M2'!H27</f>
        <v>3.6085216844444465</v>
      </c>
      <c r="I27" s="36">
        <f>'M2'!I27</f>
        <v>3.7167773349777797</v>
      </c>
      <c r="J27" s="1325"/>
      <c r="M27" s="81"/>
      <c r="N27" s="81"/>
      <c r="O27" s="13"/>
      <c r="P27" s="13"/>
      <c r="Q27" s="13"/>
      <c r="R27" s="13"/>
      <c r="S27" s="13"/>
    </row>
    <row r="28" spans="2:29" x14ac:dyDescent="0.25">
      <c r="C28" s="81" t="str">
        <f>'B1'!D52</f>
        <v>Territory Tech Manager</v>
      </c>
      <c r="E28" s="36">
        <f>'M2'!E28</f>
        <v>0</v>
      </c>
      <c r="F28" s="36">
        <f>'M2'!F28</f>
        <v>0</v>
      </c>
      <c r="G28" s="36">
        <f>'M2'!G28</f>
        <v>0</v>
      </c>
      <c r="H28" s="36">
        <f>'M2'!H28</f>
        <v>0</v>
      </c>
      <c r="I28" s="36">
        <f>'M2'!I28</f>
        <v>0</v>
      </c>
      <c r="J28" s="1325"/>
      <c r="M28" s="81" t="str">
        <f>'B1'!C28</f>
        <v>Home Dialysis</v>
      </c>
      <c r="N28" s="81"/>
      <c r="O28" s="13"/>
      <c r="P28" s="13"/>
      <c r="Q28" s="13"/>
      <c r="R28" s="13"/>
      <c r="S28" s="13"/>
    </row>
    <row r="29" spans="2:29" x14ac:dyDescent="0.25">
      <c r="C29" s="81" t="str">
        <f>'B1'!D53</f>
        <v>Biomed Technician</v>
      </c>
      <c r="E29" s="36">
        <f>'M2'!E29</f>
        <v>0.2</v>
      </c>
      <c r="F29" s="36">
        <f>'M2'!F29</f>
        <v>0.2</v>
      </c>
      <c r="G29" s="36">
        <f>'M2'!G29</f>
        <v>0.2</v>
      </c>
      <c r="H29" s="36">
        <f>'M2'!H29</f>
        <v>0.2</v>
      </c>
      <c r="I29" s="36">
        <f>'M2'!I29</f>
        <v>0.2</v>
      </c>
      <c r="J29" s="1325"/>
      <c r="M29" s="81"/>
      <c r="N29" s="81" t="str">
        <f>'B1'!D29</f>
        <v>Peritoneal</v>
      </c>
      <c r="O29" s="13">
        <f>'M2'!O29</f>
        <v>7955.977169537513</v>
      </c>
      <c r="P29" s="13">
        <f>'M2'!P29</f>
        <v>8233.603246982062</v>
      </c>
      <c r="Q29" s="13">
        <f>'M2'!Q29</f>
        <v>8480.6113443915219</v>
      </c>
      <c r="R29" s="13">
        <f>'M2'!R29</f>
        <v>8735.0296847232694</v>
      </c>
      <c r="S29" s="13">
        <f>'M2'!S29</f>
        <v>8997.0805752649667</v>
      </c>
    </row>
    <row r="30" spans="2:29" ht="17.25" x14ac:dyDescent="0.4">
      <c r="C30" s="81" t="str">
        <f>'B1'!D54</f>
        <v>Dietician</v>
      </c>
      <c r="E30" s="36">
        <f>'M2'!E30</f>
        <v>0.54746896535796252</v>
      </c>
      <c r="F30" s="36">
        <f>'M2'!F30</f>
        <v>0.56275818181818216</v>
      </c>
      <c r="G30" s="36">
        <f>'M2'!G30</f>
        <v>0.57328676363636399</v>
      </c>
      <c r="H30" s="36">
        <f>'M2'!H30</f>
        <v>0.59048536654545491</v>
      </c>
      <c r="I30" s="36">
        <f>'M2'!I30</f>
        <v>0.60819992754181851</v>
      </c>
      <c r="J30" s="1325"/>
      <c r="M30" s="81"/>
      <c r="N30" s="81" t="str">
        <f>'B1'!D30</f>
        <v>Home HD</v>
      </c>
      <c r="O30" s="558">
        <f>'M2'!O30</f>
        <v>1207.2583158655914</v>
      </c>
      <c r="P30" s="558">
        <f>'M2'!P30</f>
        <v>1249.3859368421058</v>
      </c>
      <c r="Q30" s="558">
        <f>'M2'!Q30</f>
        <v>1286.8675149473688</v>
      </c>
      <c r="R30" s="558">
        <f>'M2'!R30</f>
        <v>1325.47354039579</v>
      </c>
      <c r="S30" s="558">
        <f>'M2'!S30</f>
        <v>1365.2377466076639</v>
      </c>
    </row>
    <row r="31" spans="2:29" x14ac:dyDescent="0.25">
      <c r="C31" s="81" t="str">
        <f>'B1'!D55</f>
        <v>Social Worker</v>
      </c>
      <c r="E31" s="36">
        <f>'M2'!E31</f>
        <v>0.54746896535796252</v>
      </c>
      <c r="F31" s="36">
        <f>'M2'!F31</f>
        <v>0.56275818181818216</v>
      </c>
      <c r="G31" s="36">
        <f>'M2'!G31</f>
        <v>0.57328676363636399</v>
      </c>
      <c r="H31" s="36">
        <f>'M2'!H31</f>
        <v>0.59048536654545491</v>
      </c>
      <c r="I31" s="36">
        <f>'M2'!I31</f>
        <v>0.60819992754181851</v>
      </c>
      <c r="J31" s="1325"/>
      <c r="M31" s="81"/>
      <c r="N31" s="81"/>
      <c r="O31" s="13">
        <f>SUM(O29:O30)</f>
        <v>9163.2354854031037</v>
      </c>
      <c r="P31" s="13">
        <f>SUM(P29:P30)</f>
        <v>9482.9891838241674</v>
      </c>
      <c r="Q31" s="13">
        <f>SUM(Q29:Q30)</f>
        <v>9767.4788593388912</v>
      </c>
      <c r="R31" s="13">
        <f>SUM(R29:R30)</f>
        <v>10060.503225119059</v>
      </c>
      <c r="S31" s="13">
        <f>SUM(S29:S30)</f>
        <v>10362.31832187263</v>
      </c>
    </row>
    <row r="32" spans="2:29" x14ac:dyDescent="0.25">
      <c r="C32" s="81" t="str">
        <f>'B1'!D56</f>
        <v>Administrative Support</v>
      </c>
      <c r="E32" s="36">
        <f>'M2'!E32</f>
        <v>2.0073862063125292</v>
      </c>
      <c r="F32" s="36">
        <f>'M2'!F32</f>
        <v>2.063446666666668</v>
      </c>
      <c r="G32" s="36">
        <f>'M2'!G32</f>
        <v>2.1020514666666679</v>
      </c>
      <c r="H32" s="36">
        <f>'M2'!H32</f>
        <v>2.1651130106666678</v>
      </c>
      <c r="I32" s="36">
        <f>'M2'!I32</f>
        <v>2.2300664009866678</v>
      </c>
      <c r="J32" s="1325"/>
      <c r="M32" s="81"/>
      <c r="N32" s="81"/>
      <c r="O32" s="13"/>
      <c r="P32" s="13"/>
      <c r="Q32" s="13"/>
      <c r="R32" s="13"/>
      <c r="S32" s="13"/>
    </row>
    <row r="33" spans="2:19" x14ac:dyDescent="0.25">
      <c r="B33" s="1330" t="s">
        <v>1043</v>
      </c>
      <c r="C33" s="1330"/>
      <c r="D33" s="655"/>
      <c r="E33" s="1343">
        <f>SUM(E24:E32)</f>
        <v>7.6479678142160035</v>
      </c>
      <c r="F33" s="1343">
        <f>SUM(F24:F32)</f>
        <v>7.8280408080808126</v>
      </c>
      <c r="G33" s="1343">
        <f>SUM(G24:G32)</f>
        <v>7.9520441050505095</v>
      </c>
      <c r="H33" s="1343">
        <f>SUM(H24:H32)</f>
        <v>8.1546054282020233</v>
      </c>
      <c r="I33" s="1343">
        <f>SUM(I24:I32)</f>
        <v>8.363243591048084</v>
      </c>
      <c r="J33" s="1325"/>
      <c r="M33" s="390" t="s">
        <v>1049</v>
      </c>
      <c r="N33" s="390"/>
      <c r="O33" s="686">
        <f>O26+O31</f>
        <v>9163.2354854031037</v>
      </c>
      <c r="P33" s="686">
        <f>P26+P31</f>
        <v>9482.9891838241674</v>
      </c>
      <c r="Q33" s="686">
        <f>Q26+Q31</f>
        <v>9767.4788593388912</v>
      </c>
      <c r="R33" s="686">
        <f>R26+R31</f>
        <v>10060.503225119059</v>
      </c>
      <c r="S33" s="686">
        <f>S26+S31</f>
        <v>10362.31832187263</v>
      </c>
    </row>
    <row r="34" spans="2:19" x14ac:dyDescent="0.25">
      <c r="J34" s="1325"/>
    </row>
    <row r="35" spans="2:19" x14ac:dyDescent="0.25">
      <c r="J35" s="1325"/>
      <c r="L35" s="81"/>
      <c r="M35" s="81" t="str">
        <f>'B1'!C33</f>
        <v>Acute Care</v>
      </c>
      <c r="N35" s="81"/>
      <c r="O35" s="13"/>
      <c r="P35" s="13"/>
      <c r="Q35" s="13"/>
      <c r="R35" s="13"/>
      <c r="S35" s="13"/>
    </row>
    <row r="36" spans="2:19" x14ac:dyDescent="0.25">
      <c r="B36" s="106" t="s">
        <v>1050</v>
      </c>
      <c r="J36" s="1325"/>
      <c r="L36" s="81"/>
      <c r="M36" s="81"/>
      <c r="N36" s="81" t="str">
        <f>'B1'!D34</f>
        <v>Hemo Dialysis - 1x1</v>
      </c>
      <c r="O36" s="13">
        <f>'M2'!O36</f>
        <v>0</v>
      </c>
      <c r="P36" s="13">
        <f>'M2'!P36</f>
        <v>0</v>
      </c>
      <c r="Q36" s="13">
        <f>'M2'!Q36</f>
        <v>0</v>
      </c>
      <c r="R36" s="13">
        <f>'M2'!R36</f>
        <v>0</v>
      </c>
      <c r="S36" s="13">
        <f>'M2'!S36</f>
        <v>0</v>
      </c>
    </row>
    <row r="37" spans="2:19" x14ac:dyDescent="0.25">
      <c r="C37" s="390" t="str">
        <f>'B2'!C9</f>
        <v>Commercial</v>
      </c>
      <c r="D37" s="390"/>
      <c r="E37" s="1342">
        <f>SUM(E38:E40)</f>
        <v>0.18281036571169612</v>
      </c>
      <c r="F37" s="1342">
        <f>SUM(F38:F40)</f>
        <v>0.18281036571169609</v>
      </c>
      <c r="G37" s="1342">
        <f>SUM(G38:G40)</f>
        <v>0.18281036571169609</v>
      </c>
      <c r="H37" s="1342">
        <f>SUM(H38:H40)</f>
        <v>0.18281036571169609</v>
      </c>
      <c r="I37" s="1342">
        <f>SUM(I38:I40)</f>
        <v>0.18281036571169609</v>
      </c>
      <c r="J37" s="1325"/>
      <c r="L37" s="81"/>
      <c r="M37" s="81"/>
      <c r="N37" s="81" t="str">
        <f>'B1'!D35</f>
        <v>Hemo Dialysis - 2x1</v>
      </c>
      <c r="O37" s="13">
        <f>'M2'!O37</f>
        <v>0</v>
      </c>
      <c r="P37" s="13">
        <f>'M2'!P37</f>
        <v>0</v>
      </c>
      <c r="Q37" s="13">
        <f>'M2'!Q37</f>
        <v>0</v>
      </c>
      <c r="R37" s="13">
        <f>'M2'!R37</f>
        <v>0</v>
      </c>
      <c r="S37" s="13">
        <f>'M2'!S37</f>
        <v>0</v>
      </c>
    </row>
    <row r="38" spans="2:19" x14ac:dyDescent="0.25">
      <c r="D38" s="1" t="str">
        <f>'B2'!C10</f>
        <v>Non-contracted</v>
      </c>
      <c r="E38" s="76">
        <f>'M2'!E38</f>
        <v>1.7725329644502168E-2</v>
      </c>
      <c r="F38" s="76">
        <f>'M2'!F38</f>
        <v>1.7725329644502168E-2</v>
      </c>
      <c r="G38" s="76">
        <f>'M2'!G38</f>
        <v>1.7725329644502165E-2</v>
      </c>
      <c r="H38" s="76">
        <f>'M2'!H38</f>
        <v>1.7725329644502168E-2</v>
      </c>
      <c r="I38" s="76">
        <f>'M2'!I38</f>
        <v>1.7725329644502168E-2</v>
      </c>
      <c r="J38" s="1325"/>
      <c r="L38" s="81"/>
      <c r="M38" s="81"/>
      <c r="N38" s="81" t="str">
        <f>'B1'!D36</f>
        <v>Peritoneal</v>
      </c>
      <c r="O38" s="13">
        <f>'M2'!O38</f>
        <v>0</v>
      </c>
      <c r="P38" s="13">
        <f>'M2'!P38</f>
        <v>0</v>
      </c>
      <c r="Q38" s="13">
        <f>'M2'!Q38</f>
        <v>0</v>
      </c>
      <c r="R38" s="13">
        <f>'M2'!R38</f>
        <v>0</v>
      </c>
      <c r="S38" s="13">
        <f>'M2'!S38</f>
        <v>0</v>
      </c>
    </row>
    <row r="39" spans="2:19" x14ac:dyDescent="0.25">
      <c r="D39" s="1" t="str">
        <f>'B2'!C11</f>
        <v>Contracted</v>
      </c>
      <c r="E39" s="76">
        <f>'M2'!E39</f>
        <v>0.14894133156078948</v>
      </c>
      <c r="F39" s="76">
        <f>'M2'!F39</f>
        <v>0.14894133156078945</v>
      </c>
      <c r="G39" s="76">
        <f>'M2'!G39</f>
        <v>0.14894133156078945</v>
      </c>
      <c r="H39" s="76">
        <f>'M2'!H39</f>
        <v>0.14894133156078945</v>
      </c>
      <c r="I39" s="76">
        <f>'M2'!I39</f>
        <v>0.14894133156078945</v>
      </c>
      <c r="J39" s="1325"/>
      <c r="L39" s="81"/>
      <c r="M39" s="81"/>
      <c r="N39" s="81" t="str">
        <f>'B1'!D37</f>
        <v>CRRT</v>
      </c>
      <c r="O39" s="13">
        <f>'M2'!O39</f>
        <v>0</v>
      </c>
      <c r="P39" s="13">
        <f>'M2'!P39</f>
        <v>0</v>
      </c>
      <c r="Q39" s="13">
        <f>'M2'!Q39</f>
        <v>0</v>
      </c>
      <c r="R39" s="13">
        <f>'M2'!R39</f>
        <v>0</v>
      </c>
      <c r="S39" s="13">
        <f>'M2'!S39</f>
        <v>0</v>
      </c>
    </row>
    <row r="40" spans="2:19" ht="17.25" x14ac:dyDescent="0.4">
      <c r="D40" s="1" t="str">
        <f>'B2'!C12</f>
        <v>KP</v>
      </c>
      <c r="E40" s="76">
        <f>'M2'!E40</f>
        <v>1.6143704506404476E-2</v>
      </c>
      <c r="F40" s="76">
        <f>'M2'!F40</f>
        <v>1.6143704506404476E-2</v>
      </c>
      <c r="G40" s="76">
        <f>'M2'!G40</f>
        <v>1.6143704506404472E-2</v>
      </c>
      <c r="H40" s="76">
        <f>'M2'!H40</f>
        <v>1.6143704506404476E-2</v>
      </c>
      <c r="I40" s="76">
        <f>'M2'!I40</f>
        <v>1.6143704506404476E-2</v>
      </c>
      <c r="J40" s="1325"/>
      <c r="L40" s="81"/>
      <c r="M40" s="81"/>
      <c r="N40" s="81" t="str">
        <f>'B1'!D38</f>
        <v>Apheresis</v>
      </c>
      <c r="O40" s="558">
        <f>'M2'!O40</f>
        <v>0</v>
      </c>
      <c r="P40" s="558">
        <f>'M2'!P40</f>
        <v>0</v>
      </c>
      <c r="Q40" s="558">
        <f>'M2'!Q40</f>
        <v>0</v>
      </c>
      <c r="R40" s="558">
        <f>'M2'!R40</f>
        <v>0</v>
      </c>
      <c r="S40" s="558">
        <f>'M2'!S40</f>
        <v>0</v>
      </c>
    </row>
    <row r="41" spans="2:19" x14ac:dyDescent="0.25">
      <c r="C41" s="1" t="str">
        <f>'B2'!C13</f>
        <v>Medicare</v>
      </c>
      <c r="E41" s="76">
        <f>'M2'!E41</f>
        <v>0.57761980932482815</v>
      </c>
      <c r="F41" s="76">
        <f>'M2'!F41</f>
        <v>0.57761980932482815</v>
      </c>
      <c r="G41" s="76">
        <f>'M2'!G41</f>
        <v>0.57761980932482804</v>
      </c>
      <c r="H41" s="76">
        <f>'M2'!H41</f>
        <v>0.57761980932482815</v>
      </c>
      <c r="I41" s="76">
        <f>'M2'!I41</f>
        <v>0.57761980932482815</v>
      </c>
      <c r="J41" s="1325"/>
      <c r="L41" s="81"/>
      <c r="M41" s="81"/>
      <c r="N41" s="81"/>
      <c r="O41" s="13">
        <f>SUM(O36:O40)</f>
        <v>0</v>
      </c>
      <c r="P41" s="13">
        <f>SUM(P36:P40)</f>
        <v>0</v>
      </c>
      <c r="Q41" s="13">
        <f>SUM(Q36:Q40)</f>
        <v>0</v>
      </c>
      <c r="R41" s="13">
        <f>SUM(R36:R40)</f>
        <v>0</v>
      </c>
      <c r="S41" s="13">
        <f>SUM(S36:S40)</f>
        <v>0</v>
      </c>
    </row>
    <row r="42" spans="2:19" x14ac:dyDescent="0.25">
      <c r="C42" s="1" t="str">
        <f>'B2'!C14</f>
        <v>Medicaid</v>
      </c>
      <c r="E42" s="76">
        <f>'M2'!E42</f>
        <v>0.18911333866035857</v>
      </c>
      <c r="F42" s="76">
        <f>'M2'!F42</f>
        <v>0.18911333866035854</v>
      </c>
      <c r="G42" s="76">
        <f>'M2'!G42</f>
        <v>0.18911333866035851</v>
      </c>
      <c r="H42" s="76">
        <f>'M2'!H42</f>
        <v>0.18911333866035854</v>
      </c>
      <c r="I42" s="76">
        <f>'M2'!I42</f>
        <v>0.18911333866035854</v>
      </c>
      <c r="J42" s="1325"/>
      <c r="M42" s="81"/>
      <c r="N42" s="81"/>
      <c r="O42" s="13"/>
      <c r="P42" s="13"/>
      <c r="Q42" s="13"/>
      <c r="R42" s="13"/>
      <c r="S42" s="13"/>
    </row>
    <row r="43" spans="2:19" x14ac:dyDescent="0.25">
      <c r="C43" s="1" t="str">
        <f>'B2'!C15</f>
        <v>Other</v>
      </c>
      <c r="E43" s="76">
        <f>'M2'!E43</f>
        <v>5.0456486303117137E-2</v>
      </c>
      <c r="F43" s="76">
        <f>'M2'!F43</f>
        <v>5.045648630311713E-2</v>
      </c>
      <c r="G43" s="76">
        <f>'M2'!G43</f>
        <v>5.0456486303117123E-2</v>
      </c>
      <c r="H43" s="76">
        <f>'M2'!H43</f>
        <v>5.045648630311713E-2</v>
      </c>
      <c r="I43" s="76">
        <f>'M2'!I43</f>
        <v>5.045648630311713E-2</v>
      </c>
      <c r="J43" s="1325"/>
      <c r="L43" s="1330" t="str">
        <f>'B1'!C41</f>
        <v>Total Treatments</v>
      </c>
      <c r="M43" s="1330"/>
      <c r="N43" s="1330"/>
      <c r="O43" s="1326">
        <f>O33+O41</f>
        <v>9163.2354854031037</v>
      </c>
      <c r="P43" s="1326">
        <f>P33+P41</f>
        <v>9482.9891838241674</v>
      </c>
      <c r="Q43" s="1326">
        <f>Q33+Q41</f>
        <v>9767.4788593388912</v>
      </c>
      <c r="R43" s="1326">
        <f>R33+R41</f>
        <v>10060.503225119059</v>
      </c>
      <c r="S43" s="1326">
        <f>S33+S41</f>
        <v>10362.31832187263</v>
      </c>
    </row>
    <row r="44" spans="2:19" x14ac:dyDescent="0.25">
      <c r="C44" s="1" t="str">
        <f>'B2'!C16</f>
        <v>AKI</v>
      </c>
      <c r="D44" s="81"/>
      <c r="E44" s="1332">
        <f>'M2'!E44</f>
        <v>0</v>
      </c>
      <c r="F44" s="1332">
        <f>'M2'!F44</f>
        <v>0</v>
      </c>
      <c r="G44" s="1332">
        <f>'M2'!G44</f>
        <v>0</v>
      </c>
      <c r="H44" s="1332">
        <f>'M2'!H44</f>
        <v>0</v>
      </c>
      <c r="I44" s="1332">
        <f>'M2'!I44</f>
        <v>0</v>
      </c>
      <c r="J44" s="1325"/>
    </row>
    <row r="45" spans="2:19" x14ac:dyDescent="0.25">
      <c r="C45" s="1" t="str">
        <f>'B2'!C17</f>
        <v>Total</v>
      </c>
      <c r="D45" s="81"/>
      <c r="E45" s="76">
        <f>SUM(E38:E44)</f>
        <v>1</v>
      </c>
      <c r="F45" s="76">
        <f>SUM(F38:F44)</f>
        <v>0.99999999999999989</v>
      </c>
      <c r="G45" s="76">
        <f>SUM(G38:G44)</f>
        <v>0.99999999999999978</v>
      </c>
      <c r="H45" s="76">
        <f>SUM(H38:H44)</f>
        <v>0.99999999999999989</v>
      </c>
      <c r="I45" s="76">
        <f>SUM(I38:I44)</f>
        <v>0.99999999999999989</v>
      </c>
      <c r="J45" s="1325"/>
      <c r="L45" s="81"/>
      <c r="M45" s="81"/>
      <c r="N45" s="81"/>
    </row>
    <row r="46" spans="2:19" x14ac:dyDescent="0.25">
      <c r="J46" s="1325"/>
      <c r="L46" s="81"/>
      <c r="M46" s="81"/>
      <c r="N46" s="81"/>
    </row>
  </sheetData>
  <conditionalFormatting sqref="C37:I45">
    <cfRule type="expression" dxfId="16" priority="1">
      <formula>$V$4=0</formula>
    </cfRule>
  </conditionalFormatting>
  <hyperlinks>
    <hyperlink ref="U9" r:id="rId1"/>
  </hyperlinks>
  <printOptions horizontalCentered="1"/>
  <pageMargins left="0.7" right="0.7" top="0.75" bottom="0.75" header="0.3" footer="0.3"/>
  <pageSetup scale="72" orientation="landscape" r:id="rId2"/>
  <drawing r:id="rId3"/>
  <legacyDrawing r:id="rId4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>
    <tabColor theme="4" tint="0.39997558519241921"/>
    <pageSetUpPr fitToPage="1"/>
  </sheetPr>
  <dimension ref="A1:S50"/>
  <sheetViews>
    <sheetView showGridLines="0" topLeftCell="A10" workbookViewId="0"/>
  </sheetViews>
  <sheetFormatPr defaultColWidth="9.42578125" defaultRowHeight="15" x14ac:dyDescent="0.25"/>
  <cols>
    <col min="1" max="1" width="1.5703125" style="1" customWidth="1"/>
    <col min="2" max="3" width="3.5703125" style="1" customWidth="1"/>
    <col min="4" max="11" width="10.5703125" style="1" customWidth="1"/>
    <col min="12" max="12" width="2.5703125" style="1" customWidth="1"/>
    <col min="13" max="17" width="10.5703125" style="1" customWidth="1"/>
    <col min="18" max="16384" width="9.42578125" style="1"/>
  </cols>
  <sheetData>
    <row r="1" spans="1:19" ht="7.35" customHeight="1" thickBot="1" x14ac:dyDescent="0.3">
      <c r="C1" s="108"/>
      <c r="D1" s="108"/>
      <c r="E1" s="108"/>
      <c r="F1" s="108"/>
      <c r="G1" s="108"/>
      <c r="H1" s="108"/>
      <c r="I1" s="108"/>
      <c r="J1" s="108"/>
      <c r="K1" s="108"/>
      <c r="L1" s="108"/>
      <c r="M1" s="108"/>
      <c r="N1" s="108"/>
      <c r="O1" s="108"/>
      <c r="P1" s="108"/>
      <c r="Q1" s="108"/>
    </row>
    <row r="2" spans="1:19" ht="16.5" thickTop="1" x14ac:dyDescent="0.25">
      <c r="B2" s="110" t="str">
        <f>MainOutline!B2</f>
        <v>WB Santa Cruz</v>
      </c>
      <c r="C2" s="111"/>
      <c r="D2" s="111"/>
      <c r="E2" s="111"/>
      <c r="F2" s="111"/>
      <c r="G2" s="111"/>
      <c r="H2" s="508" t="str">
        <f>'A1'!$C$90</f>
        <v>Acquisition of an existing facility</v>
      </c>
      <c r="I2" s="111"/>
      <c r="J2" s="111"/>
      <c r="K2" s="111"/>
      <c r="L2" s="111"/>
      <c r="M2" s="111"/>
      <c r="N2" s="111"/>
      <c r="O2" s="111"/>
      <c r="P2" s="111"/>
      <c r="Q2" s="1409">
        <f>$A$3</f>
        <v>16</v>
      </c>
    </row>
    <row r="3" spans="1:19" ht="15.75" x14ac:dyDescent="0.25">
      <c r="A3" s="123">
        <f>MainOutline!B29</f>
        <v>16</v>
      </c>
      <c r="B3" s="102" t="str">
        <f>MainOutline!C29</f>
        <v>Exhibit P3</v>
      </c>
      <c r="C3" s="89"/>
      <c r="D3" s="89"/>
      <c r="E3" s="89"/>
      <c r="F3" s="89"/>
      <c r="G3" s="89"/>
      <c r="H3" s="89"/>
      <c r="I3" s="89"/>
      <c r="J3" s="89"/>
      <c r="K3" s="89"/>
      <c r="L3" s="89"/>
      <c r="M3" s="89"/>
      <c r="N3" s="89"/>
      <c r="O3" s="89"/>
      <c r="P3" s="89"/>
      <c r="Q3" s="89"/>
    </row>
    <row r="4" spans="1:19" ht="16.5" thickBot="1" x14ac:dyDescent="0.3">
      <c r="B4" s="104" t="s">
        <v>542</v>
      </c>
      <c r="C4" s="97"/>
      <c r="D4" s="97"/>
      <c r="E4" s="97"/>
      <c r="F4" s="97"/>
      <c r="G4" s="97"/>
      <c r="H4" s="97"/>
      <c r="I4" s="97"/>
      <c r="J4" s="97"/>
      <c r="K4" s="97"/>
      <c r="L4" s="97"/>
      <c r="M4" s="97"/>
      <c r="N4" s="97"/>
      <c r="O4" s="97"/>
      <c r="P4" s="97"/>
      <c r="Q4" s="138" t="s">
        <v>548</v>
      </c>
    </row>
    <row r="5" spans="1:19" ht="15.75" thickTop="1" x14ac:dyDescent="0.25"/>
    <row r="7" spans="1:19" ht="17.25" x14ac:dyDescent="0.4">
      <c r="B7" s="632" t="s">
        <v>543</v>
      </c>
      <c r="E7" s="341"/>
      <c r="F7" s="341"/>
      <c r="G7" s="341"/>
      <c r="H7" s="341"/>
      <c r="I7" s="341"/>
      <c r="J7" s="341"/>
      <c r="M7" s="291"/>
      <c r="N7" s="75"/>
      <c r="O7" s="291"/>
    </row>
    <row r="8" spans="1:19" x14ac:dyDescent="0.25">
      <c r="L8" s="81"/>
      <c r="M8" s="371"/>
      <c r="N8" s="371"/>
      <c r="O8" s="371"/>
    </row>
    <row r="9" spans="1:19" ht="17.25" x14ac:dyDescent="0.4">
      <c r="C9" s="633" t="s">
        <v>483</v>
      </c>
      <c r="D9" s="633"/>
      <c r="E9" s="633"/>
      <c r="F9" s="633"/>
      <c r="G9" s="633"/>
      <c r="H9" s="633" t="s">
        <v>480</v>
      </c>
      <c r="I9" s="633"/>
      <c r="J9" s="633"/>
      <c r="K9" s="633"/>
      <c r="L9" s="81"/>
      <c r="M9" s="634"/>
      <c r="N9" s="634"/>
      <c r="O9" s="635"/>
    </row>
    <row r="10" spans="1:19" x14ac:dyDescent="0.25">
      <c r="C10" s="175" t="s">
        <v>481</v>
      </c>
      <c r="F10" s="371">
        <f>'A1'!S58</f>
        <v>265</v>
      </c>
      <c r="G10" s="79">
        <f>F10/F$13</f>
        <v>0.41417894500889868</v>
      </c>
      <c r="H10" s="619" t="str">
        <f>'A1'!U59</f>
        <v>Debt</v>
      </c>
      <c r="J10" s="371">
        <f>'A1'!V59</f>
        <v>0</v>
      </c>
      <c r="K10" s="79">
        <f>J10/$J$13</f>
        <v>0</v>
      </c>
      <c r="L10" s="81"/>
      <c r="M10" s="173"/>
      <c r="N10" s="173"/>
      <c r="O10" s="173"/>
      <c r="R10" s="81"/>
    </row>
    <row r="11" spans="1:19" x14ac:dyDescent="0.25">
      <c r="C11" s="175" t="s">
        <v>473</v>
      </c>
      <c r="F11" s="371">
        <f>'A1'!S59</f>
        <v>374.82006616561949</v>
      </c>
      <c r="G11" s="79">
        <f>F11/F$13</f>
        <v>0.58582105499110138</v>
      </c>
      <c r="H11" s="619" t="str">
        <f>'A1'!U60</f>
        <v>SH Cash</v>
      </c>
      <c r="J11" s="371">
        <f>'A1'!V60</f>
        <v>639.82006616561944</v>
      </c>
      <c r="K11" s="79">
        <f>J11/$J$13</f>
        <v>1</v>
      </c>
      <c r="R11" s="175"/>
      <c r="S11" s="81"/>
    </row>
    <row r="12" spans="1:19" x14ac:dyDescent="0.25">
      <c r="C12" s="175" t="s">
        <v>474</v>
      </c>
      <c r="F12" s="636">
        <f>'A1'!S60</f>
        <v>0</v>
      </c>
      <c r="G12" s="637">
        <f>F12/F$13</f>
        <v>0</v>
      </c>
      <c r="H12" s="619" t="str">
        <f>'A1'!U61</f>
        <v>Partner Cash</v>
      </c>
      <c r="J12" s="636">
        <f>'A1'!V61</f>
        <v>0</v>
      </c>
      <c r="K12" s="637">
        <f>J12/$J$13</f>
        <v>0</v>
      </c>
      <c r="R12" s="175"/>
      <c r="S12" s="81"/>
    </row>
    <row r="13" spans="1:19" x14ac:dyDescent="0.25">
      <c r="F13" s="371">
        <f>SUM(F10:F12)</f>
        <v>639.82006616561944</v>
      </c>
      <c r="G13" s="79">
        <f>F13/F$13</f>
        <v>1</v>
      </c>
      <c r="I13" s="639"/>
      <c r="J13" s="371">
        <f>SUM(J10:J12)</f>
        <v>639.82006616561944</v>
      </c>
      <c r="K13" s="79">
        <f>J13/$J$13</f>
        <v>1</v>
      </c>
      <c r="R13" s="175"/>
      <c r="S13" s="81"/>
    </row>
    <row r="14" spans="1:19" x14ac:dyDescent="0.25">
      <c r="B14" s="81"/>
      <c r="C14" s="81"/>
      <c r="R14" s="175"/>
      <c r="S14" s="81"/>
    </row>
    <row r="15" spans="1:19" x14ac:dyDescent="0.25">
      <c r="C15" s="81"/>
      <c r="I15" s="640"/>
      <c r="J15" s="640" t="s">
        <v>541</v>
      </c>
      <c r="K15" s="641">
        <f>J12/(J11+J12)</f>
        <v>0</v>
      </c>
      <c r="R15" s="175"/>
      <c r="S15" s="81"/>
    </row>
    <row r="16" spans="1:19" ht="15.75" thickBot="1" x14ac:dyDescent="0.3">
      <c r="B16" s="257"/>
      <c r="C16" s="257"/>
      <c r="D16" s="257"/>
      <c r="E16" s="257"/>
      <c r="F16" s="257"/>
      <c r="G16" s="257"/>
      <c r="H16" s="257"/>
      <c r="I16" s="257"/>
      <c r="J16" s="257"/>
      <c r="K16" s="257"/>
      <c r="L16" s="257"/>
      <c r="M16" s="257"/>
      <c r="N16" s="257"/>
      <c r="O16" s="257"/>
      <c r="P16" s="257"/>
      <c r="Q16" s="257"/>
      <c r="R16" s="175"/>
      <c r="S16" s="81"/>
    </row>
    <row r="17" spans="2:19" x14ac:dyDescent="0.25">
      <c r="B17" s="106" t="s">
        <v>544</v>
      </c>
      <c r="R17" s="175"/>
      <c r="S17" s="81"/>
    </row>
    <row r="18" spans="2:19" ht="17.25" x14ac:dyDescent="0.4">
      <c r="G18" s="292"/>
      <c r="H18" s="292"/>
      <c r="I18" s="292"/>
      <c r="J18" s="292"/>
      <c r="K18" s="292"/>
      <c r="M18" s="292" t="s">
        <v>374</v>
      </c>
      <c r="N18" s="292"/>
      <c r="O18" s="292"/>
      <c r="P18" s="292"/>
      <c r="Q18" s="292"/>
    </row>
    <row r="19" spans="2:19" ht="17.25" x14ac:dyDescent="0.4">
      <c r="B19" s="81" t="s">
        <v>539</v>
      </c>
      <c r="G19" s="642">
        <v>1</v>
      </c>
      <c r="H19" s="642">
        <v>2</v>
      </c>
      <c r="I19" s="642">
        <v>3</v>
      </c>
      <c r="J19" s="642">
        <v>4</v>
      </c>
      <c r="K19" s="642">
        <v>5</v>
      </c>
      <c r="M19" s="642">
        <f>G19</f>
        <v>1</v>
      </c>
      <c r="N19" s="642">
        <f>H19</f>
        <v>2</v>
      </c>
      <c r="O19" s="642">
        <f>I19</f>
        <v>3</v>
      </c>
      <c r="P19" s="642">
        <f>J19</f>
        <v>4</v>
      </c>
      <c r="Q19" s="642">
        <f>K19</f>
        <v>5</v>
      </c>
    </row>
    <row r="20" spans="2:19" x14ac:dyDescent="0.25">
      <c r="B20" s="81"/>
      <c r="C20" s="81" t="s">
        <v>32</v>
      </c>
      <c r="D20" s="81"/>
      <c r="E20" s="81"/>
      <c r="G20" s="13">
        <f>ApndxA1!J19</f>
        <v>3533.807806374456</v>
      </c>
      <c r="H20" s="13">
        <f>ApndxA1!K19</f>
        <v>3693.6922412977856</v>
      </c>
      <c r="I20" s="13">
        <f>ApndxA1!L19</f>
        <v>3842.5480386220866</v>
      </c>
      <c r="J20" s="13">
        <f>ApndxA1!M19</f>
        <v>3997.4027245785569</v>
      </c>
      <c r="K20" s="13">
        <f>ApndxA1!N19</f>
        <v>4158.4980543790716</v>
      </c>
      <c r="M20" s="13">
        <f>ApndxA1!P19</f>
        <v>385.65065931174183</v>
      </c>
      <c r="N20" s="13">
        <f>ApndxA1!Q19</f>
        <v>389.50716590485922</v>
      </c>
      <c r="O20" s="13">
        <f>ApndxA1!R19</f>
        <v>393.40223756390793</v>
      </c>
      <c r="P20" s="13">
        <f>ApndxA1!S19</f>
        <v>397.33625993954695</v>
      </c>
      <c r="Q20" s="13">
        <f>ApndxA1!T19</f>
        <v>401.30962253894239</v>
      </c>
    </row>
    <row r="21" spans="2:19" x14ac:dyDescent="0.25">
      <c r="B21" s="81"/>
      <c r="C21" s="81" t="s">
        <v>37</v>
      </c>
      <c r="D21" s="81"/>
      <c r="E21" s="81"/>
      <c r="G21" s="13">
        <f>ApndxA1!J28</f>
        <v>1074.5152160960047</v>
      </c>
      <c r="H21" s="13">
        <f>ApndxA1!K28</f>
        <v>1064.5347929423483</v>
      </c>
      <c r="I21" s="13">
        <f>ApndxA1!L28</f>
        <v>1043.6002322794138</v>
      </c>
      <c r="J21" s="13">
        <f>ApndxA1!M28</f>
        <v>1017.3539460030925</v>
      </c>
      <c r="K21" s="13">
        <f>ApndxA1!N28</f>
        <v>985.27133540935893</v>
      </c>
      <c r="M21" s="13">
        <f>ApndxA1!P28</f>
        <v>117.26373482463605</v>
      </c>
      <c r="N21" s="13">
        <f>ApndxA1!Q28</f>
        <v>112.25730329400814</v>
      </c>
      <c r="O21" s="13">
        <f>ApndxA1!R28</f>
        <v>106.84438096137835</v>
      </c>
      <c r="P21" s="13">
        <f>ApndxA1!S28</f>
        <v>101.12356442200264</v>
      </c>
      <c r="Q21" s="13">
        <f>ApndxA1!T28</f>
        <v>95.082133631203234</v>
      </c>
    </row>
    <row r="22" spans="2:19" x14ac:dyDescent="0.25">
      <c r="B22" s="81"/>
      <c r="C22" s="81" t="s">
        <v>38</v>
      </c>
      <c r="D22" s="81"/>
      <c r="E22" s="81"/>
      <c r="G22" s="13">
        <f>ApndxA1!J46</f>
        <v>413.79553739481457</v>
      </c>
      <c r="H22" s="13">
        <f>ApndxA1!K46</f>
        <v>379.76483425774609</v>
      </c>
      <c r="I22" s="13">
        <f>ApndxA1!L46</f>
        <v>335.22289220613311</v>
      </c>
      <c r="J22" s="13">
        <f>ApndxA1!M46</f>
        <v>284.52036624813582</v>
      </c>
      <c r="K22" s="13">
        <f>ApndxA1!N46</f>
        <v>227.10109560929448</v>
      </c>
      <c r="M22" s="13">
        <f>ApndxA1!P46</f>
        <v>45.158234561796938</v>
      </c>
      <c r="N22" s="13">
        <f>ApndxA1!Q46</f>
        <v>40.046954277406421</v>
      </c>
      <c r="O22" s="13">
        <f>ApndxA1!R46</f>
        <v>34.320308959319576</v>
      </c>
      <c r="P22" s="13">
        <f>ApndxA1!S46</f>
        <v>28.280927890142266</v>
      </c>
      <c r="Q22" s="13">
        <f>ApndxA1!T46</f>
        <v>21.916050883124562</v>
      </c>
    </row>
    <row r="23" spans="2:19" x14ac:dyDescent="0.25">
      <c r="B23" s="81"/>
      <c r="C23" s="81" t="s">
        <v>39</v>
      </c>
      <c r="D23" s="81"/>
      <c r="E23" s="81"/>
      <c r="G23" s="13">
        <f>ApndxA1!J38</f>
        <v>401.07908596624316</v>
      </c>
      <c r="H23" s="13">
        <f>ApndxA1!K38</f>
        <v>256.04838282917467</v>
      </c>
      <c r="I23" s="13">
        <f>ApndxA1!L38</f>
        <v>221.7346007775617</v>
      </c>
      <c r="J23" s="13">
        <f>ApndxA1!M38</f>
        <v>171.0320748195644</v>
      </c>
      <c r="K23" s="13">
        <f>ApndxA1!N38</f>
        <v>113.61280418072306</v>
      </c>
      <c r="M23" s="13">
        <f>ApndxA1!P38</f>
        <v>43.770465858392058</v>
      </c>
      <c r="N23" s="13">
        <f>ApndxA1!Q38</f>
        <v>27.000809329819255</v>
      </c>
      <c r="O23" s="13">
        <f>ApndxA1!R38</f>
        <v>22.701313611296595</v>
      </c>
      <c r="P23" s="13">
        <f>ApndxA1!S38</f>
        <v>17.000349882352964</v>
      </c>
      <c r="Q23" s="13">
        <f>ApndxA1!T38</f>
        <v>10.964033399833975</v>
      </c>
    </row>
    <row r="24" spans="2:19" x14ac:dyDescent="0.25">
      <c r="B24" s="81"/>
      <c r="C24" s="81" t="s">
        <v>859</v>
      </c>
      <c r="D24" s="81"/>
      <c r="E24" s="81"/>
      <c r="G24" s="13">
        <f>ApndxA1!J42</f>
        <v>401.07908596624316</v>
      </c>
      <c r="H24" s="13">
        <f>ApndxA1!K42</f>
        <v>256.04838282917467</v>
      </c>
      <c r="I24" s="13">
        <f>ApndxA1!L42</f>
        <v>221.7346007775617</v>
      </c>
      <c r="J24" s="13">
        <f>ApndxA1!M42</f>
        <v>171.0320748195644</v>
      </c>
      <c r="K24" s="13">
        <f>ApndxA1!N42</f>
        <v>113.61280418072306</v>
      </c>
      <c r="M24" s="13">
        <f>ApndxA1!P42</f>
        <v>43.770465858392058</v>
      </c>
      <c r="N24" s="13">
        <f>ApndxA1!Q42</f>
        <v>27.000809329819255</v>
      </c>
      <c r="O24" s="13">
        <f>ApndxA1!R42</f>
        <v>22.701313611296595</v>
      </c>
      <c r="P24" s="13">
        <f>ApndxA1!S42</f>
        <v>17.000349882352964</v>
      </c>
      <c r="Q24" s="13">
        <f>ApndxA1!T42</f>
        <v>10.964033399833975</v>
      </c>
    </row>
    <row r="25" spans="2:19" x14ac:dyDescent="0.25">
      <c r="B25" s="81"/>
      <c r="C25" s="81" t="s">
        <v>858</v>
      </c>
      <c r="D25" s="81"/>
      <c r="E25" s="81"/>
      <c r="G25" s="13">
        <f>ApndxA1!J44</f>
        <v>401.07908596624316</v>
      </c>
      <c r="H25" s="13">
        <f>ApndxA1!K44</f>
        <v>256.04838282917467</v>
      </c>
      <c r="I25" s="13">
        <f>ApndxA1!L44</f>
        <v>221.7346007775617</v>
      </c>
      <c r="J25" s="13">
        <f>ApndxA1!M44</f>
        <v>171.0320748195644</v>
      </c>
      <c r="K25" s="13">
        <f>ApndxA1!N44</f>
        <v>113.61280418072306</v>
      </c>
      <c r="M25" s="13">
        <f>ApndxA1!P44</f>
        <v>43.770465858392058</v>
      </c>
      <c r="N25" s="13">
        <f>ApndxA1!Q44</f>
        <v>27.000809329819255</v>
      </c>
      <c r="O25" s="13">
        <f>ApndxA1!R44</f>
        <v>22.701313611296595</v>
      </c>
      <c r="P25" s="13">
        <f>ApndxA1!S44</f>
        <v>17.000349882352964</v>
      </c>
      <c r="Q25" s="13">
        <f>ApndxA1!T44</f>
        <v>10.964033399833975</v>
      </c>
    </row>
    <row r="26" spans="2:19" x14ac:dyDescent="0.25">
      <c r="B26" s="81"/>
      <c r="C26" s="81"/>
      <c r="D26" s="81"/>
      <c r="E26" s="81"/>
      <c r="G26" s="25"/>
      <c r="H26" s="25"/>
      <c r="I26" s="25"/>
      <c r="J26" s="25"/>
      <c r="K26" s="25"/>
    </row>
    <row r="27" spans="2:19" x14ac:dyDescent="0.25">
      <c r="B27" s="81" t="s">
        <v>540</v>
      </c>
      <c r="C27" s="81"/>
      <c r="D27" s="81"/>
      <c r="E27" s="81"/>
      <c r="G27" s="25"/>
      <c r="H27" s="25"/>
      <c r="I27" s="25"/>
      <c r="J27" s="25"/>
      <c r="K27" s="25"/>
    </row>
    <row r="28" spans="2:19" x14ac:dyDescent="0.25">
      <c r="B28" s="81"/>
      <c r="C28" s="81" t="str">
        <f>'A1'!R12</f>
        <v>Labor</v>
      </c>
      <c r="D28" s="81"/>
      <c r="E28" s="81"/>
      <c r="G28" s="13">
        <f>ApndxA1!J22</f>
        <v>970.15440716815681</v>
      </c>
      <c r="H28" s="13">
        <f>ApndxA1!K22</f>
        <v>1026.411283161299</v>
      </c>
      <c r="I28" s="13">
        <f>ApndxA1!L22</f>
        <v>1082.0861141867119</v>
      </c>
      <c r="J28" s="13">
        <f>ApndxA1!M22</f>
        <v>1140.9465339379994</v>
      </c>
      <c r="K28" s="13">
        <f>ApndxA1!N22</f>
        <v>1203.1803945140596</v>
      </c>
      <c r="M28" s="13">
        <f>ApndxA1!P22</f>
        <v>105.8746562514516</v>
      </c>
      <c r="N28" s="13">
        <f>ApndxA1!Q22</f>
        <v>108.23710364577072</v>
      </c>
      <c r="O28" s="13">
        <f>ApndxA1!R22</f>
        <v>110.78458727884593</v>
      </c>
      <c r="P28" s="13">
        <f>ApndxA1!S22</f>
        <v>113.40849542091341</v>
      </c>
      <c r="Q28" s="13">
        <f>ApndxA1!T22</f>
        <v>116.11112080724291</v>
      </c>
    </row>
    <row r="29" spans="2:19" x14ac:dyDescent="0.25">
      <c r="C29" s="81" t="str">
        <f>'A1'!R13</f>
        <v>Pharmacy</v>
      </c>
      <c r="E29" s="81"/>
      <c r="G29" s="13">
        <f>ApndxA1!J23</f>
        <v>357.25753213856962</v>
      </c>
      <c r="H29" s="13">
        <f>ApndxA1!K23</f>
        <v>384.5131003395972</v>
      </c>
      <c r="I29" s="13">
        <f>ApndxA1!L23</f>
        <v>411.89043308377649</v>
      </c>
      <c r="J29" s="13">
        <f>ApndxA1!M23</f>
        <v>441.21703191934148</v>
      </c>
      <c r="K29" s="13">
        <f>ApndxA1!N23</f>
        <v>472.63168459199858</v>
      </c>
      <c r="M29" s="13">
        <f>ApndxA1!P23</f>
        <v>38.988142638882898</v>
      </c>
      <c r="N29" s="13">
        <f>ApndxA1!Q23</f>
        <v>40.547668344438215</v>
      </c>
      <c r="O29" s="13">
        <f>ApndxA1!R23</f>
        <v>42.16957507821575</v>
      </c>
      <c r="P29" s="13">
        <f>ApndxA1!S23</f>
        <v>43.856358081344389</v>
      </c>
      <c r="Q29" s="13">
        <f>ApndxA1!T23</f>
        <v>45.610612404598164</v>
      </c>
    </row>
    <row r="30" spans="2:19" x14ac:dyDescent="0.25">
      <c r="C30" s="81" t="str">
        <f>'A1'!R14</f>
        <v>Supplies</v>
      </c>
      <c r="E30" s="81"/>
      <c r="G30" s="13">
        <f>ApndxA1!J24+ApndxA1!J25</f>
        <v>1131.8806509717247</v>
      </c>
      <c r="H30" s="13">
        <f>ApndxA1!K24+ApndxA1!K25</f>
        <v>1218.2330648545408</v>
      </c>
      <c r="I30" s="13">
        <f>ApndxA1!L24+ApndxA1!L25</f>
        <v>1304.971259072184</v>
      </c>
      <c r="J30" s="13">
        <f>ApndxA1!M24+ApndxA1!M25</f>
        <v>1397.8852127181237</v>
      </c>
      <c r="K30" s="13">
        <f>ApndxA1!N24+ApndxA1!N25</f>
        <v>1497.4146398636544</v>
      </c>
      <c r="M30" s="13">
        <f>ApndxA1!P24+ApndxA1!P25</f>
        <v>123.5241255967713</v>
      </c>
      <c r="N30" s="13">
        <f>ApndxA1!Q24+ApndxA1!Q25</f>
        <v>128.46509062064212</v>
      </c>
      <c r="O30" s="13">
        <f>ApndxA1!R24+ApndxA1!R25</f>
        <v>133.60369424546781</v>
      </c>
      <c r="P30" s="13">
        <f>ApndxA1!S24+ApndxA1!S25</f>
        <v>138.94784201528654</v>
      </c>
      <c r="Q30" s="13">
        <f>ApndxA1!T24+ApndxA1!T25</f>
        <v>144.50575569589805</v>
      </c>
    </row>
    <row r="31" spans="2:19" ht="17.25" x14ac:dyDescent="0.4">
      <c r="C31" s="81" t="str">
        <f>'A1'!R15</f>
        <v>G&amp;A</v>
      </c>
      <c r="E31" s="81"/>
      <c r="G31" s="558">
        <f>ApndxA1!J36</f>
        <v>673.43613012976152</v>
      </c>
      <c r="H31" s="558">
        <f>ApndxA1!K36</f>
        <v>808.48641011317363</v>
      </c>
      <c r="I31" s="558">
        <f>ApndxA1!L36</f>
        <v>821.86563150185214</v>
      </c>
      <c r="J31" s="558">
        <f>ApndxA1!M36</f>
        <v>846.32187118352806</v>
      </c>
      <c r="K31" s="558">
        <f>ApndxA1!N36</f>
        <v>871.65853122863587</v>
      </c>
      <c r="M31" s="558">
        <f>ApndxA1!P36</f>
        <v>73.493268966243988</v>
      </c>
      <c r="N31" s="558">
        <f>ApndxA1!Q36</f>
        <v>85.256493964188877</v>
      </c>
      <c r="O31" s="558">
        <f>ApndxA1!R36</f>
        <v>84.143067350081765</v>
      </c>
      <c r="P31" s="558">
        <f>ApndxA1!S36</f>
        <v>84.12321453964968</v>
      </c>
      <c r="Q31" s="558">
        <f>ApndxA1!T36</f>
        <v>84.11810023136924</v>
      </c>
    </row>
    <row r="32" spans="2:19" x14ac:dyDescent="0.25">
      <c r="E32" s="81"/>
      <c r="G32" s="381">
        <f>SUM(G28:G31)</f>
        <v>3132.7287204082122</v>
      </c>
      <c r="H32" s="381">
        <f t="shared" ref="H32:Q32" si="0">SUM(H28:H31)</f>
        <v>3437.6438584686102</v>
      </c>
      <c r="I32" s="381">
        <f t="shared" si="0"/>
        <v>3620.8134378445243</v>
      </c>
      <c r="J32" s="381">
        <f t="shared" si="0"/>
        <v>3826.3706497589928</v>
      </c>
      <c r="K32" s="381">
        <f t="shared" si="0"/>
        <v>4044.8852501983483</v>
      </c>
      <c r="M32" s="381">
        <f t="shared" si="0"/>
        <v>341.88019345334976</v>
      </c>
      <c r="N32" s="381">
        <f t="shared" si="0"/>
        <v>362.50635657503994</v>
      </c>
      <c r="O32" s="381">
        <f t="shared" si="0"/>
        <v>370.70092395261122</v>
      </c>
      <c r="P32" s="381">
        <f t="shared" si="0"/>
        <v>380.33591005719404</v>
      </c>
      <c r="Q32" s="381">
        <f t="shared" si="0"/>
        <v>390.34558913910837</v>
      </c>
    </row>
    <row r="33" spans="2:17" x14ac:dyDescent="0.25">
      <c r="E33" s="81"/>
      <c r="G33" s="381"/>
      <c r="H33" s="381"/>
      <c r="I33" s="381"/>
      <c r="J33" s="381"/>
      <c r="K33" s="381"/>
      <c r="M33" s="381"/>
      <c r="N33" s="381"/>
      <c r="O33" s="381"/>
      <c r="P33" s="381"/>
      <c r="Q33" s="381"/>
    </row>
    <row r="34" spans="2:17" x14ac:dyDescent="0.25">
      <c r="B34" s="1" t="s">
        <v>897</v>
      </c>
      <c r="E34" s="81"/>
      <c r="G34" s="381">
        <f>ApndxB1!AC32</f>
        <v>353.38078063744564</v>
      </c>
      <c r="H34" s="381">
        <f>ApndxB1!AD32</f>
        <v>369.36922412977856</v>
      </c>
      <c r="I34" s="381">
        <f>ApndxB1!AE32</f>
        <v>384.25480386220869</v>
      </c>
      <c r="J34" s="381">
        <f>ApndxB1!AF32</f>
        <v>399.74027245785572</v>
      </c>
      <c r="K34" s="381">
        <f>ApndxB1!AG32</f>
        <v>415.84980543790721</v>
      </c>
      <c r="M34" s="381"/>
      <c r="N34" s="381"/>
      <c r="O34" s="381"/>
      <c r="P34" s="381"/>
      <c r="Q34" s="381"/>
    </row>
    <row r="35" spans="2:17" ht="15.75" thickBot="1" x14ac:dyDescent="0.3">
      <c r="B35" s="257"/>
      <c r="C35" s="904" t="s">
        <v>898</v>
      </c>
      <c r="D35" s="904"/>
      <c r="E35" s="1094"/>
      <c r="F35" s="904"/>
      <c r="G35" s="1095">
        <f>G34/G20</f>
        <v>0.1</v>
      </c>
      <c r="H35" s="1095">
        <f>H34/H20</f>
        <v>0.1</v>
      </c>
      <c r="I35" s="1095">
        <f>I34/I20</f>
        <v>0.1</v>
      </c>
      <c r="J35" s="1095">
        <f>J34/J20</f>
        <v>0.1</v>
      </c>
      <c r="K35" s="1095">
        <f>K34/K20</f>
        <v>0.1</v>
      </c>
      <c r="L35" s="257"/>
      <c r="M35" s="257"/>
      <c r="N35" s="257"/>
      <c r="O35" s="257"/>
      <c r="P35" s="257"/>
      <c r="Q35" s="257"/>
    </row>
    <row r="36" spans="2:17" x14ac:dyDescent="0.25">
      <c r="B36" s="106" t="s">
        <v>545</v>
      </c>
      <c r="E36" s="81"/>
      <c r="J36" s="81"/>
    </row>
    <row r="37" spans="2:17" x14ac:dyDescent="0.25">
      <c r="E37" s="81"/>
      <c r="J37" s="81"/>
    </row>
    <row r="38" spans="2:17" x14ac:dyDescent="0.25">
      <c r="B38" s="81" t="s">
        <v>41</v>
      </c>
      <c r="C38" s="81"/>
      <c r="D38" s="81"/>
      <c r="E38" s="81"/>
      <c r="J38" s="81"/>
    </row>
    <row r="39" spans="2:17" ht="17.25" x14ac:dyDescent="0.4">
      <c r="B39" s="81"/>
      <c r="C39" s="81" t="s">
        <v>42</v>
      </c>
      <c r="D39" s="81"/>
      <c r="G39" s="13">
        <f>ApndxA2!J9</f>
        <v>391.25153362245516</v>
      </c>
      <c r="H39" s="13">
        <f>ApndxA2!K9</f>
        <v>446.11592588000491</v>
      </c>
      <c r="I39" s="13">
        <f>ApndxA2!L9</f>
        <v>438.41564330199412</v>
      </c>
      <c r="J39" s="13">
        <f>ApndxA2!M9</f>
        <v>464.11029479130252</v>
      </c>
      <c r="K39" s="13">
        <f>ApndxA2!N9</f>
        <v>491.42461984622207</v>
      </c>
      <c r="L39" s="340"/>
      <c r="M39" s="292"/>
      <c r="N39" s="292"/>
      <c r="O39" s="292"/>
      <c r="P39" s="292"/>
      <c r="Q39" s="292"/>
    </row>
    <row r="40" spans="2:17" x14ac:dyDescent="0.25">
      <c r="B40" s="81"/>
      <c r="C40" s="81" t="s">
        <v>43</v>
      </c>
      <c r="G40" s="13">
        <f>ApndxA2!J14</f>
        <v>1082.591009949095</v>
      </c>
      <c r="H40" s="13">
        <f>ApndxA2!K14</f>
        <v>1285.2858347827575</v>
      </c>
      <c r="I40" s="13">
        <f>ApndxA2!L14</f>
        <v>1196.2997804116592</v>
      </c>
      <c r="J40" s="13">
        <f>ApndxA2!M14</f>
        <v>1140.5540400481157</v>
      </c>
      <c r="K40" s="13">
        <f>ApndxA2!N14</f>
        <v>1087.9384422807918</v>
      </c>
    </row>
    <row r="41" spans="2:17" x14ac:dyDescent="0.25">
      <c r="B41" s="81"/>
      <c r="C41" s="81" t="s">
        <v>221</v>
      </c>
      <c r="D41" s="81"/>
      <c r="E41" s="81"/>
      <c r="G41" s="13">
        <f>ApndxA2!J18</f>
        <v>0</v>
      </c>
      <c r="H41" s="13">
        <f>ApndxA2!K18</f>
        <v>0</v>
      </c>
      <c r="I41" s="13">
        <f>ApndxA2!L18</f>
        <v>0</v>
      </c>
      <c r="J41" s="13">
        <f>ApndxA2!M18</f>
        <v>0</v>
      </c>
      <c r="K41" s="13">
        <f>ApndxA2!N18</f>
        <v>0</v>
      </c>
    </row>
    <row r="42" spans="2:17" x14ac:dyDescent="0.25">
      <c r="B42" s="81"/>
      <c r="C42" s="81" t="s">
        <v>176</v>
      </c>
      <c r="D42" s="81"/>
      <c r="E42" s="81"/>
      <c r="G42" s="13">
        <f>ApndxA2!J25</f>
        <v>751.26511005065584</v>
      </c>
      <c r="H42" s="13">
        <f>ApndxA2!K25</f>
        <v>943.14492073001531</v>
      </c>
      <c r="I42" s="13">
        <f>ApndxA2!L25</f>
        <v>832.5678134443084</v>
      </c>
      <c r="J42" s="13">
        <f>ApndxA2!M25</f>
        <v>754.56182428598936</v>
      </c>
      <c r="K42" s="13">
        <f>ApndxA2!N25</f>
        <v>678.22126886898445</v>
      </c>
      <c r="L42" s="81"/>
    </row>
    <row r="43" spans="2:17" x14ac:dyDescent="0.25">
      <c r="B43" s="81"/>
      <c r="C43" s="81"/>
      <c r="D43" s="81"/>
      <c r="E43" s="81"/>
      <c r="L43" s="81"/>
    </row>
    <row r="44" spans="2:17" x14ac:dyDescent="0.25">
      <c r="B44" s="81" t="s">
        <v>44</v>
      </c>
      <c r="C44" s="81"/>
      <c r="D44" s="81"/>
      <c r="E44" s="81"/>
    </row>
    <row r="45" spans="2:17" x14ac:dyDescent="0.25">
      <c r="B45" s="81"/>
      <c r="C45" s="81" t="s">
        <v>45</v>
      </c>
      <c r="D45" s="81"/>
      <c r="E45" s="81"/>
      <c r="G45" s="13">
        <f>ApndxA3!J15</f>
        <v>74.939869538042501</v>
      </c>
      <c r="H45" s="13">
        <f>ApndxA3!K15</f>
        <v>374.03296440736494</v>
      </c>
      <c r="I45" s="13">
        <f>ApndxA3!L15</f>
        <v>324.61142548525783</v>
      </c>
      <c r="J45" s="13">
        <f>ApndxA3!M15</f>
        <v>274.73271546719184</v>
      </c>
      <c r="K45" s="13">
        <f>ApndxA3!N15</f>
        <v>217.26768465264752</v>
      </c>
    </row>
    <row r="46" spans="2:17" x14ac:dyDescent="0.25">
      <c r="B46" s="81"/>
      <c r="C46" s="81" t="s">
        <v>546</v>
      </c>
      <c r="D46" s="81"/>
      <c r="E46" s="81"/>
      <c r="G46" s="13">
        <f>ApndxA3!J31</f>
        <v>-248.56853254316428</v>
      </c>
      <c r="H46" s="13">
        <f>ApndxA3!K31</f>
        <v>54.864392257549753</v>
      </c>
      <c r="I46" s="13">
        <f>ApndxA3!L31</f>
        <v>-7.7002825780107855</v>
      </c>
      <c r="J46" s="13">
        <f>ApndxA3!M31</f>
        <v>25.694651489308399</v>
      </c>
      <c r="K46" s="13">
        <f>ApndxA3!N31</f>
        <v>27.31432505491955</v>
      </c>
    </row>
    <row r="47" spans="2:17" x14ac:dyDescent="0.25">
      <c r="C47" s="81" t="s">
        <v>978</v>
      </c>
      <c r="D47" s="81"/>
      <c r="E47" s="81"/>
      <c r="G47" s="13">
        <f>ApndxA3!J24</f>
        <v>-313.50840208120678</v>
      </c>
      <c r="H47" s="13">
        <f>ApndxA3!K24</f>
        <v>-64.168572149815191</v>
      </c>
      <c r="I47" s="13">
        <f>ApndxA3!L24</f>
        <v>-332.31170806326861</v>
      </c>
      <c r="J47" s="13">
        <f>ApndxA3!M24</f>
        <v>-249.03806397788344</v>
      </c>
      <c r="K47" s="13">
        <f>ApndxA3!N24</f>
        <v>-189.95335959772797</v>
      </c>
      <c r="L47" s="13"/>
    </row>
    <row r="48" spans="2:17" x14ac:dyDescent="0.25">
      <c r="B48" s="81"/>
      <c r="C48" s="81" t="s">
        <v>547</v>
      </c>
      <c r="D48" s="81"/>
      <c r="E48" s="81"/>
      <c r="G48" s="13">
        <f>ApndxA3!J25</f>
        <v>0</v>
      </c>
      <c r="H48" s="13">
        <f>ApndxA3!K25</f>
        <v>0</v>
      </c>
      <c r="I48" s="13">
        <f>ApndxA3!L25</f>
        <v>0</v>
      </c>
      <c r="J48" s="13">
        <f>ApndxA3!M25</f>
        <v>0</v>
      </c>
      <c r="K48" s="13">
        <f>ApndxA3!N25</f>
        <v>0</v>
      </c>
    </row>
    <row r="49" spans="2:4" x14ac:dyDescent="0.25">
      <c r="B49" s="81"/>
      <c r="C49" s="81"/>
      <c r="D49" s="81"/>
    </row>
    <row r="50" spans="2:4" x14ac:dyDescent="0.25">
      <c r="B50" s="81"/>
      <c r="C50" s="81"/>
      <c r="D50" s="81"/>
    </row>
  </sheetData>
  <printOptions horizontalCentered="1"/>
  <pageMargins left="0.7" right="0.7" top="0.75" bottom="0.75" header="0.3" footer="0.3"/>
  <pageSetup scale="74" orientation="landscape" r:id="rId1"/>
  <ignoredErrors>
    <ignoredError sqref="A36:Q46 A2:Q32 A35:B35 L35:Q35 D35:F35 A47:B47 L47:Q47" unlockedFormula="1"/>
  </ignoredErrors>
  <drawing r:id="rId2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>
    <tabColor theme="4" tint="0.39997558519241921"/>
    <pageSetUpPr fitToPage="1"/>
  </sheetPr>
  <dimension ref="A1:S33"/>
  <sheetViews>
    <sheetView showGridLines="0" view="pageBreakPreview" zoomScale="80" zoomScaleSheetLayoutView="80" workbookViewId="0"/>
  </sheetViews>
  <sheetFormatPr defaultColWidth="9.42578125" defaultRowHeight="15" x14ac:dyDescent="0.25"/>
  <cols>
    <col min="1" max="1" width="1.5703125" style="1" customWidth="1"/>
    <col min="2" max="2" width="5.42578125" style="1" customWidth="1"/>
    <col min="3" max="3" width="3.5703125" style="1" customWidth="1"/>
    <col min="4" max="4" width="10.42578125" style="1" customWidth="1"/>
    <col min="5" max="5" width="14.5703125" style="1" customWidth="1"/>
    <col min="6" max="11" width="11.5703125" style="1" customWidth="1"/>
    <col min="12" max="13" width="10.5703125" style="1" customWidth="1"/>
    <col min="14" max="14" width="11.5703125" style="1" customWidth="1"/>
    <col min="15" max="15" width="9.42578125" style="1"/>
    <col min="16" max="17" width="18.140625" style="1" customWidth="1"/>
    <col min="18" max="16384" width="9.42578125" style="1"/>
  </cols>
  <sheetData>
    <row r="1" spans="1:14" ht="6" customHeight="1" thickBot="1" x14ac:dyDescent="0.3">
      <c r="C1" s="108"/>
      <c r="D1" s="108"/>
      <c r="E1" s="108"/>
      <c r="F1" s="108"/>
      <c r="G1" s="108"/>
      <c r="H1" s="108"/>
      <c r="I1" s="108"/>
      <c r="J1" s="108"/>
      <c r="K1" s="108"/>
      <c r="L1" s="108"/>
      <c r="M1" s="108"/>
      <c r="N1" s="108"/>
    </row>
    <row r="2" spans="1:14" ht="16.5" thickTop="1" x14ac:dyDescent="0.25">
      <c r="B2" s="110" t="str">
        <f>MainOutline!B2</f>
        <v>WB Santa Cruz</v>
      </c>
      <c r="C2" s="111"/>
      <c r="D2" s="111"/>
      <c r="E2" s="111"/>
      <c r="F2" s="111"/>
      <c r="G2" s="111"/>
      <c r="H2" s="111"/>
      <c r="I2" s="508" t="str">
        <f>'A1'!$C$90</f>
        <v>Acquisition of an existing facility</v>
      </c>
      <c r="J2" s="111"/>
      <c r="K2" s="111"/>
      <c r="L2" s="111"/>
      <c r="M2" s="111"/>
      <c r="N2" s="1409">
        <f>$A$3</f>
        <v>17</v>
      </c>
    </row>
    <row r="3" spans="1:14" ht="15.75" x14ac:dyDescent="0.25">
      <c r="A3" s="123">
        <f>MainOutline!B30</f>
        <v>17</v>
      </c>
      <c r="B3" s="102" t="str">
        <f>MainOutline!C30</f>
        <v>Exhibit P4</v>
      </c>
      <c r="C3" s="89"/>
      <c r="D3" s="89"/>
      <c r="E3" s="89"/>
      <c r="F3" s="89"/>
      <c r="G3" s="89"/>
      <c r="H3" s="89"/>
      <c r="I3" s="89"/>
      <c r="J3" s="89"/>
      <c r="K3" s="89"/>
      <c r="L3" s="89"/>
      <c r="M3" s="89"/>
      <c r="N3" s="89"/>
    </row>
    <row r="4" spans="1:14" ht="16.5" thickBot="1" x14ac:dyDescent="0.3">
      <c r="B4" s="104" t="s">
        <v>979</v>
      </c>
      <c r="C4" s="97"/>
      <c r="D4" s="97"/>
      <c r="E4" s="97"/>
      <c r="F4" s="97"/>
      <c r="G4" s="97"/>
      <c r="H4" s="97"/>
      <c r="I4" s="97"/>
      <c r="J4" s="97"/>
      <c r="K4" s="97"/>
      <c r="L4" s="97"/>
      <c r="M4" s="97"/>
      <c r="N4" s="138" t="s">
        <v>19</v>
      </c>
    </row>
    <row r="5" spans="1:14" ht="15.75" thickTop="1" x14ac:dyDescent="0.25">
      <c r="A5" s="123">
        <f>IF('A1'!B84=1,1,0)</f>
        <v>0</v>
      </c>
    </row>
    <row r="6" spans="1:14" x14ac:dyDescent="0.25">
      <c r="A6" s="123"/>
    </row>
    <row r="7" spans="1:14" ht="17.25" x14ac:dyDescent="0.4">
      <c r="B7" s="81"/>
      <c r="G7" s="642"/>
      <c r="H7" s="642"/>
      <c r="I7" s="642">
        <v>1</v>
      </c>
      <c r="J7" s="642">
        <v>2</v>
      </c>
      <c r="K7" s="642">
        <v>3</v>
      </c>
      <c r="L7" s="642">
        <v>4</v>
      </c>
      <c r="M7" s="642">
        <v>5</v>
      </c>
      <c r="N7" s="642" t="s">
        <v>349</v>
      </c>
    </row>
    <row r="8" spans="1:14" x14ac:dyDescent="0.25">
      <c r="C8" s="81"/>
      <c r="D8" s="81"/>
      <c r="E8" s="81"/>
      <c r="H8" s="25"/>
      <c r="I8" s="25"/>
      <c r="J8" s="25"/>
      <c r="K8" s="25"/>
      <c r="L8" s="25"/>
      <c r="M8" s="25"/>
      <c r="N8" s="25"/>
    </row>
    <row r="9" spans="1:14" x14ac:dyDescent="0.25">
      <c r="B9" s="81"/>
      <c r="C9" s="530" t="s">
        <v>371</v>
      </c>
      <c r="D9" s="530"/>
      <c r="E9" s="528"/>
      <c r="F9" s="528"/>
      <c r="G9" s="661"/>
      <c r="H9" s="661"/>
      <c r="I9" s="371">
        <f>'D7'!I10</f>
        <v>0</v>
      </c>
      <c r="J9" s="371">
        <f>'D7'!J10</f>
        <v>0</v>
      </c>
      <c r="K9" s="371">
        <f>'D7'!K10</f>
        <v>0</v>
      </c>
      <c r="L9" s="371">
        <f>'D7'!L10</f>
        <v>0</v>
      </c>
      <c r="M9" s="371">
        <f>'D7'!M10</f>
        <v>0</v>
      </c>
      <c r="N9" s="371">
        <f>'D7'!N10</f>
        <v>0</v>
      </c>
    </row>
    <row r="11" spans="1:14" x14ac:dyDescent="0.25">
      <c r="C11" s="81" t="s">
        <v>369</v>
      </c>
      <c r="D11" s="81"/>
      <c r="E11" s="81"/>
      <c r="F11" s="663">
        <f>'D7'!F11</f>
        <v>0.15</v>
      </c>
      <c r="G11" s="664"/>
      <c r="H11" s="664"/>
      <c r="I11" s="664">
        <f>'D7'!I11</f>
        <v>0.93795101240386625</v>
      </c>
      <c r="J11" s="664">
        <f>'D7'!J11</f>
        <v>0.82037306486627204</v>
      </c>
      <c r="K11" s="664">
        <f>'D7'!K11</f>
        <v>0.71336788249241057</v>
      </c>
      <c r="L11" s="664">
        <f>'D7'!L11</f>
        <v>0.62031989781948749</v>
      </c>
      <c r="M11" s="664">
        <f>'D7'!M11</f>
        <v>0.53940860679955438</v>
      </c>
      <c r="N11" s="664">
        <f>'D7'!N11</f>
        <v>0.53940860679955438</v>
      </c>
    </row>
    <row r="12" spans="1:14" x14ac:dyDescent="0.25">
      <c r="C12" s="81" t="s">
        <v>360</v>
      </c>
      <c r="D12" s="81"/>
      <c r="E12" s="81"/>
      <c r="G12" s="371"/>
      <c r="H12" s="371"/>
      <c r="I12" s="371">
        <f>I9*I11</f>
        <v>0</v>
      </c>
      <c r="J12" s="371">
        <f>J9*J11</f>
        <v>0</v>
      </c>
      <c r="K12" s="371">
        <f>K9*K11</f>
        <v>0</v>
      </c>
      <c r="L12" s="371">
        <f>L9*L11</f>
        <v>0</v>
      </c>
      <c r="M12" s="371">
        <f>M9*M11</f>
        <v>0</v>
      </c>
      <c r="N12" s="371"/>
    </row>
    <row r="14" spans="1:14" ht="17.25" x14ac:dyDescent="0.4">
      <c r="F14" s="665" t="s">
        <v>364</v>
      </c>
      <c r="G14" s="466"/>
      <c r="H14" s="927"/>
      <c r="I14" s="666" t="s">
        <v>367</v>
      </c>
      <c r="J14" s="667"/>
      <c r="K14" s="921"/>
    </row>
    <row r="15" spans="1:14" ht="34.5" x14ac:dyDescent="0.4">
      <c r="F15" s="670" t="s">
        <v>361</v>
      </c>
      <c r="G15" s="101" t="s">
        <v>363</v>
      </c>
      <c r="H15" s="929" t="s">
        <v>362</v>
      </c>
      <c r="I15" s="671" t="s">
        <v>365</v>
      </c>
      <c r="J15" s="672" t="s">
        <v>366</v>
      </c>
      <c r="K15" s="922" t="s">
        <v>13</v>
      </c>
    </row>
    <row r="16" spans="1:14" x14ac:dyDescent="0.25">
      <c r="F16" s="937">
        <f>N9</f>
        <v>0</v>
      </c>
      <c r="G16" s="277">
        <f>F16/(F11-'A1'!$O$50)</f>
        <v>0</v>
      </c>
      <c r="H16" s="378">
        <f>G16*N11</f>
        <v>0</v>
      </c>
      <c r="I16" s="924">
        <f>SUM(G12:M12)</f>
        <v>0</v>
      </c>
      <c r="J16" s="925">
        <f>H16</f>
        <v>0</v>
      </c>
      <c r="K16" s="926">
        <f>I16+J16</f>
        <v>0</v>
      </c>
    </row>
    <row r="18" spans="3:19" x14ac:dyDescent="0.25">
      <c r="C18" s="390" t="str">
        <f>"Distributions to " &amp; 'A1'!$T$90</f>
        <v>Distributions to No Partnering</v>
      </c>
      <c r="D18" s="390"/>
      <c r="E18" s="390"/>
      <c r="F18" s="390"/>
      <c r="G18" s="390"/>
      <c r="H18" s="390"/>
      <c r="I18" s="1307" t="e">
        <f t="shared" ref="I18:N18" si="0">I9*$Q$21</f>
        <v>#DIV/0!</v>
      </c>
      <c r="J18" s="1307" t="e">
        <f t="shared" si="0"/>
        <v>#DIV/0!</v>
      </c>
      <c r="K18" s="1307" t="e">
        <f t="shared" si="0"/>
        <v>#DIV/0!</v>
      </c>
      <c r="L18" s="1307" t="e">
        <f t="shared" si="0"/>
        <v>#DIV/0!</v>
      </c>
      <c r="M18" s="1307" t="e">
        <f t="shared" si="0"/>
        <v>#DIV/0!</v>
      </c>
      <c r="N18" s="1307" t="e">
        <f t="shared" si="0"/>
        <v>#DIV/0!</v>
      </c>
    </row>
    <row r="20" spans="3:19" s="101" customFormat="1" ht="34.5" x14ac:dyDescent="0.4">
      <c r="H20" s="101" t="str">
        <f>'A1'!$T$90</f>
        <v>No Partnering</v>
      </c>
      <c r="J20" s="1731" t="s">
        <v>950</v>
      </c>
      <c r="K20" s="1732"/>
      <c r="L20" s="1389"/>
      <c r="M20" s="1389"/>
      <c r="N20" s="1390"/>
      <c r="P20" s="101" t="s">
        <v>555</v>
      </c>
      <c r="Q20" s="101" t="str">
        <f>'A1'!$T$90 &amp; " (% Total)"</f>
        <v>No Partnering (% Total)</v>
      </c>
      <c r="S20" s="101" t="s">
        <v>1088</v>
      </c>
    </row>
    <row r="21" spans="3:19" x14ac:dyDescent="0.25">
      <c r="D21" s="1" t="s">
        <v>556</v>
      </c>
      <c r="H21" s="79">
        <f>'A1'!S90</f>
        <v>0.25</v>
      </c>
      <c r="J21" s="172"/>
      <c r="K21" s="637" t="str">
        <f>'M4'!L30</f>
        <v>SH</v>
      </c>
      <c r="L21" s="1316" t="str">
        <f>H20</f>
        <v>No Partnering</v>
      </c>
      <c r="N21" s="188"/>
      <c r="P21" s="77">
        <f>'A1'!P63</f>
        <v>0</v>
      </c>
      <c r="Q21" s="635" t="e">
        <f>H21/P21</f>
        <v>#DIV/0!</v>
      </c>
      <c r="S21" s="80">
        <f>'M4'!M31</f>
        <v>0</v>
      </c>
    </row>
    <row r="22" spans="3:19" x14ac:dyDescent="0.25">
      <c r="D22" s="1" t="s">
        <v>520</v>
      </c>
      <c r="H22" s="371" t="e">
        <f>Q22*P22</f>
        <v>#DIV/0!</v>
      </c>
      <c r="J22" s="172" t="str">
        <f>'A1'!R64</f>
        <v>Cash</v>
      </c>
      <c r="K22" s="371">
        <f>'M4'!L31</f>
        <v>639.82006616561944</v>
      </c>
      <c r="L22" s="286" t="e">
        <f>S21*Q21</f>
        <v>#DIV/0!</v>
      </c>
      <c r="N22" s="188"/>
      <c r="P22" s="371">
        <f>K16</f>
        <v>0</v>
      </c>
      <c r="Q22" s="635" t="e">
        <f>Q21</f>
        <v>#DIV/0!</v>
      </c>
      <c r="S22" s="80">
        <f>'M4'!M32</f>
        <v>0</v>
      </c>
    </row>
    <row r="23" spans="3:19" x14ac:dyDescent="0.25">
      <c r="D23" s="1" t="s">
        <v>557</v>
      </c>
      <c r="H23" s="371" t="e">
        <f>Q23*P23</f>
        <v>#DIV/0!</v>
      </c>
      <c r="J23" s="172" t="str">
        <f>'A1'!R65</f>
        <v>Debt</v>
      </c>
      <c r="K23" s="371">
        <f>'M4'!L32</f>
        <v>0</v>
      </c>
      <c r="L23" s="286" t="e">
        <f>S22*Q22</f>
        <v>#DIV/0!</v>
      </c>
      <c r="N23" s="188"/>
      <c r="P23" s="371">
        <f>'A1'!V61</f>
        <v>0</v>
      </c>
      <c r="Q23" s="635" t="e">
        <f>Q22</f>
        <v>#DIV/0!</v>
      </c>
      <c r="S23" s="1312">
        <f>S21+S22</f>
        <v>0</v>
      </c>
    </row>
    <row r="24" spans="3:19" x14ac:dyDescent="0.25">
      <c r="D24" s="1" t="s">
        <v>558</v>
      </c>
      <c r="H24" s="371" t="e">
        <f>Q24*P24</f>
        <v>#DIV/0!</v>
      </c>
      <c r="J24" s="172" t="s">
        <v>13</v>
      </c>
      <c r="K24" s="371">
        <f>K22+K23</f>
        <v>639.82006616561944</v>
      </c>
      <c r="L24" s="371" t="e">
        <f>L22+L23</f>
        <v>#DIV/0!</v>
      </c>
      <c r="N24" s="188"/>
      <c r="P24" s="371">
        <f>'A1'!U65</f>
        <v>0</v>
      </c>
      <c r="Q24" s="635" t="e">
        <f>Q23</f>
        <v>#DIV/0!</v>
      </c>
    </row>
    <row r="25" spans="3:19" x14ac:dyDescent="0.25">
      <c r="D25" s="1" t="s">
        <v>559</v>
      </c>
      <c r="H25" s="679" t="e">
        <f>H22/H23</f>
        <v>#DIV/0!</v>
      </c>
      <c r="J25" s="172"/>
      <c r="N25" s="188"/>
      <c r="P25" s="679" t="e">
        <f>P22/P23</f>
        <v>#DIV/0!</v>
      </c>
    </row>
    <row r="26" spans="3:19" x14ac:dyDescent="0.25">
      <c r="D26" s="1" t="s">
        <v>567</v>
      </c>
      <c r="H26" s="679" t="e">
        <f>H22/(H23+H24)</f>
        <v>#DIV/0!</v>
      </c>
      <c r="J26" s="178"/>
      <c r="K26" s="46"/>
      <c r="L26" s="46"/>
      <c r="M26" s="46"/>
      <c r="N26" s="380"/>
      <c r="P26" s="679" t="e">
        <f>P22/(P23+P24)</f>
        <v>#DIV/0!</v>
      </c>
    </row>
    <row r="29" spans="3:19" x14ac:dyDescent="0.25">
      <c r="K29" s="1733"/>
      <c r="L29" s="1733"/>
      <c r="M29" s="1733"/>
    </row>
    <row r="30" spans="3:19" ht="17.25" x14ac:dyDescent="0.4">
      <c r="L30" s="291" t="s">
        <v>510</v>
      </c>
      <c r="M30" s="291" t="s">
        <v>949</v>
      </c>
    </row>
    <row r="31" spans="3:19" x14ac:dyDescent="0.25">
      <c r="L31" s="173"/>
      <c r="M31" s="173"/>
    </row>
    <row r="32" spans="3:19" x14ac:dyDescent="0.25">
      <c r="L32" s="173"/>
      <c r="M32" s="173"/>
    </row>
    <row r="33" spans="12:13" x14ac:dyDescent="0.25">
      <c r="L33" s="173"/>
      <c r="M33" s="173"/>
    </row>
  </sheetData>
  <mergeCells count="2">
    <mergeCell ref="J20:K20"/>
    <mergeCell ref="K29:M29"/>
  </mergeCells>
  <pageMargins left="0.7" right="0.7" top="0.75" bottom="0.75" header="0.3" footer="0.3"/>
  <pageSetup scale="89" orientation="landscape" r:id="rId1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>
    <tabColor theme="1"/>
  </sheetPr>
  <dimension ref="XFD1"/>
  <sheetViews>
    <sheetView topLeftCell="XFD1048576" workbookViewId="0"/>
  </sheetViews>
  <sheetFormatPr defaultColWidth="0" defaultRowHeight="15" zeroHeight="1" x14ac:dyDescent="0.25"/>
  <cols>
    <col min="1" max="16384" width="8.5703125" style="1" hidden="1"/>
  </cols>
  <sheetData>
    <row r="1" spans="16384:16384" hidden="1" x14ac:dyDescent="0.25">
      <c r="XFD1" s="106" t="s">
        <v>414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>
    <pageSetUpPr fitToPage="1"/>
  </sheetPr>
  <dimension ref="A1:BB93"/>
  <sheetViews>
    <sheetView showGridLines="0" view="pageBreakPreview" topLeftCell="A11" zoomScaleNormal="132" zoomScaleSheetLayoutView="100" workbookViewId="0">
      <selection activeCell="T13" sqref="T13"/>
    </sheetView>
  </sheetViews>
  <sheetFormatPr defaultColWidth="9.42578125" defaultRowHeight="15" outlineLevelRow="1" x14ac:dyDescent="0.25"/>
  <cols>
    <col min="1" max="1" width="1.5703125" style="1" customWidth="1"/>
    <col min="2" max="3" width="3" style="1" customWidth="1"/>
    <col min="4" max="4" width="9.42578125" style="1" customWidth="1"/>
    <col min="5" max="5" width="5.5703125" style="1" customWidth="1"/>
    <col min="6" max="6" width="3" style="1" customWidth="1"/>
    <col min="7" max="7" width="7" style="1" customWidth="1"/>
    <col min="8" max="8" width="4.5703125" style="173" customWidth="1"/>
    <col min="9" max="20" width="8.42578125" style="1" customWidth="1"/>
    <col min="21" max="21" width="8.5703125" style="1" customWidth="1"/>
    <col min="22" max="46" width="9.42578125" style="1"/>
    <col min="47" max="47" width="10" style="1" bestFit="1" customWidth="1"/>
    <col min="48" max="16384" width="9.42578125" style="1"/>
  </cols>
  <sheetData>
    <row r="1" spans="1:54" ht="6" customHeight="1" thickBot="1" x14ac:dyDescent="0.3">
      <c r="B1" s="85"/>
      <c r="C1" s="85"/>
      <c r="D1" s="86"/>
      <c r="E1" s="85"/>
      <c r="F1" s="85"/>
      <c r="G1" s="85"/>
      <c r="H1" s="505"/>
      <c r="I1" s="85"/>
      <c r="J1" s="85"/>
      <c r="K1" s="85"/>
      <c r="L1" s="85"/>
      <c r="M1" s="85"/>
      <c r="N1" s="85"/>
      <c r="O1" s="85"/>
      <c r="P1" s="85"/>
      <c r="Q1" s="85"/>
      <c r="R1" s="85"/>
      <c r="S1" s="85"/>
      <c r="T1" s="85"/>
    </row>
    <row r="2" spans="1:54" ht="16.5" thickTop="1" x14ac:dyDescent="0.25">
      <c r="B2" s="110" t="str">
        <f>MainOutline!B2</f>
        <v>WB Santa Cruz</v>
      </c>
      <c r="C2" s="110"/>
      <c r="D2" s="111"/>
      <c r="E2" s="111"/>
      <c r="F2" s="111"/>
      <c r="G2" s="111"/>
      <c r="H2" s="506"/>
      <c r="I2" s="507"/>
      <c r="J2" s="508"/>
      <c r="K2" s="111"/>
      <c r="L2" s="111"/>
      <c r="M2" s="111"/>
      <c r="N2" s="111"/>
      <c r="O2" s="111"/>
      <c r="P2" s="111"/>
      <c r="Q2" s="111"/>
      <c r="R2" s="111"/>
      <c r="S2" s="111"/>
      <c r="T2" s="1409"/>
    </row>
    <row r="3" spans="1:54" ht="15.75" x14ac:dyDescent="0.25">
      <c r="A3" s="123">
        <f>MainOutline!B10</f>
        <v>3</v>
      </c>
      <c r="B3" s="102"/>
      <c r="C3" s="102"/>
      <c r="D3" s="89"/>
      <c r="E3" s="89"/>
      <c r="F3" s="89"/>
      <c r="G3" s="89"/>
      <c r="H3" s="509"/>
      <c r="I3" s="89"/>
      <c r="J3" s="89"/>
      <c r="K3" s="89"/>
      <c r="L3" s="89"/>
      <c r="M3" s="89"/>
      <c r="N3" s="89"/>
      <c r="O3" s="89"/>
      <c r="P3" s="89"/>
      <c r="Q3" s="89"/>
      <c r="R3" s="89"/>
      <c r="S3" s="89"/>
      <c r="T3" s="89"/>
    </row>
    <row r="4" spans="1:54" ht="16.5" thickBot="1" x14ac:dyDescent="0.3">
      <c r="B4" s="104" t="s">
        <v>1192</v>
      </c>
      <c r="C4" s="104"/>
      <c r="D4" s="97"/>
      <c r="E4" s="97"/>
      <c r="F4" s="97"/>
      <c r="G4" s="97"/>
      <c r="H4" s="510"/>
      <c r="I4" s="97"/>
      <c r="J4" s="97"/>
      <c r="K4" s="97"/>
      <c r="L4" s="97"/>
      <c r="M4" s="97"/>
      <c r="N4" s="97"/>
      <c r="O4" s="97"/>
      <c r="P4" s="97"/>
      <c r="Q4" s="97"/>
      <c r="R4" s="97"/>
      <c r="S4" s="97"/>
      <c r="T4" s="388"/>
    </row>
    <row r="5" spans="1:54" ht="15.75" thickTop="1" x14ac:dyDescent="0.25"/>
    <row r="6" spans="1:54" hidden="1" outlineLevel="1" x14ac:dyDescent="0.25">
      <c r="I6" s="1413">
        <v>42385</v>
      </c>
      <c r="J6" s="1413">
        <v>42416</v>
      </c>
      <c r="K6" s="1413">
        <v>42445</v>
      </c>
      <c r="L6" s="1413">
        <v>42476</v>
      </c>
      <c r="M6" s="1413">
        <v>42506</v>
      </c>
      <c r="N6" s="1413">
        <v>42537</v>
      </c>
      <c r="O6" s="1413">
        <v>42567</v>
      </c>
      <c r="P6" s="1413">
        <v>42598</v>
      </c>
      <c r="Q6" s="1413">
        <v>42629</v>
      </c>
      <c r="R6" s="1413">
        <v>42659</v>
      </c>
      <c r="S6" s="1413">
        <v>42690</v>
      </c>
      <c r="T6" s="1413">
        <v>42720</v>
      </c>
    </row>
    <row r="7" spans="1:54" s="511" customFormat="1" collapsed="1" x14ac:dyDescent="0.25">
      <c r="I7" s="512">
        <v>1</v>
      </c>
      <c r="J7" s="512">
        <f>I7+1</f>
        <v>2</v>
      </c>
      <c r="K7" s="512">
        <f t="shared" ref="K7:T7" si="0">J7+1</f>
        <v>3</v>
      </c>
      <c r="L7" s="512">
        <f t="shared" si="0"/>
        <v>4</v>
      </c>
      <c r="M7" s="512">
        <f t="shared" si="0"/>
        <v>5</v>
      </c>
      <c r="N7" s="512">
        <f t="shared" si="0"/>
        <v>6</v>
      </c>
      <c r="O7" s="512">
        <f t="shared" si="0"/>
        <v>7</v>
      </c>
      <c r="P7" s="512">
        <f t="shared" si="0"/>
        <v>8</v>
      </c>
      <c r="Q7" s="512">
        <f t="shared" si="0"/>
        <v>9</v>
      </c>
      <c r="R7" s="512">
        <f t="shared" si="0"/>
        <v>10</v>
      </c>
      <c r="S7" s="512">
        <f t="shared" si="0"/>
        <v>11</v>
      </c>
      <c r="T7" s="512">
        <f t="shared" si="0"/>
        <v>12</v>
      </c>
    </row>
    <row r="9" spans="1:54" ht="15.75" x14ac:dyDescent="0.25">
      <c r="B9" s="513"/>
      <c r="C9" s="513"/>
    </row>
    <row r="10" spans="1:54" x14ac:dyDescent="0.25">
      <c r="D10" s="106" t="s">
        <v>1192</v>
      </c>
    </row>
    <row r="11" spans="1:54" x14ac:dyDescent="0.25">
      <c r="C11" s="106"/>
    </row>
    <row r="12" spans="1:54" x14ac:dyDescent="0.25">
      <c r="D12" s="1716" t="str">
        <f>'A1'!G8</f>
        <v>Home Dialysis</v>
      </c>
      <c r="E12" s="82" t="str">
        <f>'C3'!D10</f>
        <v>Peritoneal</v>
      </c>
      <c r="H12" s="173">
        <f>'C3'!G10</f>
        <v>1</v>
      </c>
      <c r="I12" s="514">
        <v>52</v>
      </c>
      <c r="J12" s="514">
        <v>50</v>
      </c>
      <c r="K12" s="514">
        <v>48</v>
      </c>
      <c r="L12" s="514">
        <v>50</v>
      </c>
      <c r="M12" s="514">
        <v>50</v>
      </c>
      <c r="N12" s="514">
        <v>53</v>
      </c>
      <c r="O12" s="514">
        <v>52</v>
      </c>
      <c r="P12" s="514">
        <v>51</v>
      </c>
      <c r="Q12" s="514">
        <v>52</v>
      </c>
      <c r="R12" s="514">
        <v>51</v>
      </c>
      <c r="S12" s="514">
        <v>52</v>
      </c>
      <c r="T12" s="514">
        <v>52</v>
      </c>
      <c r="U12" s="1564"/>
      <c r="V12" s="1579"/>
    </row>
    <row r="13" spans="1:54" x14ac:dyDescent="0.25">
      <c r="D13" s="1717"/>
      <c r="E13" s="515" t="str">
        <f>'C3'!D11</f>
        <v>Home HD</v>
      </c>
      <c r="F13" s="46"/>
      <c r="G13" s="46"/>
      <c r="H13" s="179">
        <f>'C3'!G11</f>
        <v>1</v>
      </c>
      <c r="I13" s="1580">
        <v>5</v>
      </c>
      <c r="J13" s="1580">
        <v>5</v>
      </c>
      <c r="K13" s="1580">
        <v>5</v>
      </c>
      <c r="L13" s="1580">
        <v>4</v>
      </c>
      <c r="M13" s="1580">
        <v>4</v>
      </c>
      <c r="N13" s="1580">
        <v>4</v>
      </c>
      <c r="O13" s="1580">
        <v>4</v>
      </c>
      <c r="P13" s="1580">
        <v>4</v>
      </c>
      <c r="Q13" s="1580">
        <v>5</v>
      </c>
      <c r="R13" s="1580">
        <v>4</v>
      </c>
      <c r="S13" s="1580">
        <v>7</v>
      </c>
      <c r="T13" s="1580">
        <v>6</v>
      </c>
      <c r="U13" s="1564"/>
      <c r="V13" s="1631"/>
      <c r="W13" s="76"/>
    </row>
    <row r="14" spans="1:54" x14ac:dyDescent="0.25">
      <c r="D14"/>
      <c r="E14"/>
      <c r="F14"/>
      <c r="G14"/>
      <c r="H14"/>
      <c r="I14" s="1590">
        <f>SUM(I12:I13)</f>
        <v>57</v>
      </c>
      <c r="J14" s="1590">
        <f t="shared" ref="J14:T14" si="1">SUM(J12:J13)</f>
        <v>55</v>
      </c>
      <c r="K14" s="1590">
        <f t="shared" si="1"/>
        <v>53</v>
      </c>
      <c r="L14" s="1590">
        <f t="shared" si="1"/>
        <v>54</v>
      </c>
      <c r="M14" s="1590">
        <f t="shared" si="1"/>
        <v>54</v>
      </c>
      <c r="N14" s="1590">
        <f t="shared" si="1"/>
        <v>57</v>
      </c>
      <c r="O14" s="1590">
        <f t="shared" si="1"/>
        <v>56</v>
      </c>
      <c r="P14" s="1590">
        <f t="shared" si="1"/>
        <v>55</v>
      </c>
      <c r="Q14" s="1590">
        <f t="shared" si="1"/>
        <v>57</v>
      </c>
      <c r="R14" s="1590">
        <f t="shared" si="1"/>
        <v>55</v>
      </c>
      <c r="S14" s="1590">
        <f t="shared" si="1"/>
        <v>59</v>
      </c>
      <c r="T14" s="1590">
        <f t="shared" si="1"/>
        <v>58</v>
      </c>
      <c r="U14" s="1590"/>
      <c r="V14" s="1590"/>
      <c r="W14"/>
      <c r="X14"/>
      <c r="Y14"/>
      <c r="Z14"/>
      <c r="AA14"/>
      <c r="AB14" s="1558"/>
      <c r="AC14" s="1558"/>
      <c r="AD14" s="1558"/>
      <c r="AE14" s="1558"/>
      <c r="AF14" s="1558"/>
      <c r="AG14" s="1558"/>
      <c r="AH14" s="1558"/>
      <c r="AI14" s="1558"/>
      <c r="AJ14" s="1558"/>
      <c r="AK14" s="1558"/>
      <c r="AL14" s="1558"/>
      <c r="AM14" s="1558"/>
      <c r="AN14" s="1558"/>
      <c r="AO14" s="1558"/>
      <c r="AP14" s="1558"/>
      <c r="AQ14" s="1558"/>
      <c r="AR14" s="1558"/>
      <c r="AS14" s="1558"/>
      <c r="AT14" s="1558"/>
      <c r="AU14" s="1558"/>
      <c r="AV14" s="1558"/>
      <c r="AW14" s="1558"/>
      <c r="AX14" s="1558"/>
      <c r="AY14" s="1558"/>
      <c r="AZ14" s="1558"/>
      <c r="BA14" s="1558"/>
      <c r="BB14" s="1558"/>
    </row>
    <row r="15" spans="1:54" x14ac:dyDescent="0.25">
      <c r="D15"/>
      <c r="E15"/>
      <c r="F15"/>
      <c r="G15"/>
      <c r="H15"/>
      <c r="I15" s="1590">
        <f>SUM(I12:T12)</f>
        <v>613</v>
      </c>
      <c r="J15" s="1592">
        <f>I15/I17</f>
        <v>0.91492537313432831</v>
      </c>
      <c r="K15"/>
      <c r="L15"/>
      <c r="M15"/>
      <c r="N15"/>
      <c r="O15"/>
      <c r="P15"/>
      <c r="Q15"/>
      <c r="R15"/>
      <c r="S15"/>
      <c r="T15"/>
      <c r="U15"/>
      <c r="V15" s="1590"/>
      <c r="W15"/>
      <c r="X15"/>
      <c r="Y15"/>
      <c r="Z15"/>
      <c r="AA15"/>
      <c r="AB15" s="1558"/>
      <c r="AC15" s="1558"/>
      <c r="AD15" s="1558"/>
      <c r="AE15" s="1558"/>
      <c r="AF15" s="1558"/>
      <c r="AG15" s="1558"/>
      <c r="AH15" s="1558"/>
      <c r="AI15" s="1558"/>
      <c r="AJ15" s="1558"/>
      <c r="AK15" s="1558"/>
      <c r="AL15" s="1558"/>
      <c r="AM15" s="1558"/>
      <c r="AN15" s="1558"/>
      <c r="AO15" s="1558"/>
      <c r="AP15" s="1558"/>
      <c r="AQ15" s="1558"/>
      <c r="AR15" s="1558"/>
      <c r="AS15" s="1558"/>
      <c r="AT15" s="1558"/>
      <c r="AU15" s="1558"/>
      <c r="AV15" s="1558"/>
      <c r="AW15" s="1558"/>
      <c r="AX15" s="1558"/>
      <c r="AY15" s="1558"/>
      <c r="AZ15" s="1558"/>
      <c r="BA15" s="1558"/>
      <c r="BB15" s="1558"/>
    </row>
    <row r="16" spans="1:54" s="516" customFormat="1" x14ac:dyDescent="0.25">
      <c r="D16"/>
      <c r="E16"/>
      <c r="F16"/>
      <c r="G16"/>
      <c r="H16"/>
      <c r="I16" s="1590">
        <f>SUM(I13:T13)</f>
        <v>57</v>
      </c>
      <c r="J16" s="1592">
        <f>1-J15</f>
        <v>8.5074626865671688E-2</v>
      </c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 s="518"/>
      <c r="AC16" s="518"/>
      <c r="AD16" s="518"/>
      <c r="AE16" s="742"/>
      <c r="AF16" s="518"/>
      <c r="AG16" s="518"/>
      <c r="AH16" s="518"/>
      <c r="AI16" s="742"/>
      <c r="AJ16" s="518"/>
      <c r="AK16" s="518"/>
      <c r="AL16" s="518"/>
      <c r="AM16" s="518"/>
      <c r="AN16" s="518"/>
      <c r="AO16" s="518"/>
      <c r="AP16" s="518"/>
      <c r="AQ16" s="518"/>
      <c r="AR16" s="518"/>
      <c r="AS16" s="518"/>
      <c r="AT16" s="518"/>
      <c r="AU16" s="742"/>
      <c r="AV16" s="518"/>
      <c r="AW16" s="518"/>
      <c r="AX16" s="518"/>
      <c r="AY16" s="518"/>
      <c r="AZ16" s="518"/>
      <c r="BA16" s="518"/>
      <c r="BB16" s="518"/>
    </row>
    <row r="17" spans="2:36" x14ac:dyDescent="0.25">
      <c r="B17"/>
      <c r="C17"/>
      <c r="D17"/>
      <c r="E17"/>
      <c r="F17"/>
      <c r="G17"/>
      <c r="H17"/>
      <c r="I17" s="1590">
        <f>SUM(I15:I16)</f>
        <v>670</v>
      </c>
      <c r="J17" s="1591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E17" s="82"/>
    </row>
    <row r="18" spans="2:36" x14ac:dyDescent="0.25"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</row>
    <row r="19" spans="2:36" x14ac:dyDescent="0.25"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J19" s="1561"/>
    </row>
    <row r="20" spans="2:36" x14ac:dyDescent="0.25"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J20" s="1561"/>
    </row>
    <row r="21" spans="2:36" x14ac:dyDescent="0.25"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J21" s="1561"/>
    </row>
    <row r="22" spans="2:36" x14ac:dyDescent="0.25"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J22" s="1561"/>
    </row>
    <row r="23" spans="2:36" x14ac:dyDescent="0.25"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J23" s="1561"/>
    </row>
    <row r="24" spans="2:36" x14ac:dyDescent="0.25"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</row>
    <row r="25" spans="2:36" x14ac:dyDescent="0.2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</row>
    <row r="26" spans="2:36" x14ac:dyDescent="0.2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</row>
    <row r="27" spans="2:36" x14ac:dyDescent="0.25"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</row>
    <row r="28" spans="2:36" x14ac:dyDescent="0.25"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</row>
    <row r="29" spans="2:36" x14ac:dyDescent="0.25">
      <c r="B29"/>
      <c r="C29"/>
      <c r="D29"/>
      <c r="E29"/>
      <c r="F29"/>
      <c r="G29"/>
      <c r="H29"/>
      <c r="I29"/>
      <c r="J29"/>
      <c r="K29" s="1632">
        <v>43101</v>
      </c>
      <c r="L29" s="1632">
        <v>43132</v>
      </c>
      <c r="M29" s="1632">
        <v>43160</v>
      </c>
      <c r="N29" s="1632">
        <v>43191</v>
      </c>
      <c r="O29" s="1632">
        <v>43221</v>
      </c>
      <c r="P29" s="1632">
        <v>43252</v>
      </c>
      <c r="Q29" s="1632">
        <v>43282</v>
      </c>
      <c r="R29" s="1632">
        <v>43313</v>
      </c>
      <c r="S29" s="1632">
        <v>43344</v>
      </c>
      <c r="T29" s="1632">
        <v>43374</v>
      </c>
      <c r="U29" s="1632">
        <v>43405</v>
      </c>
      <c r="V29" s="1632">
        <v>43435</v>
      </c>
      <c r="W29" s="1639" t="s">
        <v>13</v>
      </c>
      <c r="X29"/>
      <c r="Y29"/>
      <c r="Z29"/>
      <c r="AA29"/>
    </row>
    <row r="30" spans="2:36" x14ac:dyDescent="0.25">
      <c r="B30"/>
      <c r="C30"/>
      <c r="D30"/>
      <c r="E30"/>
      <c r="F30" t="s">
        <v>1227</v>
      </c>
      <c r="G30"/>
      <c r="H30"/>
      <c r="I30"/>
      <c r="J30"/>
      <c r="K30" s="1633"/>
      <c r="L30" s="1633"/>
      <c r="M30" s="1633"/>
      <c r="N30" s="1633"/>
      <c r="O30" s="1633"/>
      <c r="P30" s="1633"/>
      <c r="Q30" s="1633"/>
      <c r="R30" s="1633"/>
      <c r="S30" s="1633"/>
      <c r="T30" s="1633"/>
      <c r="U30" s="1633"/>
      <c r="V30" s="1633"/>
      <c r="W30" s="1590">
        <f>SUM(K30:V30)</f>
        <v>0</v>
      </c>
      <c r="X30"/>
      <c r="Y30"/>
      <c r="Z30"/>
      <c r="AA30"/>
    </row>
    <row r="31" spans="2:36" x14ac:dyDescent="0.25">
      <c r="B31"/>
      <c r="C31"/>
      <c r="D31"/>
      <c r="E31"/>
      <c r="F31"/>
      <c r="G31"/>
      <c r="H31"/>
      <c r="I31"/>
      <c r="J31"/>
      <c r="K31" s="1634"/>
      <c r="L31" s="1634"/>
      <c r="M31" s="1634"/>
      <c r="N31" s="1634"/>
      <c r="O31" s="1634"/>
      <c r="P31" s="1634"/>
      <c r="Q31" s="1634"/>
      <c r="R31" s="1634"/>
      <c r="S31" s="1634"/>
      <c r="T31" s="1634"/>
      <c r="U31" s="1634"/>
      <c r="V31" s="1634"/>
      <c r="W31" s="1636">
        <f>SUM(K31:V31)</f>
        <v>0</v>
      </c>
      <c r="X31"/>
      <c r="Y31"/>
      <c r="Z31"/>
      <c r="AA31"/>
    </row>
    <row r="32" spans="2:36" x14ac:dyDescent="0.25">
      <c r="B32"/>
      <c r="C32"/>
      <c r="D32"/>
      <c r="E32"/>
      <c r="F32"/>
      <c r="G32"/>
      <c r="H32"/>
      <c r="I32"/>
      <c r="J32"/>
      <c r="K32" s="1635">
        <f>SUM(K30:K31)</f>
        <v>0</v>
      </c>
      <c r="L32" s="1635">
        <f t="shared" ref="L32:W32" si="2">SUM(L30:L31)</f>
        <v>0</v>
      </c>
      <c r="M32" s="1635">
        <f t="shared" si="2"/>
        <v>0</v>
      </c>
      <c r="N32" s="1635">
        <f t="shared" si="2"/>
        <v>0</v>
      </c>
      <c r="O32" s="1635">
        <f t="shared" si="2"/>
        <v>0</v>
      </c>
      <c r="P32" s="1635">
        <f t="shared" si="2"/>
        <v>0</v>
      </c>
      <c r="Q32" s="1635">
        <f t="shared" si="2"/>
        <v>0</v>
      </c>
      <c r="R32" s="1635">
        <f t="shared" si="2"/>
        <v>0</v>
      </c>
      <c r="S32" s="1635">
        <f t="shared" si="2"/>
        <v>0</v>
      </c>
      <c r="T32" s="1635">
        <f t="shared" si="2"/>
        <v>0</v>
      </c>
      <c r="U32" s="1635">
        <f t="shared" si="2"/>
        <v>0</v>
      </c>
      <c r="V32" s="1635">
        <f t="shared" si="2"/>
        <v>0</v>
      </c>
      <c r="W32" s="1635">
        <f t="shared" si="2"/>
        <v>0</v>
      </c>
      <c r="X32"/>
      <c r="Y32"/>
      <c r="Z32"/>
      <c r="AA32"/>
    </row>
    <row r="33" spans="2:27" x14ac:dyDescent="0.25"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 s="1639" t="s">
        <v>13</v>
      </c>
      <c r="X33"/>
      <c r="Y33"/>
      <c r="Z33"/>
      <c r="AA33"/>
    </row>
    <row r="34" spans="2:27" x14ac:dyDescent="0.25">
      <c r="B34"/>
      <c r="C34"/>
      <c r="D34"/>
      <c r="E34"/>
      <c r="F34" t="s">
        <v>1228</v>
      </c>
      <c r="G34"/>
      <c r="H34"/>
      <c r="I34"/>
      <c r="J34"/>
      <c r="K34" s="1590"/>
      <c r="L34" s="1590"/>
      <c r="M34" s="1590"/>
      <c r="N34" s="1590"/>
      <c r="O34" s="1590"/>
      <c r="P34" s="1590"/>
      <c r="Q34" s="1590"/>
      <c r="R34" s="1590"/>
      <c r="S34" s="1590"/>
      <c r="T34" s="1590"/>
      <c r="U34" s="1637"/>
      <c r="V34" s="1637"/>
      <c r="W34" s="1590">
        <f>SUM(K34:V34)</f>
        <v>0</v>
      </c>
      <c r="X34"/>
      <c r="Y34"/>
      <c r="Z34"/>
      <c r="AA34"/>
    </row>
    <row r="35" spans="2:27" x14ac:dyDescent="0.25">
      <c r="B35"/>
      <c r="C35"/>
      <c r="D35"/>
      <c r="E35"/>
      <c r="F35"/>
      <c r="G35"/>
      <c r="H35"/>
      <c r="I35"/>
      <c r="J35"/>
      <c r="K35" s="1636"/>
      <c r="L35" s="1636"/>
      <c r="M35" s="1636"/>
      <c r="N35" s="1636"/>
      <c r="O35" s="1636"/>
      <c r="P35" s="1636"/>
      <c r="Q35" s="1636"/>
      <c r="R35" s="1636"/>
      <c r="S35" s="1636"/>
      <c r="T35" s="1636"/>
      <c r="U35" s="1638"/>
      <c r="V35" s="1638"/>
      <c r="W35" s="1636">
        <f>SUM(K35:V35)</f>
        <v>0</v>
      </c>
      <c r="X35"/>
      <c r="Y35"/>
      <c r="Z35"/>
      <c r="AA35"/>
    </row>
    <row r="36" spans="2:27" x14ac:dyDescent="0.25">
      <c r="B36"/>
      <c r="C36"/>
      <c r="D36"/>
      <c r="E36"/>
      <c r="F36"/>
      <c r="G36"/>
      <c r="H36"/>
      <c r="I36"/>
      <c r="J36"/>
      <c r="K36" s="1590">
        <f t="shared" ref="K36:T36" si="3">K14</f>
        <v>53</v>
      </c>
      <c r="L36" s="1590">
        <f t="shared" si="3"/>
        <v>54</v>
      </c>
      <c r="M36" s="1590">
        <f t="shared" si="3"/>
        <v>54</v>
      </c>
      <c r="N36" s="1590">
        <f t="shared" si="3"/>
        <v>57</v>
      </c>
      <c r="O36" s="1590">
        <f t="shared" si="3"/>
        <v>56</v>
      </c>
      <c r="P36" s="1590">
        <f t="shared" si="3"/>
        <v>55</v>
      </c>
      <c r="Q36" s="1590">
        <f t="shared" si="3"/>
        <v>57</v>
      </c>
      <c r="R36" s="1590">
        <f t="shared" si="3"/>
        <v>55</v>
      </c>
      <c r="S36" s="1590">
        <f t="shared" si="3"/>
        <v>59</v>
      </c>
      <c r="T36" s="1590">
        <f t="shared" si="3"/>
        <v>58</v>
      </c>
      <c r="U36" s="1590">
        <f>'C3'!I12</f>
        <v>58.189876907367534</v>
      </c>
      <c r="V36" s="1590">
        <f>'C3'!J12</f>
        <v>58.285126164843994</v>
      </c>
      <c r="W36" s="1590">
        <f>SUM(K36:V36)</f>
        <v>674.47500307221151</v>
      </c>
      <c r="X36"/>
      <c r="Y36"/>
      <c r="Z36"/>
      <c r="AA36"/>
    </row>
    <row r="37" spans="2:27" x14ac:dyDescent="0.25"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</row>
    <row r="38" spans="2:27" x14ac:dyDescent="0.25"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</row>
    <row r="39" spans="2:27" x14ac:dyDescent="0.25"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</row>
    <row r="40" spans="2:27" x14ac:dyDescent="0.25"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</row>
    <row r="41" spans="2:27" x14ac:dyDescent="0.25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</row>
    <row r="42" spans="2:27" x14ac:dyDescent="0.25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</row>
    <row r="43" spans="2:27" x14ac:dyDescent="0.25"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</row>
    <row r="44" spans="2:27" x14ac:dyDescent="0.25"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</row>
    <row r="45" spans="2:27" x14ac:dyDescent="0.25"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</row>
    <row r="46" spans="2:27" x14ac:dyDescent="0.25"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</row>
    <row r="47" spans="2:27" ht="14.1" customHeight="1" x14ac:dyDescent="0.25"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</row>
    <row r="48" spans="2:27" x14ac:dyDescent="0.25"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</row>
    <row r="49" spans="2:27" x14ac:dyDescent="0.25"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</row>
    <row r="50" spans="2:27" ht="14.1" customHeight="1" x14ac:dyDescent="0.25"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</row>
    <row r="51" spans="2:27" x14ac:dyDescent="0.25"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</row>
    <row r="52" spans="2:27" s="516" customFormat="1" x14ac:dyDescent="0.25"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</row>
    <row r="53" spans="2:27" x14ac:dyDescent="0.25"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</row>
    <row r="54" spans="2:27" x14ac:dyDescent="0.25"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</row>
    <row r="55" spans="2:27" ht="14.1" customHeight="1" x14ac:dyDescent="0.25"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</row>
    <row r="56" spans="2:27" x14ac:dyDescent="0.25"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</row>
    <row r="57" spans="2:27" x14ac:dyDescent="0.25"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</row>
    <row r="58" spans="2:27" ht="14.1" customHeight="1" x14ac:dyDescent="0.25"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</row>
    <row r="59" spans="2:27" x14ac:dyDescent="0.25"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</row>
    <row r="60" spans="2:27" x14ac:dyDescent="0.25"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</row>
    <row r="61" spans="2:27" x14ac:dyDescent="0.25"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</row>
    <row r="62" spans="2:27" x14ac:dyDescent="0.25"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</row>
    <row r="63" spans="2:27" ht="14.1" customHeight="1" x14ac:dyDescent="0.25"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</row>
    <row r="64" spans="2:27" x14ac:dyDescent="0.25"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</row>
    <row r="65" spans="2:27" x14ac:dyDescent="0.25"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</row>
    <row r="66" spans="2:27" ht="14.1" customHeight="1" x14ac:dyDescent="0.25"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</row>
    <row r="67" spans="2:27" x14ac:dyDescent="0.25"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</row>
    <row r="68" spans="2:27" x14ac:dyDescent="0.25"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</row>
    <row r="69" spans="2:27" x14ac:dyDescent="0.25"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</row>
    <row r="70" spans="2:27" x14ac:dyDescent="0.25"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</row>
    <row r="71" spans="2:27" ht="14.1" customHeight="1" x14ac:dyDescent="0.25"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</row>
    <row r="72" spans="2:27" ht="14.1" customHeight="1" x14ac:dyDescent="0.25"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</row>
    <row r="73" spans="2:27" x14ac:dyDescent="0.25"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</row>
    <row r="74" spans="2:27" ht="14.1" customHeight="1" x14ac:dyDescent="0.25"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</row>
    <row r="75" spans="2:27" x14ac:dyDescent="0.25"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</row>
    <row r="76" spans="2:27" x14ac:dyDescent="0.25"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</row>
    <row r="77" spans="2:27" x14ac:dyDescent="0.25"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</row>
    <row r="78" spans="2:27" x14ac:dyDescent="0.25"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</row>
    <row r="79" spans="2:27" x14ac:dyDescent="0.25"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</row>
    <row r="80" spans="2:27" x14ac:dyDescent="0.25"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</row>
    <row r="81" spans="2:27" x14ac:dyDescent="0.25"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</row>
    <row r="82" spans="2:27" x14ac:dyDescent="0.25"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</row>
    <row r="83" spans="2:27" x14ac:dyDescent="0.25"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</row>
    <row r="84" spans="2:27" x14ac:dyDescent="0.25"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</row>
    <row r="85" spans="2:27" x14ac:dyDescent="0.25"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</row>
    <row r="86" spans="2:27" x14ac:dyDescent="0.25"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</row>
    <row r="87" spans="2:27" x14ac:dyDescent="0.25"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</row>
    <row r="88" spans="2:27" x14ac:dyDescent="0.25"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</row>
    <row r="89" spans="2:27" x14ac:dyDescent="0.25"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</row>
    <row r="90" spans="2:27" x14ac:dyDescent="0.25"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</row>
    <row r="91" spans="2:27" x14ac:dyDescent="0.25"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</row>
    <row r="92" spans="2:27" x14ac:dyDescent="0.25"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</row>
    <row r="93" spans="2:27" x14ac:dyDescent="0.25"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</row>
  </sheetData>
  <mergeCells count="1">
    <mergeCell ref="D12:D13"/>
  </mergeCells>
  <conditionalFormatting sqref="AB14:AE15">
    <cfRule type="expression" dxfId="15" priority="15">
      <formula>$H14=0</formula>
    </cfRule>
    <cfRule type="expression" dxfId="14" priority="16">
      <formula>$H14=0</formula>
    </cfRule>
  </conditionalFormatting>
  <conditionalFormatting sqref="AE14">
    <cfRule type="expression" dxfId="13" priority="13">
      <formula>$H14=0</formula>
    </cfRule>
    <cfRule type="expression" dxfId="12" priority="14">
      <formula>$H14=0</formula>
    </cfRule>
  </conditionalFormatting>
  <conditionalFormatting sqref="AB15:AD15">
    <cfRule type="expression" dxfId="11" priority="11">
      <formula>$H15=0</formula>
    </cfRule>
    <cfRule type="expression" dxfId="10" priority="12">
      <formula>$H15=0</formula>
    </cfRule>
  </conditionalFormatting>
  <conditionalFormatting sqref="AE15">
    <cfRule type="expression" dxfId="9" priority="9">
      <formula>$H15=0</formula>
    </cfRule>
    <cfRule type="expression" dxfId="8" priority="10">
      <formula>$H15=0</formula>
    </cfRule>
  </conditionalFormatting>
  <conditionalFormatting sqref="AB14:AM15">
    <cfRule type="expression" dxfId="7" priority="7">
      <formula>$H14=0</formula>
    </cfRule>
    <cfRule type="expression" dxfId="6" priority="8">
      <formula>$H14=0</formula>
    </cfRule>
  </conditionalFormatting>
  <conditionalFormatting sqref="AN14:BB15">
    <cfRule type="expression" dxfId="5" priority="5">
      <formula>$H14=0</formula>
    </cfRule>
    <cfRule type="expression" dxfId="4" priority="6">
      <formula>$H14=0</formula>
    </cfRule>
  </conditionalFormatting>
  <conditionalFormatting sqref="I12:T13">
    <cfRule type="expression" dxfId="3" priority="3">
      <formula>$H12=0</formula>
    </cfRule>
    <cfRule type="expression" dxfId="2" priority="4">
      <formula>$H12=0</formula>
    </cfRule>
  </conditionalFormatting>
  <conditionalFormatting sqref="K30:V31">
    <cfRule type="expression" dxfId="1" priority="1">
      <formula>$H30=0</formula>
    </cfRule>
    <cfRule type="expression" dxfId="0" priority="2">
      <formula>$H30=0</formula>
    </cfRule>
  </conditionalFormatting>
  <printOptions horizontalCentered="1"/>
  <pageMargins left="0.7" right="0.7" top="0.75" bottom="0.75" header="0.3" footer="0.3"/>
  <pageSetup scale="65" orientation="portrait" r:id="rId1"/>
  <drawing r:id="rId2"/>
</worksheet>
</file>

<file path=xl/worksheets/sheet6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AC89"/>
  <sheetViews>
    <sheetView showGridLines="0" topLeftCell="E41" zoomScale="70" zoomScaleNormal="70" workbookViewId="0">
      <selection activeCell="N50" sqref="N50:N51"/>
    </sheetView>
  </sheetViews>
  <sheetFormatPr defaultRowHeight="14.25" outlineLevelRow="1" outlineLevelCol="1" x14ac:dyDescent="0.2"/>
  <cols>
    <col min="1" max="1" width="14.140625" style="1426" customWidth="1" outlineLevel="1"/>
    <col min="2" max="2" width="16" style="1426" customWidth="1" outlineLevel="1"/>
    <col min="3" max="3" width="5.85546875" style="1426" customWidth="1" outlineLevel="1"/>
    <col min="4" max="5" width="8.5703125" style="1426" customWidth="1" outlineLevel="1"/>
    <col min="6" max="6" width="16.5703125" style="1426" customWidth="1" outlineLevel="1"/>
    <col min="7" max="7" width="14.85546875" style="1426" customWidth="1" outlineLevel="1"/>
    <col min="8" max="8" width="20.85546875" style="1426" customWidth="1" outlineLevel="1"/>
    <col min="9" max="9" width="31" style="1426" customWidth="1" outlineLevel="1"/>
    <col min="10" max="10" width="1.7109375" style="1426" customWidth="1"/>
    <col min="11" max="11" width="43.42578125" style="1426" customWidth="1"/>
    <col min="12" max="12" width="1.28515625" style="1426" customWidth="1"/>
    <col min="13" max="20" width="17" style="1426" customWidth="1"/>
    <col min="21" max="21" width="1.7109375" style="1426" customWidth="1"/>
    <col min="22" max="22" width="14" style="1426" customWidth="1"/>
    <col min="23" max="29" width="13.5703125" style="1426" customWidth="1"/>
    <col min="30" max="16384" width="9.140625" style="1426"/>
  </cols>
  <sheetData>
    <row r="1" spans="1:11" ht="14.25" customHeight="1" outlineLevel="1" x14ac:dyDescent="0.2">
      <c r="A1" s="1426" t="s">
        <v>1130</v>
      </c>
      <c r="B1" s="1426" t="s">
        <v>615</v>
      </c>
      <c r="D1" s="1427">
        <v>2009</v>
      </c>
      <c r="E1" s="1427" t="s">
        <v>620</v>
      </c>
      <c r="F1" s="1427" t="s">
        <v>635</v>
      </c>
      <c r="G1" s="1428" t="s">
        <v>1131</v>
      </c>
      <c r="H1" s="1429" t="s">
        <v>1132</v>
      </c>
    </row>
    <row r="2" spans="1:11" ht="14.25" customHeight="1" outlineLevel="1" x14ac:dyDescent="0.2">
      <c r="A2" s="1430" t="s">
        <v>628</v>
      </c>
      <c r="B2" s="1426" t="s">
        <v>1133</v>
      </c>
      <c r="D2" s="1427">
        <v>2010</v>
      </c>
      <c r="E2" s="1427" t="s">
        <v>631</v>
      </c>
      <c r="F2" s="1427" t="s">
        <v>625</v>
      </c>
      <c r="G2" s="1428" t="s">
        <v>1134</v>
      </c>
      <c r="H2" s="1429" t="s">
        <v>1135</v>
      </c>
    </row>
    <row r="3" spans="1:11" ht="14.25" customHeight="1" outlineLevel="1" x14ac:dyDescent="0.2">
      <c r="A3" s="1430" t="s">
        <v>637</v>
      </c>
      <c r="B3" s="1426" t="s">
        <v>619</v>
      </c>
      <c r="D3" s="1427">
        <v>2011</v>
      </c>
      <c r="E3" s="1427" t="s">
        <v>641</v>
      </c>
      <c r="F3" s="1427" t="s">
        <v>1133</v>
      </c>
      <c r="G3" s="1428" t="s">
        <v>1136</v>
      </c>
      <c r="H3" s="1429" t="s">
        <v>877</v>
      </c>
    </row>
    <row r="4" spans="1:11" ht="14.25" customHeight="1" outlineLevel="1" x14ac:dyDescent="0.2">
      <c r="A4" s="1430" t="s">
        <v>657</v>
      </c>
      <c r="B4" s="1426" t="s">
        <v>630</v>
      </c>
      <c r="D4" s="1431">
        <v>2012</v>
      </c>
      <c r="E4" s="1427" t="s">
        <v>1137</v>
      </c>
      <c r="F4" s="1431"/>
      <c r="G4" s="1428" t="s">
        <v>1138</v>
      </c>
      <c r="H4" s="1429" t="s">
        <v>709</v>
      </c>
    </row>
    <row r="5" spans="1:11" ht="14.25" customHeight="1" outlineLevel="1" x14ac:dyDescent="0.2">
      <c r="D5" s="1431">
        <v>2013</v>
      </c>
      <c r="E5" s="1427" t="s">
        <v>651</v>
      </c>
      <c r="F5" s="1431"/>
      <c r="G5" s="1428" t="s">
        <v>1139</v>
      </c>
      <c r="H5" s="1429"/>
      <c r="K5" s="1426" t="s">
        <v>872</v>
      </c>
    </row>
    <row r="6" spans="1:11" ht="14.25" customHeight="1" outlineLevel="1" x14ac:dyDescent="0.2">
      <c r="A6" s="1430" t="s">
        <v>672</v>
      </c>
      <c r="B6" s="1426" t="s">
        <v>659</v>
      </c>
      <c r="D6" s="1431">
        <v>2014</v>
      </c>
      <c r="E6" s="1427" t="s">
        <v>660</v>
      </c>
      <c r="F6" s="1431"/>
      <c r="G6" s="1432" t="s">
        <v>1140</v>
      </c>
      <c r="H6" s="1433"/>
      <c r="I6" s="1429"/>
    </row>
    <row r="7" spans="1:11" ht="14.25" customHeight="1" outlineLevel="1" x14ac:dyDescent="0.2">
      <c r="A7" s="1430" t="s">
        <v>648</v>
      </c>
      <c r="B7" s="1426" t="s">
        <v>1141</v>
      </c>
      <c r="D7" s="1431">
        <v>2015</v>
      </c>
      <c r="E7" s="1427" t="s">
        <v>667</v>
      </c>
      <c r="F7" s="1431"/>
      <c r="G7" s="1432" t="s">
        <v>1142</v>
      </c>
      <c r="H7" s="1433"/>
    </row>
    <row r="8" spans="1:11" ht="14.25" customHeight="1" outlineLevel="1" x14ac:dyDescent="0.2">
      <c r="A8" s="1430" t="s">
        <v>638</v>
      </c>
      <c r="B8" s="1426" t="s">
        <v>194</v>
      </c>
      <c r="D8" s="1431">
        <v>2016</v>
      </c>
      <c r="E8" s="1427" t="s">
        <v>1143</v>
      </c>
      <c r="F8" s="1431"/>
      <c r="G8" s="1432" t="s">
        <v>1144</v>
      </c>
      <c r="H8" s="1433"/>
    </row>
    <row r="9" spans="1:11" ht="14.25" customHeight="1" outlineLevel="1" x14ac:dyDescent="0.2">
      <c r="A9" s="1430" t="s">
        <v>1145</v>
      </c>
      <c r="D9" s="1431">
        <v>2017</v>
      </c>
      <c r="E9" s="1427" t="s">
        <v>675</v>
      </c>
      <c r="F9" s="1431"/>
      <c r="G9" s="1432" t="s">
        <v>1146</v>
      </c>
      <c r="H9" s="1433"/>
    </row>
    <row r="10" spans="1:11" ht="14.25" customHeight="1" outlineLevel="1" x14ac:dyDescent="0.2">
      <c r="A10" s="1430"/>
      <c r="B10" s="1426" t="s">
        <v>1147</v>
      </c>
      <c r="D10" s="1431">
        <v>2018</v>
      </c>
      <c r="E10" s="1427" t="s">
        <v>681</v>
      </c>
      <c r="F10" s="1431"/>
      <c r="G10" s="1432">
        <v>100</v>
      </c>
      <c r="H10" s="1431"/>
    </row>
    <row r="11" spans="1:11" ht="14.25" customHeight="1" outlineLevel="1" x14ac:dyDescent="0.2">
      <c r="A11" s="1430"/>
      <c r="D11" s="1431"/>
      <c r="E11" s="1427" t="s">
        <v>685</v>
      </c>
      <c r="F11" s="1431"/>
      <c r="G11" s="1432" t="s">
        <v>676</v>
      </c>
      <c r="H11" s="1429"/>
    </row>
    <row r="12" spans="1:11" ht="14.25" customHeight="1" outlineLevel="1" x14ac:dyDescent="0.2">
      <c r="A12" s="1430"/>
      <c r="D12" s="1431"/>
      <c r="E12" s="1427" t="s">
        <v>1148</v>
      </c>
      <c r="F12" s="1431"/>
      <c r="H12" s="1431"/>
    </row>
    <row r="13" spans="1:11" ht="14.25" customHeight="1" outlineLevel="1" x14ac:dyDescent="0.2">
      <c r="A13" s="1430"/>
      <c r="D13" s="1431"/>
      <c r="E13" s="1427" t="s">
        <v>689</v>
      </c>
      <c r="F13" s="1431"/>
      <c r="G13" s="1431"/>
      <c r="H13" s="1431"/>
    </row>
    <row r="14" spans="1:11" ht="14.25" customHeight="1" outlineLevel="1" x14ac:dyDescent="0.25">
      <c r="A14" s="1434" t="s">
        <v>1149</v>
      </c>
      <c r="D14" s="1431"/>
      <c r="E14" s="1427" t="s">
        <v>692</v>
      </c>
      <c r="F14" s="1431"/>
      <c r="G14" s="1429" t="s">
        <v>115</v>
      </c>
      <c r="H14" s="1431"/>
    </row>
    <row r="15" spans="1:11" ht="14.25" customHeight="1" outlineLevel="1" x14ac:dyDescent="0.25">
      <c r="A15" s="1434" t="s">
        <v>616</v>
      </c>
      <c r="D15" s="1431"/>
      <c r="E15" s="1427" t="s">
        <v>695</v>
      </c>
      <c r="F15" s="1431"/>
      <c r="G15" s="1435" t="s">
        <v>1150</v>
      </c>
      <c r="H15" s="1431"/>
    </row>
    <row r="16" spans="1:11" ht="14.25" customHeight="1" outlineLevel="1" x14ac:dyDescent="0.2">
      <c r="A16" s="1436" t="s">
        <v>628</v>
      </c>
      <c r="B16" s="1437"/>
      <c r="D16" s="1431"/>
      <c r="E16" s="1427" t="s">
        <v>1151</v>
      </c>
      <c r="F16" s="1431"/>
      <c r="G16" s="1431"/>
      <c r="H16" s="1431"/>
    </row>
    <row r="17" spans="1:8" ht="14.25" customHeight="1" outlineLevel="1" x14ac:dyDescent="0.2">
      <c r="A17" s="1436" t="s">
        <v>637</v>
      </c>
      <c r="B17" s="1437" t="s">
        <v>619</v>
      </c>
      <c r="D17" s="1431"/>
      <c r="E17" s="1427" t="s">
        <v>698</v>
      </c>
      <c r="F17" s="1431"/>
      <c r="G17" s="1431"/>
      <c r="H17" s="1431"/>
    </row>
    <row r="18" spans="1:8" ht="14.25" customHeight="1" outlineLevel="1" x14ac:dyDescent="0.2">
      <c r="A18" s="1436" t="s">
        <v>647</v>
      </c>
      <c r="B18" s="1437" t="s">
        <v>1152</v>
      </c>
      <c r="D18" s="1431"/>
      <c r="E18" s="1427" t="s">
        <v>701</v>
      </c>
      <c r="F18" s="1431"/>
      <c r="G18" s="1438" t="s">
        <v>633</v>
      </c>
      <c r="H18" s="1431"/>
    </row>
    <row r="19" spans="1:8" ht="14.25" customHeight="1" outlineLevel="1" x14ac:dyDescent="0.2">
      <c r="A19" s="1436" t="s">
        <v>658</v>
      </c>
      <c r="B19" s="1437"/>
      <c r="D19" s="1431"/>
      <c r="E19" s="1427" t="s">
        <v>705</v>
      </c>
      <c r="F19" s="1431"/>
      <c r="G19" s="1438" t="s">
        <v>643</v>
      </c>
      <c r="H19" s="1431"/>
    </row>
    <row r="20" spans="1:8" ht="14.25" customHeight="1" outlineLevel="1" x14ac:dyDescent="0.2">
      <c r="A20" s="1436" t="s">
        <v>665</v>
      </c>
      <c r="B20" s="1437" t="s">
        <v>640</v>
      </c>
      <c r="D20" s="1431"/>
      <c r="E20" s="1427" t="s">
        <v>708</v>
      </c>
      <c r="F20" s="1431"/>
      <c r="G20" s="1438" t="s">
        <v>653</v>
      </c>
      <c r="H20" s="1431"/>
    </row>
    <row r="21" spans="1:8" ht="14.25" customHeight="1" outlineLevel="1" x14ac:dyDescent="0.2">
      <c r="A21" s="1436" t="s">
        <v>673</v>
      </c>
      <c r="B21" s="1437" t="s">
        <v>143</v>
      </c>
      <c r="D21" s="1431"/>
      <c r="E21" s="1427" t="s">
        <v>710</v>
      </c>
      <c r="F21" s="1431"/>
      <c r="G21" s="1438" t="s">
        <v>662</v>
      </c>
      <c r="H21" s="1431"/>
    </row>
    <row r="22" spans="1:8" ht="14.25" customHeight="1" outlineLevel="1" x14ac:dyDescent="0.2">
      <c r="A22" s="1436" t="s">
        <v>648</v>
      </c>
      <c r="B22" s="1437"/>
      <c r="D22" s="1431"/>
      <c r="E22" s="1427" t="s">
        <v>713</v>
      </c>
      <c r="F22" s="1431"/>
      <c r="G22" s="1438" t="s">
        <v>669</v>
      </c>
      <c r="H22" s="1431"/>
    </row>
    <row r="23" spans="1:8" ht="14.25" customHeight="1" outlineLevel="1" x14ac:dyDescent="0.2">
      <c r="A23" s="1436" t="s">
        <v>638</v>
      </c>
      <c r="B23" s="1437"/>
      <c r="D23" s="1431"/>
      <c r="E23" s="1427" t="s">
        <v>716</v>
      </c>
      <c r="F23" s="1431"/>
      <c r="G23" s="1438" t="s">
        <v>677</v>
      </c>
      <c r="H23" s="1431"/>
    </row>
    <row r="24" spans="1:8" ht="14.25" customHeight="1" outlineLevel="1" x14ac:dyDescent="0.2">
      <c r="A24" s="1436" t="s">
        <v>687</v>
      </c>
      <c r="B24" s="1437" t="s">
        <v>1153</v>
      </c>
      <c r="D24" s="1431"/>
      <c r="E24" s="1427" t="s">
        <v>720</v>
      </c>
      <c r="F24" s="1431"/>
      <c r="G24" s="1438" t="s">
        <v>682</v>
      </c>
      <c r="H24" s="1431"/>
    </row>
    <row r="25" spans="1:8" ht="14.25" customHeight="1" outlineLevel="1" x14ac:dyDescent="0.2">
      <c r="A25" s="1430"/>
      <c r="D25" s="1431"/>
      <c r="E25" s="1427" t="s">
        <v>723</v>
      </c>
      <c r="F25" s="1431"/>
      <c r="G25" s="1438" t="s">
        <v>686</v>
      </c>
      <c r="H25" s="1431"/>
    </row>
    <row r="26" spans="1:8" ht="14.25" customHeight="1" outlineLevel="1" x14ac:dyDescent="0.2">
      <c r="A26" s="1430"/>
      <c r="B26" s="1439" t="s">
        <v>1154</v>
      </c>
      <c r="D26" s="1431"/>
      <c r="E26" s="1427" t="s">
        <v>725</v>
      </c>
      <c r="F26" s="1431"/>
      <c r="G26" s="1438" t="s">
        <v>690</v>
      </c>
      <c r="H26" s="1431"/>
    </row>
    <row r="27" spans="1:8" ht="14.25" customHeight="1" outlineLevel="1" x14ac:dyDescent="0.2">
      <c r="A27" s="1430"/>
      <c r="D27" s="1431"/>
      <c r="E27" s="1427" t="s">
        <v>727</v>
      </c>
      <c r="F27" s="1431"/>
      <c r="G27" s="1438" t="s">
        <v>693</v>
      </c>
      <c r="H27" s="1431"/>
    </row>
    <row r="28" spans="1:8" ht="14.25" customHeight="1" outlineLevel="1" x14ac:dyDescent="0.2">
      <c r="A28" s="1430"/>
      <c r="D28" s="1431"/>
      <c r="E28" s="1427" t="s">
        <v>729</v>
      </c>
      <c r="F28" s="1431"/>
      <c r="G28" s="1438" t="s">
        <v>696</v>
      </c>
      <c r="H28" s="1431"/>
    </row>
    <row r="29" spans="1:8" ht="14.25" customHeight="1" outlineLevel="1" x14ac:dyDescent="0.2">
      <c r="A29" s="1430"/>
      <c r="D29" s="1431"/>
      <c r="E29" s="1427" t="s">
        <v>194</v>
      </c>
      <c r="F29" s="1431"/>
      <c r="G29" s="1431">
        <v>95130</v>
      </c>
      <c r="H29" s="1431"/>
    </row>
    <row r="30" spans="1:8" ht="14.25" customHeight="1" outlineLevel="1" x14ac:dyDescent="0.2">
      <c r="A30" s="1430"/>
      <c r="D30" s="1431"/>
      <c r="F30" s="1431"/>
      <c r="G30" s="1431"/>
      <c r="H30" s="1431"/>
    </row>
    <row r="31" spans="1:8" ht="14.25" customHeight="1" outlineLevel="1" x14ac:dyDescent="0.2">
      <c r="A31" s="1430"/>
      <c r="D31" s="1431"/>
      <c r="F31" s="1431"/>
      <c r="G31" s="1431"/>
      <c r="H31" s="1431"/>
    </row>
    <row r="32" spans="1:8" ht="14.25" customHeight="1" outlineLevel="1" x14ac:dyDescent="0.2">
      <c r="A32" s="1430"/>
      <c r="D32" s="1431"/>
      <c r="F32" s="1431"/>
      <c r="G32" s="1431"/>
      <c r="H32" s="1431"/>
    </row>
    <row r="33" spans="1:29" ht="14.25" customHeight="1" outlineLevel="1" x14ac:dyDescent="0.2">
      <c r="A33" s="1430"/>
      <c r="D33" s="1431"/>
      <c r="F33" s="1431"/>
      <c r="G33" s="1431"/>
      <c r="H33" s="1431"/>
    </row>
    <row r="34" spans="1:29" ht="14.25" customHeight="1" outlineLevel="1" x14ac:dyDescent="0.2">
      <c r="A34" s="1430"/>
      <c r="D34" s="1431"/>
      <c r="E34" s="1440" t="s">
        <v>115</v>
      </c>
      <c r="F34" s="1431"/>
      <c r="G34" s="1431"/>
      <c r="H34" s="1431"/>
    </row>
    <row r="35" spans="1:29" ht="14.25" customHeight="1" outlineLevel="1" x14ac:dyDescent="0.2">
      <c r="A35" s="1430"/>
      <c r="D35" s="1431"/>
      <c r="E35" s="1446"/>
      <c r="F35" s="1431"/>
      <c r="G35" s="1431"/>
      <c r="H35" s="1431"/>
    </row>
    <row r="36" spans="1:29" x14ac:dyDescent="0.2">
      <c r="A36" s="1430"/>
    </row>
    <row r="37" spans="1:29" ht="20.25" customHeight="1" x14ac:dyDescent="0.2">
      <c r="K37" s="1499" t="s">
        <v>787</v>
      </c>
      <c r="M37" s="1621">
        <f t="shared" ref="M37:S37" si="0">M46/N46-1</f>
        <v>0</v>
      </c>
      <c r="N37" s="1621">
        <f t="shared" si="0"/>
        <v>0.11538461538461542</v>
      </c>
      <c r="O37" s="1621">
        <f t="shared" si="0"/>
        <v>-1.8867924528301883E-2</v>
      </c>
      <c r="P37" s="1621">
        <f t="shared" si="0"/>
        <v>0.17777777777777781</v>
      </c>
      <c r="Q37" s="1621">
        <f t="shared" si="0"/>
        <v>7.1428571428571397E-2</v>
      </c>
      <c r="R37" s="1621">
        <f t="shared" si="0"/>
        <v>-0.1063829787234043</v>
      </c>
      <c r="S37" s="1621">
        <f t="shared" si="0"/>
        <v>0.20512820512820507</v>
      </c>
      <c r="T37" s="1621"/>
    </row>
    <row r="38" spans="1:29" ht="24.75" customHeight="1" x14ac:dyDescent="0.2">
      <c r="K38" s="1499" t="s">
        <v>958</v>
      </c>
      <c r="M38" s="1500" t="s">
        <v>1155</v>
      </c>
      <c r="N38" s="1500"/>
      <c r="O38" s="1501"/>
      <c r="P38" s="1501"/>
      <c r="Q38" s="1501"/>
      <c r="R38" s="1501"/>
      <c r="S38" s="1501"/>
      <c r="T38" s="1502"/>
      <c r="V38" s="1500" t="s">
        <v>1156</v>
      </c>
      <c r="W38" s="1501"/>
      <c r="X38" s="1501"/>
      <c r="Y38" s="1501"/>
      <c r="Z38" s="1501"/>
      <c r="AA38" s="1501"/>
      <c r="AB38" s="1501"/>
      <c r="AC38" s="1502"/>
    </row>
    <row r="39" spans="1:29" ht="8.25" customHeight="1" x14ac:dyDescent="0.2">
      <c r="K39" s="1441"/>
      <c r="M39" s="1504"/>
      <c r="N39" s="1504"/>
      <c r="O39" s="1503"/>
      <c r="P39" s="1503"/>
      <c r="Q39" s="1503"/>
      <c r="R39" s="1503"/>
      <c r="S39" s="1503"/>
      <c r="T39" s="1503"/>
      <c r="V39" s="1504"/>
      <c r="W39" s="1503"/>
      <c r="X39" s="1503"/>
      <c r="Y39" s="1503"/>
      <c r="Z39" s="1503"/>
      <c r="AA39" s="1503"/>
      <c r="AB39" s="1503"/>
      <c r="AC39" s="1503"/>
    </row>
    <row r="40" spans="1:29" ht="19.5" customHeight="1" x14ac:dyDescent="0.2">
      <c r="K40" s="1442"/>
      <c r="L40" s="1442"/>
      <c r="M40" s="1505" t="s">
        <v>625</v>
      </c>
      <c r="N40" s="1505" t="s">
        <v>625</v>
      </c>
      <c r="O40" s="1505" t="s">
        <v>625</v>
      </c>
      <c r="P40" s="1505" t="s">
        <v>625</v>
      </c>
      <c r="Q40" s="1505" t="s">
        <v>625</v>
      </c>
      <c r="R40" s="1505" t="s">
        <v>625</v>
      </c>
      <c r="S40" s="1505" t="s">
        <v>625</v>
      </c>
      <c r="T40" s="1506" t="s">
        <v>625</v>
      </c>
      <c r="V40" s="1505" t="s">
        <v>625</v>
      </c>
      <c r="W40" s="1505" t="s">
        <v>625</v>
      </c>
      <c r="X40" s="1505" t="s">
        <v>625</v>
      </c>
      <c r="Y40" s="1505" t="s">
        <v>625</v>
      </c>
      <c r="Z40" s="1505" t="s">
        <v>625</v>
      </c>
      <c r="AA40" s="1505" t="s">
        <v>625</v>
      </c>
      <c r="AB40" s="1505" t="s">
        <v>625</v>
      </c>
      <c r="AC40" s="1506" t="s">
        <v>625</v>
      </c>
    </row>
    <row r="41" spans="1:29" s="1443" customFormat="1" ht="19.5" customHeight="1" x14ac:dyDescent="0.2">
      <c r="K41" s="1444"/>
      <c r="L41" s="1444"/>
      <c r="M41" s="1505">
        <v>2018</v>
      </c>
      <c r="N41" s="1505">
        <v>2017</v>
      </c>
      <c r="O41" s="1505">
        <v>2016</v>
      </c>
      <c r="P41" s="1505">
        <v>2015</v>
      </c>
      <c r="Q41" s="1505">
        <v>2014</v>
      </c>
      <c r="R41" s="1505">
        <v>2013</v>
      </c>
      <c r="S41" s="1505">
        <v>2012</v>
      </c>
      <c r="T41" s="1506">
        <v>2011</v>
      </c>
      <c r="U41" s="1426"/>
      <c r="V41" s="1505">
        <v>2018</v>
      </c>
      <c r="W41" s="1505">
        <v>2017</v>
      </c>
      <c r="X41" s="1505">
        <v>2016</v>
      </c>
      <c r="Y41" s="1505">
        <v>2015</v>
      </c>
      <c r="Z41" s="1505">
        <v>2014</v>
      </c>
      <c r="AA41" s="1505">
        <v>2013</v>
      </c>
      <c r="AB41" s="1505">
        <v>2012</v>
      </c>
      <c r="AC41" s="1506">
        <v>2011</v>
      </c>
    </row>
    <row r="42" spans="1:29" ht="19.5" customHeight="1" x14ac:dyDescent="0.2">
      <c r="M42" s="1505" t="s">
        <v>729</v>
      </c>
      <c r="N42" s="1505" t="s">
        <v>729</v>
      </c>
      <c r="O42" s="1505" t="s">
        <v>729</v>
      </c>
      <c r="P42" s="1505" t="s">
        <v>729</v>
      </c>
      <c r="Q42" s="1505" t="s">
        <v>729</v>
      </c>
      <c r="R42" s="1505" t="s">
        <v>729</v>
      </c>
      <c r="S42" s="1505" t="s">
        <v>729</v>
      </c>
      <c r="T42" s="1506" t="s">
        <v>729</v>
      </c>
      <c r="V42" s="1505" t="s">
        <v>729</v>
      </c>
      <c r="W42" s="1505" t="s">
        <v>729</v>
      </c>
      <c r="X42" s="1505" t="s">
        <v>729</v>
      </c>
      <c r="Y42" s="1505" t="s">
        <v>729</v>
      </c>
      <c r="Z42" s="1505" t="s">
        <v>729</v>
      </c>
      <c r="AA42" s="1505" t="s">
        <v>729</v>
      </c>
      <c r="AB42" s="1505" t="s">
        <v>729</v>
      </c>
      <c r="AC42" s="1506" t="s">
        <v>729</v>
      </c>
    </row>
    <row r="43" spans="1:29" ht="7.5" customHeight="1" x14ac:dyDescent="0.2">
      <c r="M43" s="1445"/>
      <c r="N43" s="1445"/>
      <c r="O43" s="1445"/>
      <c r="P43" s="1445"/>
      <c r="Q43" s="1445"/>
      <c r="R43" s="1445"/>
      <c r="S43" s="1445"/>
      <c r="T43" s="1445"/>
      <c r="V43" s="1445"/>
      <c r="W43" s="1445"/>
      <c r="X43" s="1445"/>
      <c r="Y43" s="1445"/>
      <c r="Z43" s="1445"/>
      <c r="AA43" s="1445"/>
      <c r="AB43" s="1445"/>
      <c r="AC43" s="1445"/>
    </row>
    <row r="44" spans="1:29" s="1430" customFormat="1" ht="18" customHeight="1" x14ac:dyDescent="0.2">
      <c r="K44" s="1507" t="s">
        <v>1157</v>
      </c>
      <c r="L44" s="1508"/>
      <c r="M44" s="1476">
        <v>3312613.49</v>
      </c>
      <c r="N44" s="1476">
        <v>2998590.3899999997</v>
      </c>
      <c r="O44" s="1477">
        <v>3126206.8000000003</v>
      </c>
      <c r="P44" s="1477">
        <v>2590086.3100000005</v>
      </c>
      <c r="Q44" s="1477">
        <v>2402042.5999999996</v>
      </c>
      <c r="R44" s="1477">
        <v>2570179.3500000006</v>
      </c>
      <c r="S44" s="1477">
        <v>2548530.2799999998</v>
      </c>
      <c r="T44" s="1478">
        <v>2026630.2500000002</v>
      </c>
      <c r="U44" s="1426"/>
      <c r="V44" s="1479">
        <v>385.21321067845048</v>
      </c>
      <c r="W44" s="1480">
        <v>349.77142073953104</v>
      </c>
      <c r="X44" s="1480">
        <v>373.95457201934425</v>
      </c>
      <c r="Y44" s="1480">
        <v>362.30774489428893</v>
      </c>
      <c r="Z44" s="1480">
        <v>346.00169149724252</v>
      </c>
      <c r="AA44" s="1480">
        <v>375.60032254697296</v>
      </c>
      <c r="AB44" s="1480">
        <v>384.39370739064856</v>
      </c>
      <c r="AC44" s="1481">
        <v>402.93148574187683</v>
      </c>
    </row>
    <row r="45" spans="1:29" s="1430" customFormat="1" ht="18" customHeight="1" x14ac:dyDescent="0.2">
      <c r="K45" s="1509" t="s">
        <v>1186</v>
      </c>
      <c r="L45" s="1510"/>
      <c r="M45" s="1482">
        <v>8599.4285714285706</v>
      </c>
      <c r="N45" s="1482">
        <v>8573</v>
      </c>
      <c r="O45" s="1483">
        <v>8359.8571428571413</v>
      </c>
      <c r="P45" s="1483">
        <v>7148.8571428571413</v>
      </c>
      <c r="Q45" s="1483">
        <v>6942.2857142857138</v>
      </c>
      <c r="R45" s="1483">
        <v>6842.8571428571422</v>
      </c>
      <c r="S45" s="1483">
        <v>6630</v>
      </c>
      <c r="T45" s="1484">
        <v>5029.7142857142862</v>
      </c>
      <c r="U45" s="1426"/>
      <c r="V45" s="1482">
        <v>8599.4285714285706</v>
      </c>
      <c r="W45" s="1483">
        <v>8573</v>
      </c>
      <c r="X45" s="1483">
        <v>8359.8571428571413</v>
      </c>
      <c r="Y45" s="1483">
        <v>7148.8571428571413</v>
      </c>
      <c r="Z45" s="1483">
        <v>6942.2857142857138</v>
      </c>
      <c r="AA45" s="1483">
        <v>6842.8571428571422</v>
      </c>
      <c r="AB45" s="1483">
        <v>6630</v>
      </c>
      <c r="AC45" s="1484">
        <v>5029.7142857142862</v>
      </c>
    </row>
    <row r="46" spans="1:29" s="1430" customFormat="1" ht="18" customHeight="1" x14ac:dyDescent="0.2">
      <c r="K46" s="1511" t="s">
        <v>1158</v>
      </c>
      <c r="L46" s="1512"/>
      <c r="M46" s="1485">
        <v>58</v>
      </c>
      <c r="N46" s="1485">
        <v>58</v>
      </c>
      <c r="O46" s="1486">
        <v>52</v>
      </c>
      <c r="P46" s="1486">
        <v>53</v>
      </c>
      <c r="Q46" s="1486">
        <v>45</v>
      </c>
      <c r="R46" s="1486">
        <v>42</v>
      </c>
      <c r="S46" s="1486">
        <v>47</v>
      </c>
      <c r="T46" s="1487">
        <v>39</v>
      </c>
      <c r="U46" s="1426"/>
      <c r="V46" s="1485">
        <v>58</v>
      </c>
      <c r="W46" s="1486">
        <v>58</v>
      </c>
      <c r="X46" s="1486">
        <v>52</v>
      </c>
      <c r="Y46" s="1486">
        <v>53</v>
      </c>
      <c r="Z46" s="1486">
        <v>45</v>
      </c>
      <c r="AA46" s="1486">
        <v>42</v>
      </c>
      <c r="AB46" s="1486">
        <v>47</v>
      </c>
      <c r="AC46" s="1487">
        <v>39</v>
      </c>
    </row>
    <row r="47" spans="1:29" ht="6.75" customHeight="1" x14ac:dyDescent="0.2">
      <c r="K47" s="1446"/>
      <c r="L47" s="1446"/>
      <c r="M47" s="1447"/>
      <c r="N47" s="1447"/>
      <c r="O47" s="1448"/>
      <c r="P47" s="1448"/>
      <c r="Q47" s="1448"/>
      <c r="R47" s="1448"/>
      <c r="S47" s="1448"/>
      <c r="T47" s="1449"/>
      <c r="V47" s="1447"/>
      <c r="W47" s="1448"/>
      <c r="X47" s="1448"/>
      <c r="Y47" s="1448"/>
      <c r="Z47" s="1448"/>
      <c r="AA47" s="1448"/>
      <c r="AB47" s="1448"/>
      <c r="AC47" s="1449"/>
    </row>
    <row r="48" spans="1:29" x14ac:dyDescent="0.2">
      <c r="K48" s="1513" t="s">
        <v>1159</v>
      </c>
      <c r="L48" s="1503"/>
      <c r="M48" s="1488">
        <v>457779.17999999993</v>
      </c>
      <c r="N48" s="1488">
        <v>367474.22000000009</v>
      </c>
      <c r="O48" s="1514">
        <v>374202.39999999997</v>
      </c>
      <c r="P48" s="1514">
        <v>295496.44</v>
      </c>
      <c r="Q48" s="1514">
        <v>286446.67000000004</v>
      </c>
      <c r="R48" s="1514">
        <v>329526.49</v>
      </c>
      <c r="S48" s="1514">
        <v>280010.46000000002</v>
      </c>
      <c r="T48" s="1515">
        <v>209399.19999999998</v>
      </c>
      <c r="V48" s="1489">
        <v>53.233674330520294</v>
      </c>
      <c r="W48" s="1516">
        <v>42.864133908783401</v>
      </c>
      <c r="X48" s="1516">
        <v>44.761817529349443</v>
      </c>
      <c r="Y48" s="1516">
        <v>41.33478038447705</v>
      </c>
      <c r="Z48" s="1516">
        <v>41.26114680220595</v>
      </c>
      <c r="AA48" s="1516">
        <v>48.156272025052196</v>
      </c>
      <c r="AB48" s="1516">
        <v>42.23385520361991</v>
      </c>
      <c r="AC48" s="1517">
        <v>41.632424448988857</v>
      </c>
    </row>
    <row r="49" spans="11:29" x14ac:dyDescent="0.2">
      <c r="K49" s="1513" t="s">
        <v>1160</v>
      </c>
      <c r="L49" s="1503"/>
      <c r="M49" s="1488">
        <v>201144.83000000005</v>
      </c>
      <c r="N49" s="1488">
        <v>131223.4</v>
      </c>
      <c r="O49" s="1514">
        <v>129879.23</v>
      </c>
      <c r="P49" s="1514">
        <v>120474.83000000002</v>
      </c>
      <c r="Q49" s="1514">
        <v>98750.400000000009</v>
      </c>
      <c r="R49" s="1514">
        <v>103210.65000000002</v>
      </c>
      <c r="S49" s="1514">
        <v>62086.12</v>
      </c>
      <c r="T49" s="1515">
        <v>56869.810000000012</v>
      </c>
      <c r="V49" s="1489">
        <v>23.390487906173174</v>
      </c>
      <c r="W49" s="1516">
        <v>15.306590458415956</v>
      </c>
      <c r="X49" s="1516">
        <v>15.536058545087922</v>
      </c>
      <c r="Y49" s="1516">
        <v>16.852320250989177</v>
      </c>
      <c r="Z49" s="1516">
        <v>14.224479381019016</v>
      </c>
      <c r="AA49" s="1516">
        <v>15.082975991649274</v>
      </c>
      <c r="AB49" s="1516">
        <v>9.3644223227752637</v>
      </c>
      <c r="AC49" s="1517">
        <v>11.306767496023632</v>
      </c>
    </row>
    <row r="50" spans="11:29" x14ac:dyDescent="0.2">
      <c r="K50" s="1513" t="s">
        <v>1161</v>
      </c>
      <c r="L50" s="1503"/>
      <c r="M50" s="1488">
        <v>341783.39399999997</v>
      </c>
      <c r="N50" s="1488">
        <v>203580.96199999994</v>
      </c>
      <c r="O50" s="1514">
        <v>172629.21199999997</v>
      </c>
      <c r="P50" s="1514">
        <v>187434.08899999998</v>
      </c>
      <c r="Q50" s="1514">
        <v>203929.13199999995</v>
      </c>
      <c r="R50" s="1514">
        <v>213166.71900000001</v>
      </c>
      <c r="S50" s="1514">
        <v>217727.777</v>
      </c>
      <c r="T50" s="1515">
        <v>145006.59000000003</v>
      </c>
      <c r="V50" s="1489">
        <v>39.744895973154364</v>
      </c>
      <c r="W50" s="1516">
        <v>23.74675866091216</v>
      </c>
      <c r="X50" s="1516">
        <v>20.649780139783662</v>
      </c>
      <c r="Y50" s="1516">
        <v>26.218748711082693</v>
      </c>
      <c r="Z50" s="1516">
        <v>29.374926413696596</v>
      </c>
      <c r="AA50" s="1516">
        <v>31.151712588726518</v>
      </c>
      <c r="AB50" s="1516">
        <v>32.839785369532429</v>
      </c>
      <c r="AC50" s="1517">
        <v>28.82998551465576</v>
      </c>
    </row>
    <row r="51" spans="11:29" x14ac:dyDescent="0.2">
      <c r="K51" s="1513" t="s">
        <v>146</v>
      </c>
      <c r="L51" s="1503"/>
      <c r="M51" s="1488">
        <v>1060002.4500000002</v>
      </c>
      <c r="N51" s="1488">
        <v>962286.98</v>
      </c>
      <c r="O51" s="1514">
        <v>775627.0199999999</v>
      </c>
      <c r="P51" s="1514">
        <v>620780.77</v>
      </c>
      <c r="Q51" s="1514">
        <v>580803.9800000001</v>
      </c>
      <c r="R51" s="1514">
        <v>502350.45999999996</v>
      </c>
      <c r="S51" s="1514">
        <v>468425.93999999994</v>
      </c>
      <c r="T51" s="1515">
        <v>362028.93999999994</v>
      </c>
      <c r="V51" s="1489">
        <v>123.26428915542564</v>
      </c>
      <c r="W51" s="1516">
        <v>112.2462358567596</v>
      </c>
      <c r="X51" s="1516">
        <v>92.779937114441466</v>
      </c>
      <c r="Y51" s="1516">
        <v>86.836365253187338</v>
      </c>
      <c r="Z51" s="1516">
        <v>83.661779981891527</v>
      </c>
      <c r="AA51" s="1516">
        <v>73.412384551148222</v>
      </c>
      <c r="AB51" s="1516">
        <v>70.652479638009041</v>
      </c>
      <c r="AC51" s="1517">
        <v>71.978032833446932</v>
      </c>
    </row>
    <row r="52" spans="11:29" x14ac:dyDescent="0.2">
      <c r="K52" s="1513" t="s">
        <v>1162</v>
      </c>
      <c r="L52" s="1503"/>
      <c r="M52" s="1488">
        <v>2488.4899999999998</v>
      </c>
      <c r="N52" s="1488">
        <v>4880.78</v>
      </c>
      <c r="O52" s="1514">
        <v>1791.1799999999998</v>
      </c>
      <c r="P52" s="1514">
        <v>2569.83</v>
      </c>
      <c r="Q52" s="1514">
        <v>1538.9499999999996</v>
      </c>
      <c r="R52" s="1514">
        <v>4137.33</v>
      </c>
      <c r="S52" s="1514">
        <v>2002.1999999999998</v>
      </c>
      <c r="T52" s="1515">
        <v>89.37</v>
      </c>
      <c r="V52" s="1489">
        <v>0.28937853013489268</v>
      </c>
      <c r="W52" s="1516">
        <v>0.56931995800769852</v>
      </c>
      <c r="X52" s="1516">
        <v>0.21425964216750118</v>
      </c>
      <c r="Y52" s="1516">
        <v>0.35947424163702496</v>
      </c>
      <c r="Z52" s="1516">
        <v>0.22167771009959664</v>
      </c>
      <c r="AA52" s="1516">
        <v>0.6046202505219207</v>
      </c>
      <c r="AB52" s="1516">
        <v>0.30199095022624434</v>
      </c>
      <c r="AC52" s="1517">
        <v>1.776840490797546E-2</v>
      </c>
    </row>
    <row r="53" spans="11:29" ht="12.75" customHeight="1" x14ac:dyDescent="0.2">
      <c r="K53" s="1513" t="s">
        <v>722</v>
      </c>
      <c r="L53" s="1518"/>
      <c r="M53" s="1488">
        <v>43937.279999999999</v>
      </c>
      <c r="N53" s="1488">
        <v>41568.03</v>
      </c>
      <c r="O53" s="1514">
        <v>42362.94</v>
      </c>
      <c r="P53" s="1514">
        <v>39495.800000000003</v>
      </c>
      <c r="Q53" s="1514">
        <v>36224.449999999997</v>
      </c>
      <c r="R53" s="1514">
        <v>32876.69</v>
      </c>
      <c r="S53" s="1514">
        <v>35320.449999999997</v>
      </c>
      <c r="T53" s="1515">
        <v>23202.240000000002</v>
      </c>
      <c r="V53" s="1489">
        <v>5.1093255365805037</v>
      </c>
      <c r="W53" s="1516">
        <v>4.8487145689956836</v>
      </c>
      <c r="X53" s="1516">
        <v>5.0674239136007122</v>
      </c>
      <c r="Y53" s="1516">
        <v>5.5247711921985552</v>
      </c>
      <c r="Z53" s="1516">
        <v>5.2179428348012182</v>
      </c>
      <c r="AA53" s="1516">
        <v>4.8045267223382053</v>
      </c>
      <c r="AB53" s="1516">
        <v>5.3273680241327295</v>
      </c>
      <c r="AC53" s="1517">
        <v>4.613033401499659</v>
      </c>
    </row>
    <row r="54" spans="11:29" s="1430" customFormat="1" x14ac:dyDescent="0.2">
      <c r="K54" s="1519" t="s">
        <v>1163</v>
      </c>
      <c r="L54" s="1520"/>
      <c r="M54" s="1490">
        <v>2107135.6240000003</v>
      </c>
      <c r="N54" s="1490">
        <v>1711014.3720000007</v>
      </c>
      <c r="O54" s="1521">
        <v>1496491.9819999996</v>
      </c>
      <c r="P54" s="1521">
        <v>1266251.7590000003</v>
      </c>
      <c r="Q54" s="1521">
        <v>1207693.5820000006</v>
      </c>
      <c r="R54" s="1521">
        <v>1185268.3389999999</v>
      </c>
      <c r="S54" s="1521">
        <v>1065572.9469999999</v>
      </c>
      <c r="T54" s="1522">
        <v>796596.15000000014</v>
      </c>
      <c r="U54" s="1426"/>
      <c r="V54" s="1491">
        <v>245.03205143198889</v>
      </c>
      <c r="W54" s="1523">
        <v>199.58175341187456</v>
      </c>
      <c r="X54" s="1523">
        <v>179.00927688443068</v>
      </c>
      <c r="Y54" s="1523">
        <v>177.12646003357187</v>
      </c>
      <c r="Z54" s="1523">
        <v>173.96195312371398</v>
      </c>
      <c r="AA54" s="1523">
        <v>173.21249212943633</v>
      </c>
      <c r="AB54" s="1523">
        <v>160.71990150829561</v>
      </c>
      <c r="AC54" s="1524">
        <v>158.37801209952283</v>
      </c>
    </row>
    <row r="55" spans="11:29" ht="9" customHeight="1" x14ac:dyDescent="0.2">
      <c r="K55" s="1451"/>
      <c r="M55" s="1453"/>
      <c r="N55" s="1453"/>
      <c r="O55" s="1454"/>
      <c r="P55" s="1454"/>
      <c r="Q55" s="1454"/>
      <c r="R55" s="1454"/>
      <c r="S55" s="1454"/>
      <c r="T55" s="1455"/>
      <c r="V55" s="1456"/>
      <c r="W55" s="1457"/>
      <c r="X55" s="1457"/>
      <c r="Y55" s="1457"/>
      <c r="Z55" s="1457"/>
      <c r="AA55" s="1457"/>
      <c r="AB55" s="1457"/>
      <c r="AC55" s="1458"/>
    </row>
    <row r="56" spans="11:29" x14ac:dyDescent="0.2">
      <c r="K56" s="1513" t="s">
        <v>1164</v>
      </c>
      <c r="L56" s="1503"/>
      <c r="M56" s="1488">
        <v>202913.22999999998</v>
      </c>
      <c r="N56" s="1488">
        <v>191643.44000000003</v>
      </c>
      <c r="O56" s="1514">
        <v>166467.88</v>
      </c>
      <c r="P56" s="1514">
        <v>157387.35999999999</v>
      </c>
      <c r="Q56" s="1514">
        <v>137130.42000000001</v>
      </c>
      <c r="R56" s="1514">
        <v>157380.35000000003</v>
      </c>
      <c r="S56" s="1514">
        <v>43933.229999999996</v>
      </c>
      <c r="T56" s="1515">
        <v>3506</v>
      </c>
      <c r="V56" s="1489">
        <v>23.596129477041664</v>
      </c>
      <c r="W56" s="1516">
        <v>22.354303044441856</v>
      </c>
      <c r="X56" s="1516">
        <v>19.912766110152262</v>
      </c>
      <c r="Y56" s="1516">
        <v>22.015737180768159</v>
      </c>
      <c r="Z56" s="1516">
        <v>19.752920816528114</v>
      </c>
      <c r="AA56" s="1516">
        <v>22.999216075156582</v>
      </c>
      <c r="AB56" s="1516">
        <v>6.6264298642533932</v>
      </c>
      <c r="AC56" s="1517">
        <v>0.69705748693478753</v>
      </c>
    </row>
    <row r="57" spans="11:29" x14ac:dyDescent="0.2">
      <c r="K57" s="1513" t="s">
        <v>1165</v>
      </c>
      <c r="L57" s="1503"/>
      <c r="M57" s="1488">
        <v>90856.749999999985</v>
      </c>
      <c r="N57" s="1488">
        <v>65920.08</v>
      </c>
      <c r="O57" s="1514">
        <v>45035.25</v>
      </c>
      <c r="P57" s="1514">
        <v>39318.699999999997</v>
      </c>
      <c r="Q57" s="1514">
        <v>34411.43</v>
      </c>
      <c r="R57" s="1514">
        <v>37743.620000000003</v>
      </c>
      <c r="S57" s="1514">
        <v>7309.34</v>
      </c>
      <c r="T57" s="1515">
        <v>190.89999999999998</v>
      </c>
      <c r="V57" s="1489">
        <v>10.565440394710611</v>
      </c>
      <c r="W57" s="1516">
        <v>7.6892663011781179</v>
      </c>
      <c r="X57" s="1516">
        <v>5.3870836822228689</v>
      </c>
      <c r="Y57" s="1516">
        <v>5.4999980016785912</v>
      </c>
      <c r="Z57" s="1516">
        <v>4.9567867725738752</v>
      </c>
      <c r="AA57" s="1516">
        <v>5.5157691022964519</v>
      </c>
      <c r="AB57" s="1516">
        <v>1.1024645550527903</v>
      </c>
      <c r="AC57" s="1517">
        <v>3.7954442172233573E-2</v>
      </c>
    </row>
    <row r="58" spans="11:29" s="1430" customFormat="1" x14ac:dyDescent="0.2">
      <c r="K58" s="1519" t="s">
        <v>1166</v>
      </c>
      <c r="L58" s="1520"/>
      <c r="M58" s="1490">
        <v>293769.98</v>
      </c>
      <c r="N58" s="1490">
        <v>257563.51999999999</v>
      </c>
      <c r="O58" s="1521">
        <v>211503.13</v>
      </c>
      <c r="P58" s="1521">
        <v>196706.06</v>
      </c>
      <c r="Q58" s="1521">
        <v>171541.85</v>
      </c>
      <c r="R58" s="1521">
        <v>195123.97</v>
      </c>
      <c r="S58" s="1521">
        <v>51242.57</v>
      </c>
      <c r="T58" s="1522">
        <v>3696.8999999999996</v>
      </c>
      <c r="U58" s="1426"/>
      <c r="V58" s="1491">
        <v>34.161569871752278</v>
      </c>
      <c r="W58" s="1523">
        <v>30.043569345619968</v>
      </c>
      <c r="X58" s="1523">
        <v>25.299849792375131</v>
      </c>
      <c r="Y58" s="1523">
        <v>27.51573518244675</v>
      </c>
      <c r="Z58" s="1523">
        <v>24.709707589101985</v>
      </c>
      <c r="AA58" s="1523">
        <v>28.514985177453031</v>
      </c>
      <c r="AB58" s="1523">
        <v>7.7288944193061839</v>
      </c>
      <c r="AC58" s="1524">
        <v>0.73501192910702096</v>
      </c>
    </row>
    <row r="59" spans="11:29" x14ac:dyDescent="0.2">
      <c r="K59" s="1525"/>
      <c r="L59" s="1503"/>
      <c r="M59" s="1526"/>
      <c r="N59" s="1526"/>
      <c r="O59" s="1527"/>
      <c r="P59" s="1527"/>
      <c r="Q59" s="1527"/>
      <c r="R59" s="1527"/>
      <c r="S59" s="1527"/>
      <c r="T59" s="1528"/>
      <c r="V59" s="1529"/>
      <c r="W59" s="1530"/>
      <c r="X59" s="1530"/>
      <c r="Y59" s="1530"/>
      <c r="Z59" s="1530"/>
      <c r="AA59" s="1530"/>
      <c r="AB59" s="1530"/>
      <c r="AC59" s="1531"/>
    </row>
    <row r="60" spans="11:29" s="1459" customFormat="1" x14ac:dyDescent="0.2">
      <c r="K60" s="1532" t="s">
        <v>1167</v>
      </c>
      <c r="L60" s="1533"/>
      <c r="M60" s="1492">
        <v>2400905.6039999998</v>
      </c>
      <c r="N60" s="1492">
        <v>1968577.8920000007</v>
      </c>
      <c r="O60" s="1534">
        <v>1707995.1119999997</v>
      </c>
      <c r="P60" s="1534">
        <v>1462957.8190000004</v>
      </c>
      <c r="Q60" s="1534">
        <v>1379235.4320000007</v>
      </c>
      <c r="R60" s="1534">
        <v>1380392.3090000001</v>
      </c>
      <c r="S60" s="1534">
        <v>1116815.5170000002</v>
      </c>
      <c r="T60" s="1535">
        <v>800293.05000000016</v>
      </c>
      <c r="U60" s="1426"/>
      <c r="V60" s="1493">
        <v>279.19362130374111</v>
      </c>
      <c r="W60" s="1536">
        <v>229.62532275749453</v>
      </c>
      <c r="X60" s="1536">
        <v>204.30912667680582</v>
      </c>
      <c r="Y60" s="1536">
        <v>204.64219521601865</v>
      </c>
      <c r="Z60" s="1536">
        <v>198.67166071281599</v>
      </c>
      <c r="AA60" s="1536">
        <v>201.7274773068894</v>
      </c>
      <c r="AB60" s="1536">
        <v>168.44879592760185</v>
      </c>
      <c r="AC60" s="1537">
        <v>159.11302402862987</v>
      </c>
    </row>
    <row r="61" spans="11:29" x14ac:dyDescent="0.2">
      <c r="K61" s="1451"/>
      <c r="M61" s="1460"/>
      <c r="N61" s="1460"/>
      <c r="O61" s="1461"/>
      <c r="P61" s="1461"/>
      <c r="Q61" s="1461"/>
      <c r="R61" s="1461"/>
      <c r="S61" s="1461"/>
      <c r="T61" s="1462"/>
      <c r="V61" s="1463"/>
      <c r="W61" s="1464"/>
      <c r="X61" s="1464"/>
      <c r="Y61" s="1464"/>
      <c r="Z61" s="1464"/>
      <c r="AA61" s="1464"/>
      <c r="AB61" s="1464"/>
      <c r="AC61" s="1465"/>
    </row>
    <row r="62" spans="11:29" x14ac:dyDescent="0.2">
      <c r="K62" s="1513" t="s">
        <v>1168</v>
      </c>
      <c r="L62" s="1503"/>
      <c r="M62" s="1488">
        <v>99947.83</v>
      </c>
      <c r="N62" s="1488">
        <v>105579.06</v>
      </c>
      <c r="O62" s="1514">
        <v>116584.52999999998</v>
      </c>
      <c r="P62" s="1514">
        <v>102413.84999999999</v>
      </c>
      <c r="Q62" s="1514">
        <v>105637.62000000001</v>
      </c>
      <c r="R62" s="1514">
        <v>99922.289999999979</v>
      </c>
      <c r="S62" s="1514">
        <v>107498.20000000003</v>
      </c>
      <c r="T62" s="1515">
        <v>11272.1</v>
      </c>
      <c r="V62" s="1489">
        <v>11.622612964316566</v>
      </c>
      <c r="W62" s="1516">
        <v>12.315299195147556</v>
      </c>
      <c r="X62" s="1516">
        <v>13.945756250106804</v>
      </c>
      <c r="Y62" s="1516">
        <v>14.32590523959874</v>
      </c>
      <c r="Z62" s="1516">
        <v>15.216547452465226</v>
      </c>
      <c r="AA62" s="1516">
        <v>14.60242233820459</v>
      </c>
      <c r="AB62" s="1516">
        <v>16.213906485671195</v>
      </c>
      <c r="AC62" s="1517">
        <v>2.241101454214951</v>
      </c>
    </row>
    <row r="63" spans="11:29" x14ac:dyDescent="0.2">
      <c r="K63" s="1513" t="s">
        <v>1169</v>
      </c>
      <c r="L63" s="1503"/>
      <c r="M63" s="1488">
        <v>57711.789999999994</v>
      </c>
      <c r="N63" s="1488">
        <v>54340.36</v>
      </c>
      <c r="O63" s="1514">
        <v>68419.059999999983</v>
      </c>
      <c r="P63" s="1514">
        <v>50602.999999999993</v>
      </c>
      <c r="Q63" s="1514">
        <v>63118.869999999995</v>
      </c>
      <c r="R63" s="1514">
        <v>68929.3</v>
      </c>
      <c r="S63" s="1514">
        <v>15405.470000000003</v>
      </c>
      <c r="T63" s="1515">
        <v>8198.27</v>
      </c>
      <c r="V63" s="1489">
        <v>6.7111191773539769</v>
      </c>
      <c r="W63" s="1516">
        <v>6.338546599790039</v>
      </c>
      <c r="X63" s="1516">
        <v>8.1842379398144196</v>
      </c>
      <c r="Y63" s="1516">
        <v>7.0784740817713123</v>
      </c>
      <c r="Z63" s="1516">
        <v>9.0919435756029294</v>
      </c>
      <c r="AA63" s="1516">
        <v>10.073175365344468</v>
      </c>
      <c r="AB63" s="1516">
        <v>2.3236003016591256</v>
      </c>
      <c r="AC63" s="1517">
        <v>1.6299673369688705</v>
      </c>
    </row>
    <row r="64" spans="11:29" x14ac:dyDescent="0.2">
      <c r="K64" s="1513" t="s">
        <v>1170</v>
      </c>
      <c r="L64" s="1503"/>
      <c r="M64" s="1488">
        <v>58315.43</v>
      </c>
      <c r="N64" s="1488">
        <v>3785.0899999999997</v>
      </c>
      <c r="O64" s="1514">
        <v>3539.3900000000003</v>
      </c>
      <c r="P64" s="1514">
        <v>4352.8700000000008</v>
      </c>
      <c r="Q64" s="1514">
        <v>1799.25</v>
      </c>
      <c r="R64" s="1514">
        <v>3406.71</v>
      </c>
      <c r="S64" s="1514">
        <v>1802.83</v>
      </c>
      <c r="T64" s="1515">
        <v>709.92</v>
      </c>
      <c r="V64" s="1489">
        <v>6.7813145391720386</v>
      </c>
      <c r="W64" s="1516">
        <v>0.44151288930362764</v>
      </c>
      <c r="X64" s="1516">
        <v>0.42337924434798968</v>
      </c>
      <c r="Y64" s="1516">
        <v>0.60889033212101862</v>
      </c>
      <c r="Z64" s="1516">
        <v>0.25917256564326285</v>
      </c>
      <c r="AA64" s="1516">
        <v>0.49784906054279754</v>
      </c>
      <c r="AB64" s="1516">
        <v>0.27192006033182503</v>
      </c>
      <c r="AC64" s="1517">
        <v>0.14114519427402861</v>
      </c>
    </row>
    <row r="65" spans="11:29" x14ac:dyDescent="0.2">
      <c r="K65" s="1513" t="s">
        <v>1171</v>
      </c>
      <c r="L65" s="1503"/>
      <c r="M65" s="1488">
        <v>2633.9800000000005</v>
      </c>
      <c r="N65" s="1488">
        <v>2290.54</v>
      </c>
      <c r="O65" s="1514">
        <v>3317.7</v>
      </c>
      <c r="P65" s="1514">
        <v>2291.38</v>
      </c>
      <c r="Q65" s="1514">
        <v>1813.48</v>
      </c>
      <c r="R65" s="1514">
        <v>1977.3000000000002</v>
      </c>
      <c r="S65" s="1514">
        <v>3112.5599999999995</v>
      </c>
      <c r="T65" s="1515">
        <v>1320.6</v>
      </c>
      <c r="V65" s="1489">
        <v>0.30629709615256834</v>
      </c>
      <c r="W65" s="1516">
        <v>0.26718068354135077</v>
      </c>
      <c r="X65" s="1516">
        <v>0.39686084861327098</v>
      </c>
      <c r="Y65" s="1516">
        <v>0.32052395987370619</v>
      </c>
      <c r="Z65" s="1516">
        <v>0.26122232282492386</v>
      </c>
      <c r="AA65" s="1516">
        <v>0.28895824634655537</v>
      </c>
      <c r="AB65" s="1516">
        <v>0.46946606334841623</v>
      </c>
      <c r="AC65" s="1517">
        <v>0.26255964553510563</v>
      </c>
    </row>
    <row r="66" spans="11:29" x14ac:dyDescent="0.2">
      <c r="K66" s="1513" t="s">
        <v>1172</v>
      </c>
      <c r="L66" s="1503"/>
      <c r="M66" s="1488">
        <v>81.94</v>
      </c>
      <c r="N66" s="1488">
        <v>0</v>
      </c>
      <c r="O66" s="1514">
        <v>0</v>
      </c>
      <c r="P66" s="1514">
        <v>0</v>
      </c>
      <c r="Q66" s="1514">
        <v>0</v>
      </c>
      <c r="R66" s="1514">
        <v>595.29999999999995</v>
      </c>
      <c r="S66" s="1514">
        <v>0</v>
      </c>
      <c r="T66" s="1515">
        <v>0</v>
      </c>
      <c r="V66" s="1489">
        <v>9.5285401023323807E-3</v>
      </c>
      <c r="W66" s="1516">
        <v>0</v>
      </c>
      <c r="X66" s="1516">
        <v>0</v>
      </c>
      <c r="Y66" s="1516">
        <v>0</v>
      </c>
      <c r="Z66" s="1516">
        <v>0</v>
      </c>
      <c r="AA66" s="1516">
        <v>8.6995824634655536E-2</v>
      </c>
      <c r="AB66" s="1516">
        <v>0</v>
      </c>
      <c r="AC66" s="1517">
        <v>0</v>
      </c>
    </row>
    <row r="67" spans="11:29" x14ac:dyDescent="0.2">
      <c r="K67" s="1513" t="s">
        <v>1173</v>
      </c>
      <c r="L67" s="1503"/>
      <c r="M67" s="1488">
        <v>53333.369999999988</v>
      </c>
      <c r="N67" s="1488">
        <v>57500.039999999986</v>
      </c>
      <c r="O67" s="1514">
        <v>57500.039999999986</v>
      </c>
      <c r="P67" s="1514">
        <v>57500.039999999986</v>
      </c>
      <c r="Q67" s="1514">
        <v>57500.039999999986</v>
      </c>
      <c r="R67" s="1514">
        <v>34641.299999999988</v>
      </c>
      <c r="S67" s="1514">
        <v>57500.039999999986</v>
      </c>
      <c r="T67" s="1515">
        <v>61666.709999999985</v>
      </c>
      <c r="V67" s="1489">
        <v>6.2019667419762099</v>
      </c>
      <c r="W67" s="1516">
        <v>6.7071083634666966</v>
      </c>
      <c r="X67" s="1516">
        <v>6.8781127497052239</v>
      </c>
      <c r="Y67" s="1516">
        <v>8.0432492706126855</v>
      </c>
      <c r="Z67" s="1516">
        <v>8.2825804592970602</v>
      </c>
      <c r="AA67" s="1516">
        <v>5.0624029227557399</v>
      </c>
      <c r="AB67" s="1516">
        <v>8.6727058823529397</v>
      </c>
      <c r="AC67" s="1517">
        <v>12.26047972051806</v>
      </c>
    </row>
    <row r="68" spans="11:29" x14ac:dyDescent="0.2">
      <c r="K68" s="1513" t="s">
        <v>1174</v>
      </c>
      <c r="L68" s="1503"/>
      <c r="M68" s="1488">
        <v>16168.359999999999</v>
      </c>
      <c r="N68" s="1488">
        <v>17846.75</v>
      </c>
      <c r="O68" s="1514">
        <v>28481.24</v>
      </c>
      <c r="P68" s="1514">
        <v>37988.780000000006</v>
      </c>
      <c r="Q68" s="1514">
        <v>48073.09</v>
      </c>
      <c r="R68" s="1514">
        <v>33670.799999999996</v>
      </c>
      <c r="S68" s="1514">
        <v>25485.310000000005</v>
      </c>
      <c r="T68" s="1515">
        <v>31367.45</v>
      </c>
      <c r="V68" s="1489">
        <v>1.8801667884909297</v>
      </c>
      <c r="W68" s="1516">
        <v>2.0817391811501227</v>
      </c>
      <c r="X68" s="1516">
        <v>3.4069051077427854</v>
      </c>
      <c r="Y68" s="1516">
        <v>5.3139654690060372</v>
      </c>
      <c r="Z68" s="1516">
        <v>6.9246775454769942</v>
      </c>
      <c r="AA68" s="1516">
        <v>4.9205762004175364</v>
      </c>
      <c r="AB68" s="1516">
        <v>3.843938159879337</v>
      </c>
      <c r="AC68" s="1517">
        <v>6.2364278004998859</v>
      </c>
    </row>
    <row r="69" spans="11:29" x14ac:dyDescent="0.2">
      <c r="K69" s="1513" t="s">
        <v>1175</v>
      </c>
      <c r="L69" s="1503"/>
      <c r="M69" s="1488">
        <v>551162.51</v>
      </c>
      <c r="N69" s="1488">
        <v>522942.95</v>
      </c>
      <c r="O69" s="1514">
        <v>510430.48</v>
      </c>
      <c r="P69" s="1514">
        <v>431952.41000000003</v>
      </c>
      <c r="Q69" s="1514">
        <v>355871.42999999993</v>
      </c>
      <c r="R69" s="1514">
        <v>413046.51</v>
      </c>
      <c r="S69" s="1514">
        <v>386267.7</v>
      </c>
      <c r="T69" s="1515">
        <v>274230.69</v>
      </c>
      <c r="V69" s="1489">
        <v>64.092922619443158</v>
      </c>
      <c r="W69" s="1516">
        <v>60.998827714918932</v>
      </c>
      <c r="X69" s="1516">
        <v>61.05732087014475</v>
      </c>
      <c r="Y69" s="1516">
        <v>60.422582430758183</v>
      </c>
      <c r="Z69" s="1516">
        <v>51.261420898839404</v>
      </c>
      <c r="AA69" s="1516">
        <v>60.361702922755747</v>
      </c>
      <c r="AB69" s="1516">
        <v>58.260588235294122</v>
      </c>
      <c r="AC69" s="1517">
        <v>54.522120824812539</v>
      </c>
    </row>
    <row r="70" spans="11:29" s="1430" customFormat="1" x14ac:dyDescent="0.2">
      <c r="K70" s="1519" t="s">
        <v>1176</v>
      </c>
      <c r="L70" s="1520"/>
      <c r="M70" s="1490">
        <v>839355.20999999985</v>
      </c>
      <c r="N70" s="1490">
        <v>764284.78999999992</v>
      </c>
      <c r="O70" s="1521">
        <v>788272.44000000006</v>
      </c>
      <c r="P70" s="1521">
        <v>687102.33000000019</v>
      </c>
      <c r="Q70" s="1521">
        <v>633813.78</v>
      </c>
      <c r="R70" s="1521">
        <v>656189.51</v>
      </c>
      <c r="S70" s="1521">
        <v>597072.1100000001</v>
      </c>
      <c r="T70" s="1522">
        <v>388765.74</v>
      </c>
      <c r="U70" s="1426"/>
      <c r="V70" s="1491">
        <v>97.605928467007772</v>
      </c>
      <c r="W70" s="1523">
        <v>89.15021462731832</v>
      </c>
      <c r="X70" s="1523">
        <v>94.292573010475252</v>
      </c>
      <c r="Y70" s="1523">
        <v>96.113590783741699</v>
      </c>
      <c r="Z70" s="1523">
        <v>91.297564820149816</v>
      </c>
      <c r="AA70" s="1523">
        <v>95.894082881002092</v>
      </c>
      <c r="AB70" s="1523">
        <v>90.056125188536967</v>
      </c>
      <c r="AC70" s="1524">
        <v>77.293801976823445</v>
      </c>
    </row>
    <row r="71" spans="11:29" x14ac:dyDescent="0.2">
      <c r="K71" s="1513"/>
      <c r="L71" s="1503"/>
      <c r="M71" s="1526"/>
      <c r="N71" s="1526"/>
      <c r="O71" s="1527"/>
      <c r="P71" s="1527"/>
      <c r="Q71" s="1527"/>
      <c r="R71" s="1527"/>
      <c r="S71" s="1527"/>
      <c r="T71" s="1528"/>
      <c r="V71" s="1529"/>
      <c r="W71" s="1530"/>
      <c r="X71" s="1530"/>
      <c r="Y71" s="1530"/>
      <c r="Z71" s="1530"/>
      <c r="AA71" s="1530"/>
      <c r="AB71" s="1530"/>
      <c r="AC71" s="1531"/>
    </row>
    <row r="72" spans="11:29" s="1459" customFormat="1" ht="25.5" customHeight="1" x14ac:dyDescent="0.2">
      <c r="K72" s="1538" t="s">
        <v>1177</v>
      </c>
      <c r="L72" s="1539"/>
      <c r="M72" s="1494">
        <v>72352.676000000021</v>
      </c>
      <c r="N72" s="1494">
        <v>265727.70799999882</v>
      </c>
      <c r="O72" s="1540">
        <v>629939.24799999967</v>
      </c>
      <c r="P72" s="1540">
        <v>440026.16099999961</v>
      </c>
      <c r="Q72" s="1540">
        <v>388993.38799999951</v>
      </c>
      <c r="R72" s="1540">
        <v>533597.53100000019</v>
      </c>
      <c r="S72" s="1540">
        <v>834642.6529999997</v>
      </c>
      <c r="T72" s="1541">
        <v>837571.4600000002</v>
      </c>
      <c r="U72" s="1426"/>
      <c r="V72" s="1495">
        <v>8.4136609077015123</v>
      </c>
      <c r="W72" s="1542">
        <v>30.995883354718163</v>
      </c>
      <c r="X72" s="1542">
        <v>75.352872332063072</v>
      </c>
      <c r="Y72" s="1542">
        <v>61.551958894528553</v>
      </c>
      <c r="Z72" s="1542">
        <v>56.032465964276831</v>
      </c>
      <c r="AA72" s="1542">
        <v>77.978762359081458</v>
      </c>
      <c r="AB72" s="1542">
        <v>125.88878627450976</v>
      </c>
      <c r="AC72" s="1543">
        <v>166.52465973642356</v>
      </c>
    </row>
    <row r="73" spans="11:29" ht="8.25" customHeight="1" x14ac:dyDescent="0.2">
      <c r="K73" s="1466"/>
      <c r="M73" s="1463"/>
      <c r="N73" s="1463"/>
      <c r="O73" s="1464"/>
      <c r="P73" s="1464"/>
      <c r="Q73" s="1464"/>
      <c r="R73" s="1464"/>
      <c r="S73" s="1464"/>
      <c r="T73" s="1465"/>
      <c r="V73" s="1463"/>
      <c r="W73" s="1464"/>
      <c r="X73" s="1464"/>
      <c r="Y73" s="1464"/>
      <c r="Z73" s="1464"/>
      <c r="AA73" s="1464"/>
      <c r="AB73" s="1464"/>
      <c r="AC73" s="1465"/>
    </row>
    <row r="74" spans="11:29" x14ac:dyDescent="0.2">
      <c r="K74" s="1519" t="s">
        <v>1178</v>
      </c>
      <c r="L74" s="1503"/>
      <c r="M74" s="1496">
        <v>2.1841568966139788E-2</v>
      </c>
      <c r="N74" s="1496">
        <v>8.8617541390839591E-2</v>
      </c>
      <c r="O74" s="1544">
        <v>0.2015027438363961</v>
      </c>
      <c r="P74" s="1544">
        <v>0.16988860923325738</v>
      </c>
      <c r="Q74" s="1544">
        <v>0.16194275155652926</v>
      </c>
      <c r="R74" s="1544">
        <v>0.20761101010324437</v>
      </c>
      <c r="S74" s="1544">
        <v>0.32749960224133567</v>
      </c>
      <c r="T74" s="1545">
        <v>0.41328281762299762</v>
      </c>
      <c r="V74" s="1496">
        <v>2.1841568966139788E-2</v>
      </c>
      <c r="W74" s="1544">
        <v>8.8617541390839591E-2</v>
      </c>
      <c r="X74" s="1544">
        <v>0.20150274383639613</v>
      </c>
      <c r="Y74" s="1544">
        <v>0.16988860923325738</v>
      </c>
      <c r="Z74" s="1544">
        <v>0.16194275155652926</v>
      </c>
      <c r="AA74" s="1544">
        <v>0.2076110101032444</v>
      </c>
      <c r="AB74" s="1544">
        <v>0.32749960224133562</v>
      </c>
      <c r="AC74" s="1545">
        <v>0.41328281762299762</v>
      </c>
    </row>
    <row r="75" spans="11:29" s="1430" customFormat="1" ht="8.25" customHeight="1" x14ac:dyDescent="0.2">
      <c r="K75" s="1452"/>
      <c r="M75" s="1467"/>
      <c r="N75" s="1467"/>
      <c r="O75" s="1468"/>
      <c r="P75" s="1468"/>
      <c r="Q75" s="1468"/>
      <c r="R75" s="1468"/>
      <c r="S75" s="1468"/>
      <c r="T75" s="1469"/>
      <c r="U75" s="1426"/>
      <c r="V75" s="1467"/>
      <c r="W75" s="1468"/>
      <c r="X75" s="1468"/>
      <c r="Y75" s="1468"/>
      <c r="Z75" s="1468"/>
      <c r="AA75" s="1468"/>
      <c r="AB75" s="1468"/>
      <c r="AC75" s="1469"/>
    </row>
    <row r="76" spans="11:29" x14ac:dyDescent="0.2">
      <c r="M76" s="1450"/>
      <c r="N76" s="1450"/>
      <c r="O76" s="1450"/>
      <c r="P76" s="1450"/>
      <c r="Q76" s="1450"/>
      <c r="R76" s="1450"/>
      <c r="S76" s="1450"/>
      <c r="T76" s="1450"/>
      <c r="V76" s="1450"/>
      <c r="W76" s="1450"/>
      <c r="X76" s="1450"/>
      <c r="Y76" s="1450"/>
      <c r="Z76" s="1450"/>
      <c r="AA76" s="1450"/>
      <c r="AB76" s="1450"/>
      <c r="AC76" s="1450"/>
    </row>
    <row r="77" spans="11:29" x14ac:dyDescent="0.2">
      <c r="K77" s="1513" t="s">
        <v>1179</v>
      </c>
      <c r="L77" s="1503"/>
      <c r="M77" s="1497">
        <v>64602.640000000014</v>
      </c>
      <c r="N77" s="1497">
        <v>133338.96000000002</v>
      </c>
      <c r="O77" s="1546">
        <v>133503.77000000002</v>
      </c>
      <c r="P77" s="1546">
        <v>128707.40999999997</v>
      </c>
      <c r="Q77" s="1546">
        <v>126343.32</v>
      </c>
      <c r="R77" s="1546">
        <v>62519.110000000015</v>
      </c>
      <c r="S77" s="1546">
        <v>768.79999999999973</v>
      </c>
      <c r="T77" s="1547">
        <v>766.69999999999993</v>
      </c>
      <c r="V77" s="1498">
        <v>7.5124340487740069</v>
      </c>
      <c r="W77" s="1548">
        <v>15.553360550565731</v>
      </c>
      <c r="X77" s="1548">
        <v>15.969623370187465</v>
      </c>
      <c r="Y77" s="1548">
        <v>18.003914112145797</v>
      </c>
      <c r="Z77" s="1548">
        <v>18.199095398798256</v>
      </c>
      <c r="AA77" s="1548">
        <v>9.1364043841336144</v>
      </c>
      <c r="AB77" s="1548">
        <v>0.11595776772247357</v>
      </c>
      <c r="AC77" s="1549">
        <v>0.15243410588502609</v>
      </c>
    </row>
    <row r="78" spans="11:29" x14ac:dyDescent="0.2">
      <c r="K78" s="1513" t="s">
        <v>1180</v>
      </c>
      <c r="L78" s="1503"/>
      <c r="M78" s="1488">
        <v>10488.799999999974</v>
      </c>
      <c r="N78" s="1488">
        <v>2221.0199999999604</v>
      </c>
      <c r="O78" s="1514">
        <v>84.170000000158325</v>
      </c>
      <c r="P78" s="1514">
        <v>727.24999999994179</v>
      </c>
      <c r="Q78" s="1514">
        <v>2042.3399999999674</v>
      </c>
      <c r="R78" s="1514">
        <v>0</v>
      </c>
      <c r="S78" s="1514">
        <v>0</v>
      </c>
      <c r="T78" s="1515">
        <v>0</v>
      </c>
      <c r="V78" s="1489">
        <v>1.219708950760845</v>
      </c>
      <c r="W78" s="1516">
        <v>0.2590715035576765</v>
      </c>
      <c r="X78" s="1516">
        <v>1.0068353867993445E-2</v>
      </c>
      <c r="Y78" s="1516">
        <v>0.10172954718036037</v>
      </c>
      <c r="Z78" s="1516">
        <v>0.29418841056876643</v>
      </c>
      <c r="AA78" s="1516">
        <v>0</v>
      </c>
      <c r="AB78" s="1516">
        <v>0.30804524886877338</v>
      </c>
      <c r="AC78" s="1517">
        <v>0</v>
      </c>
    </row>
    <row r="79" spans="11:29" x14ac:dyDescent="0.2">
      <c r="K79" s="1513"/>
      <c r="L79" s="1503"/>
      <c r="M79" s="1488"/>
      <c r="N79" s="1488"/>
      <c r="O79" s="1514"/>
      <c r="P79" s="1514"/>
      <c r="Q79" s="1514"/>
      <c r="R79" s="1514"/>
      <c r="S79" s="1514"/>
      <c r="T79" s="1515"/>
      <c r="V79" s="1489"/>
      <c r="W79" s="1516"/>
      <c r="X79" s="1516"/>
      <c r="Y79" s="1516"/>
      <c r="Z79" s="1516"/>
      <c r="AA79" s="1516"/>
      <c r="AB79" s="1516"/>
      <c r="AC79" s="1517"/>
    </row>
    <row r="80" spans="11:29" s="1459" customFormat="1" ht="25.5" customHeight="1" x14ac:dyDescent="0.2">
      <c r="K80" s="1538" t="s">
        <v>1181</v>
      </c>
      <c r="L80" s="1539"/>
      <c r="M80" s="1494">
        <v>18238.835999999981</v>
      </c>
      <c r="N80" s="1494">
        <v>134609.76799999876</v>
      </c>
      <c r="O80" s="1540">
        <v>496519.64799999975</v>
      </c>
      <c r="P80" s="1540">
        <v>312046.00099999958</v>
      </c>
      <c r="Q80" s="1540">
        <v>264692.40799999947</v>
      </c>
      <c r="R80" s="1540">
        <v>471078.42100000015</v>
      </c>
      <c r="S80" s="1540">
        <v>833873.85299999965</v>
      </c>
      <c r="T80" s="1541">
        <v>836804.76000000024</v>
      </c>
      <c r="U80" s="1426"/>
      <c r="V80" s="1495">
        <v>2.1209358096883495</v>
      </c>
      <c r="W80" s="1542">
        <v>15.701594307710108</v>
      </c>
      <c r="X80" s="1542">
        <v>59.393317315743587</v>
      </c>
      <c r="Y80" s="1542">
        <v>43.649774329563115</v>
      </c>
      <c r="Z80" s="1542">
        <v>38.127558976047339</v>
      </c>
      <c r="AA80" s="1542">
        <v>68.842357974947831</v>
      </c>
      <c r="AB80" s="1542">
        <v>125.77282850678728</v>
      </c>
      <c r="AC80" s="1543">
        <v>166.37222563053854</v>
      </c>
    </row>
    <row r="81" spans="11:29" x14ac:dyDescent="0.2">
      <c r="K81" s="1451"/>
      <c r="M81" s="1470"/>
      <c r="N81" s="1470"/>
    </row>
    <row r="82" spans="11:29" x14ac:dyDescent="0.2">
      <c r="K82" s="1532" t="s">
        <v>1182</v>
      </c>
      <c r="L82" s="1533"/>
      <c r="M82" s="1550">
        <v>0.16638298179483654</v>
      </c>
      <c r="N82" s="1550">
        <v>0.17439626023746446</v>
      </c>
      <c r="O82" s="1551">
        <v>0.16327470082913259</v>
      </c>
      <c r="P82" s="1551">
        <v>0.16677143473261319</v>
      </c>
      <c r="Q82" s="1551">
        <v>0.14815367137951674</v>
      </c>
      <c r="R82" s="1551">
        <v>0.16070727126494108</v>
      </c>
      <c r="S82" s="1551">
        <v>0.15156488546802749</v>
      </c>
      <c r="T82" s="1552">
        <v>0.13531362714042189</v>
      </c>
      <c r="V82" s="1550">
        <v>0.16638298179483654</v>
      </c>
      <c r="W82" s="1551">
        <v>0.17439626023746446</v>
      </c>
      <c r="X82" s="1551">
        <v>0.16327470082913259</v>
      </c>
      <c r="Y82" s="1551">
        <v>0.16677143473261322</v>
      </c>
      <c r="Z82" s="1551">
        <v>0.14815367137951677</v>
      </c>
      <c r="AA82" s="1551">
        <v>0.16070727126494108</v>
      </c>
      <c r="AB82" s="1551">
        <v>0.15156488546802749</v>
      </c>
      <c r="AC82" s="1552">
        <v>0.13531362714042189</v>
      </c>
    </row>
    <row r="83" spans="11:29" x14ac:dyDescent="0.2">
      <c r="K83" s="1503"/>
      <c r="L83" s="1503"/>
      <c r="M83" s="1503"/>
      <c r="N83" s="1503"/>
      <c r="O83" s="1503"/>
      <c r="P83" s="1503"/>
      <c r="Q83" s="1503"/>
      <c r="R83" s="1503"/>
      <c r="S83" s="1503"/>
      <c r="T83" s="1503"/>
      <c r="V83" s="1503"/>
      <c r="W83" s="1503"/>
      <c r="X83" s="1503"/>
      <c r="Y83" s="1503"/>
      <c r="Z83" s="1503"/>
      <c r="AA83" s="1503"/>
      <c r="AB83" s="1503"/>
      <c r="AC83" s="1503"/>
    </row>
    <row r="84" spans="11:29" x14ac:dyDescent="0.2">
      <c r="K84" s="1532" t="s">
        <v>1183</v>
      </c>
      <c r="L84" s="1533"/>
      <c r="M84" s="1550">
        <v>4.8808471162749495E-3</v>
      </c>
      <c r="N84" s="1550">
        <v>5.9517131981470803E-3</v>
      </c>
      <c r="O84" s="1551">
        <v>9.1104785518347671E-3</v>
      </c>
      <c r="P84" s="1551">
        <v>1.4666993857822445E-2</v>
      </c>
      <c r="Q84" s="1551">
        <v>2.0013421077544589E-2</v>
      </c>
      <c r="R84" s="1551">
        <v>1.3100564363339074E-2</v>
      </c>
      <c r="S84" s="1551">
        <v>1.0000002825157724E-2</v>
      </c>
      <c r="T84" s="1552">
        <v>1.5477638311181824E-2</v>
      </c>
      <c r="V84" s="1550">
        <v>4.8808471162749495E-3</v>
      </c>
      <c r="W84" s="1551">
        <v>5.9517131981470812E-3</v>
      </c>
      <c r="X84" s="1551">
        <v>9.1104785518347671E-3</v>
      </c>
      <c r="Y84" s="1551">
        <v>1.4666993857822445E-2</v>
      </c>
      <c r="Z84" s="1551">
        <v>2.0013421077544589E-2</v>
      </c>
      <c r="AA84" s="1551">
        <v>1.3100564363339076E-2</v>
      </c>
      <c r="AB84" s="1551">
        <v>1.0000002825157724E-2</v>
      </c>
      <c r="AC84" s="1552">
        <v>1.5477638311181825E-2</v>
      </c>
    </row>
    <row r="86" spans="11:29" ht="15.75" x14ac:dyDescent="0.2">
      <c r="K86" s="1613" t="s">
        <v>1189</v>
      </c>
      <c r="L86" s="1614"/>
      <c r="M86" s="1615">
        <v>292253.83699999994</v>
      </c>
      <c r="N86" s="1615">
        <v>488811.61899999884</v>
      </c>
      <c r="O86" s="1616">
        <v>827749.0479999996</v>
      </c>
      <c r="P86" s="1616">
        <v>612969.93999999959</v>
      </c>
      <c r="Q86" s="1616">
        <v>504660.55799999944</v>
      </c>
      <c r="R86" s="1616">
        <v>689626.10600000015</v>
      </c>
      <c r="S86" s="1616">
        <v>966057.32499999972</v>
      </c>
      <c r="T86" s="1617">
        <v>909139.12500000023</v>
      </c>
    </row>
    <row r="87" spans="11:29" x14ac:dyDescent="0.2">
      <c r="M87" s="1645">
        <v>8.8224550760976322E-2</v>
      </c>
      <c r="N87" s="1645">
        <v>0.16301380162830406</v>
      </c>
      <c r="O87" s="1645">
        <v>0.26477744466552872</v>
      </c>
      <c r="P87" s="1645">
        <v>0.23666004396587056</v>
      </c>
      <c r="Q87" s="1645">
        <v>0.21009642293604597</v>
      </c>
      <c r="R87" s="1645">
        <v>0.26831828136818547</v>
      </c>
      <c r="S87" s="1645">
        <v>0.37906448770936313</v>
      </c>
      <c r="T87" s="1645">
        <v>0.44859644476341953</v>
      </c>
    </row>
    <row r="88" spans="11:29" x14ac:dyDescent="0.2">
      <c r="K88" s="1618" t="s">
        <v>1190</v>
      </c>
      <c r="L88" s="1445"/>
      <c r="M88" s="1619">
        <f t="shared" ref="M88:T88" si="1">(M49+M57)/(M48+M56)</f>
        <v>0.44196297033289672</v>
      </c>
      <c r="N88" s="1619">
        <f t="shared" si="1"/>
        <v>0.35259748368527644</v>
      </c>
      <c r="O88" s="1619">
        <f t="shared" si="1"/>
        <v>0.32351413878343743</v>
      </c>
      <c r="P88" s="1619">
        <f t="shared" si="1"/>
        <v>0.35283560595455177</v>
      </c>
      <c r="Q88" s="1619">
        <f t="shared" si="1"/>
        <v>0.31437448611774538</v>
      </c>
      <c r="R88" s="1619">
        <f t="shared" si="1"/>
        <v>0.2894891967424405</v>
      </c>
      <c r="S88" s="1619">
        <f t="shared" si="1"/>
        <v>0.21422074929133519</v>
      </c>
      <c r="T88" s="1620">
        <f t="shared" si="1"/>
        <v>0.26800994057449051</v>
      </c>
    </row>
    <row r="89" spans="11:29" ht="15.75" x14ac:dyDescent="0.2">
      <c r="K89" s="1613" t="s">
        <v>1233</v>
      </c>
      <c r="L89" s="1614"/>
      <c r="M89" s="1615">
        <v>238139.99699999992</v>
      </c>
      <c r="N89" s="1615">
        <v>357693.67899999878</v>
      </c>
      <c r="O89" s="1616">
        <v>694329.44799999963</v>
      </c>
      <c r="P89" s="1616">
        <v>484989.77999999956</v>
      </c>
      <c r="Q89" s="1616">
        <v>380359.5779999994</v>
      </c>
      <c r="R89" s="1616">
        <v>627106.99600000004</v>
      </c>
      <c r="S89" s="1616">
        <v>965288.52499999967</v>
      </c>
      <c r="T89" s="1617">
        <v>908372.42500000028</v>
      </c>
    </row>
  </sheetData>
  <dataValidations count="4">
    <dataValidation allowBlank="1" showInputMessage="1" showErrorMessage="1" error="&lt;D$PICK&gt;" sqref="K38:K39"/>
    <dataValidation type="list" allowBlank="1" showInputMessage="1" showErrorMessage="1" sqref="N42:S42 V42:AA42">
      <formula1>$E$1:$E$29</formula1>
    </dataValidation>
    <dataValidation type="list" allowBlank="1" showInputMessage="1" showErrorMessage="1" sqref="N41:S41 V41:AA41">
      <formula1>$D$1:$D$10</formula1>
    </dataValidation>
    <dataValidation type="list" allowBlank="1" showInputMessage="1" showErrorMessage="1" sqref="N40:S40 V40:AA40">
      <formula1>$F$1:$F$3</formula1>
    </dataValidation>
  </dataValidations>
  <pageMargins left="0.2" right="0.2" top="0.25" bottom="0.75" header="0.3" footer="0.3"/>
  <pageSetup scale="58" orientation="landscape" r:id="rId1"/>
  <legacyDrawing r:id="rId2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B1:M20"/>
  <sheetViews>
    <sheetView workbookViewId="0">
      <selection activeCell="O9" sqref="O9"/>
    </sheetView>
  </sheetViews>
  <sheetFormatPr defaultColWidth="9.140625" defaultRowHeight="15" x14ac:dyDescent="0.25"/>
  <cols>
    <col min="1" max="1" width="1.42578125" style="1" customWidth="1"/>
    <col min="2" max="2" width="3.140625" style="1" customWidth="1"/>
    <col min="3" max="6" width="9.140625" style="1"/>
    <col min="7" max="13" width="12.85546875" style="1" customWidth="1"/>
    <col min="14" max="16384" width="9.140625" style="1"/>
  </cols>
  <sheetData>
    <row r="1" spans="2:13" x14ac:dyDescent="0.25">
      <c r="B1" s="1" t="s">
        <v>900</v>
      </c>
    </row>
    <row r="7" spans="2:13" ht="15.75" thickBot="1" x14ac:dyDescent="0.3">
      <c r="B7" s="257"/>
      <c r="C7" s="257"/>
      <c r="D7" s="257"/>
      <c r="E7" s="257"/>
      <c r="F7" s="257"/>
      <c r="G7" s="257"/>
      <c r="H7" s="257"/>
      <c r="I7" s="257"/>
      <c r="J7" s="257"/>
      <c r="K7" s="257"/>
      <c r="L7" s="257"/>
      <c r="M7" s="257"/>
    </row>
    <row r="8" spans="2:13" ht="15.75" x14ac:dyDescent="0.25">
      <c r="B8" s="513" t="s">
        <v>899</v>
      </c>
    </row>
    <row r="9" spans="2:13" ht="17.25" x14ac:dyDescent="0.4">
      <c r="H9" s="642">
        <f>'D7'!I7</f>
        <v>1</v>
      </c>
      <c r="I9" s="642">
        <f>'D7'!J7</f>
        <v>2</v>
      </c>
      <c r="J9" s="642">
        <f>'D7'!K7</f>
        <v>3</v>
      </c>
      <c r="K9" s="642">
        <f>'D7'!L7</f>
        <v>4</v>
      </c>
      <c r="L9" s="642">
        <f>'D7'!M7</f>
        <v>5</v>
      </c>
      <c r="M9" s="642" t="str">
        <f>'D7'!N7</f>
        <v>Terminal CF</v>
      </c>
    </row>
    <row r="10" spans="2:13" s="528" customFormat="1" x14ac:dyDescent="0.25">
      <c r="C10" s="530" t="s">
        <v>162</v>
      </c>
      <c r="D10" s="530"/>
      <c r="H10" s="371">
        <f>ApndxB1!AC32</f>
        <v>353.38078063744564</v>
      </c>
      <c r="I10" s="371">
        <f>ApndxB1!AD32</f>
        <v>369.36922412977856</v>
      </c>
      <c r="J10" s="371">
        <f>ApndxB1!AE32</f>
        <v>384.25480386220869</v>
      </c>
      <c r="K10" s="371">
        <f>ApndxB1!AF32</f>
        <v>399.74027245785572</v>
      </c>
      <c r="L10" s="371">
        <f>ApndxB1!AG32</f>
        <v>415.84980543790721</v>
      </c>
      <c r="M10" s="371">
        <f>L10*(1+'A1'!$O$50)</f>
        <v>428.32529960104443</v>
      </c>
    </row>
    <row r="11" spans="2:13" s="528" customFormat="1" x14ac:dyDescent="0.25">
      <c r="C11" s="530"/>
      <c r="D11" s="530"/>
      <c r="G11" s="661"/>
      <c r="H11" s="371"/>
      <c r="I11" s="371"/>
      <c r="J11" s="371"/>
      <c r="K11" s="371"/>
      <c r="L11" s="371"/>
      <c r="M11" s="371"/>
    </row>
    <row r="12" spans="2:13" x14ac:dyDescent="0.25">
      <c r="B12" s="81"/>
      <c r="C12" s="530" t="s">
        <v>352</v>
      </c>
      <c r="D12" s="530"/>
      <c r="E12" s="530"/>
      <c r="F12" s="528"/>
      <c r="G12" s="662"/>
      <c r="H12" s="662">
        <f>'D4'!H27</f>
        <v>0.45833333333333331</v>
      </c>
      <c r="I12" s="662">
        <f>'D4'!I27</f>
        <v>1.4166666666666665</v>
      </c>
      <c r="J12" s="662">
        <f>'D4'!J27</f>
        <v>2.4166666666666665</v>
      </c>
      <c r="K12" s="662">
        <f>'D4'!K27</f>
        <v>3.4166666666666665</v>
      </c>
      <c r="L12" s="662">
        <f>'D4'!L27</f>
        <v>4.4166666666666661</v>
      </c>
      <c r="M12" s="662">
        <f>'D4'!M27</f>
        <v>4.4166666666666661</v>
      </c>
    </row>
    <row r="13" spans="2:13" x14ac:dyDescent="0.25">
      <c r="B13" s="81"/>
      <c r="C13" s="81" t="s">
        <v>369</v>
      </c>
      <c r="D13" s="81"/>
      <c r="E13" s="663">
        <f>'A1'!$AS$54</f>
        <v>0.13</v>
      </c>
      <c r="G13" s="664"/>
      <c r="H13" s="664">
        <f>'D5'!I31</f>
        <v>0.94552361499417903</v>
      </c>
      <c r="I13" s="664">
        <f>'D5'!J31</f>
        <v>0.84101847920152994</v>
      </c>
      <c r="J13" s="664">
        <f>'D5'!K31</f>
        <v>0.74426414088630977</v>
      </c>
      <c r="K13" s="664">
        <f>'D5'!L31</f>
        <v>0.65864083264275197</v>
      </c>
      <c r="L13" s="664">
        <f>'D5'!M31</f>
        <v>0.58286799348916118</v>
      </c>
      <c r="M13" s="664">
        <f>1/(1+$E13)^M12</f>
        <v>0.58286799348916118</v>
      </c>
    </row>
    <row r="14" spans="2:13" x14ac:dyDescent="0.25">
      <c r="B14" s="81"/>
      <c r="C14" s="81" t="s">
        <v>360</v>
      </c>
      <c r="D14" s="81"/>
      <c r="E14" s="81"/>
      <c r="G14" s="371"/>
      <c r="H14" s="371">
        <f>H10*H13</f>
        <v>334.1298731777826</v>
      </c>
      <c r="I14" s="371">
        <f>I10*I13</f>
        <v>310.64634314147543</v>
      </c>
      <c r="J14" s="371">
        <f>J10*J13</f>
        <v>285.9870714779442</v>
      </c>
      <c r="K14" s="371">
        <f>K10*K13</f>
        <v>263.28526589248264</v>
      </c>
      <c r="L14" s="371">
        <f>L10*L13</f>
        <v>242.38554168845104</v>
      </c>
      <c r="M14" s="371"/>
    </row>
    <row r="15" spans="2:13" ht="15.75" thickBot="1" x14ac:dyDescent="0.3">
      <c r="B15" s="81"/>
      <c r="C15" s="81"/>
      <c r="D15" s="81"/>
      <c r="E15" s="81"/>
      <c r="G15" s="371"/>
      <c r="H15" s="371"/>
      <c r="I15" s="371"/>
      <c r="J15" s="371"/>
      <c r="K15" s="371"/>
      <c r="L15" s="371"/>
      <c r="M15" s="371"/>
    </row>
    <row r="16" spans="2:13" ht="17.25" x14ac:dyDescent="0.4">
      <c r="B16" s="81"/>
      <c r="C16" s="81"/>
      <c r="D16" s="81"/>
      <c r="G16" s="665" t="s">
        <v>364</v>
      </c>
      <c r="H16" s="466"/>
      <c r="I16" s="466"/>
      <c r="J16" s="927"/>
      <c r="K16" s="668" t="s">
        <v>367</v>
      </c>
      <c r="L16" s="928"/>
      <c r="M16" s="669"/>
    </row>
    <row r="17" spans="2:13" ht="34.5" x14ac:dyDescent="0.4">
      <c r="B17" s="81"/>
      <c r="C17" s="81"/>
      <c r="D17" s="81"/>
      <c r="G17" s="670" t="s">
        <v>361</v>
      </c>
      <c r="H17" s="101" t="s">
        <v>368</v>
      </c>
      <c r="I17" s="101" t="s">
        <v>363</v>
      </c>
      <c r="J17" s="929" t="s">
        <v>362</v>
      </c>
      <c r="K17" s="673" t="s">
        <v>365</v>
      </c>
      <c r="L17" s="672" t="s">
        <v>366</v>
      </c>
      <c r="M17" s="674" t="s">
        <v>13</v>
      </c>
    </row>
    <row r="18" spans="2:13" x14ac:dyDescent="0.25">
      <c r="B18" s="81"/>
      <c r="C18" s="81"/>
      <c r="D18" s="81"/>
      <c r="G18" s="675">
        <f>M10</f>
        <v>428.32529960104443</v>
      </c>
      <c r="H18" s="371">
        <f>G18*(1+'A1'!$O$50)</f>
        <v>441.17505858907577</v>
      </c>
      <c r="I18" s="371">
        <f>H18/(E13-'A1'!$O$50)</f>
        <v>4411.7505858907571</v>
      </c>
      <c r="J18" s="373">
        <f>I18*M13</f>
        <v>2571.4682117727766</v>
      </c>
      <c r="K18" s="676">
        <f>SUM(G14:L14)</f>
        <v>1436.4340953781359</v>
      </c>
      <c r="L18" s="1410">
        <f>J18</f>
        <v>2571.4682117727766</v>
      </c>
      <c r="M18" s="677">
        <f>K18+L18</f>
        <v>4007.9023071509127</v>
      </c>
    </row>
    <row r="19" spans="2:13" ht="15.75" thickBot="1" x14ac:dyDescent="0.3">
      <c r="B19" s="81"/>
      <c r="C19" s="81"/>
      <c r="D19" s="81"/>
      <c r="G19" s="178"/>
      <c r="H19" s="46"/>
      <c r="I19" s="46"/>
      <c r="J19" s="380"/>
      <c r="K19" s="930">
        <f>K18/M18</f>
        <v>0.35840047618307597</v>
      </c>
      <c r="L19" s="931">
        <f>L18/M18</f>
        <v>0.64159952381692398</v>
      </c>
      <c r="M19" s="932">
        <f>K19+L19</f>
        <v>1</v>
      </c>
    </row>
    <row r="20" spans="2:13" x14ac:dyDescent="0.25">
      <c r="B20" s="81"/>
      <c r="C20" s="81"/>
      <c r="D20" s="81"/>
      <c r="E20" s="81"/>
      <c r="F20" s="81"/>
      <c r="G20" s="81"/>
      <c r="H20" s="81"/>
      <c r="I20" s="81"/>
      <c r="J20" s="81"/>
      <c r="K20" s="81"/>
      <c r="M20" s="25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pageSetUpPr fitToPage="1"/>
  </sheetPr>
  <dimension ref="A1:L50"/>
  <sheetViews>
    <sheetView zoomScale="85" zoomScaleNormal="85" workbookViewId="0"/>
  </sheetViews>
  <sheetFormatPr defaultRowHeight="15" x14ac:dyDescent="0.25"/>
  <cols>
    <col min="1" max="1" width="53.140625" style="1655" bestFit="1" customWidth="1"/>
    <col min="2" max="2" width="53.140625" style="1655" customWidth="1"/>
    <col min="3" max="3" width="45.7109375" style="1655" bestFit="1" customWidth="1"/>
    <col min="4" max="4" width="19.28515625" style="1655" bestFit="1" customWidth="1"/>
    <col min="5" max="5" width="28" style="1655" bestFit="1" customWidth="1"/>
    <col min="6" max="8" width="11.85546875" style="1655" bestFit="1" customWidth="1"/>
    <col min="9" max="9" width="10.85546875" style="1655" bestFit="1" customWidth="1"/>
    <col min="10" max="10" width="9.140625" style="1655"/>
    <col min="11" max="12" width="10.85546875" style="1655" bestFit="1" customWidth="1"/>
    <col min="13" max="16384" width="9.140625" style="1655"/>
  </cols>
  <sheetData>
    <row r="1" spans="1:12" s="1647" customFormat="1" x14ac:dyDescent="0.25">
      <c r="A1" s="1647" t="s">
        <v>1193</v>
      </c>
      <c r="C1" s="1648">
        <v>43528</v>
      </c>
      <c r="D1" s="1649">
        <v>0.40554398148148146</v>
      </c>
      <c r="E1" s="1647" t="s">
        <v>1234</v>
      </c>
      <c r="F1" s="1647" t="s">
        <v>1194</v>
      </c>
      <c r="G1" s="1647">
        <v>1</v>
      </c>
    </row>
    <row r="2" spans="1:12" s="1647" customFormat="1" x14ac:dyDescent="0.25">
      <c r="A2" s="1647" t="s">
        <v>1195</v>
      </c>
      <c r="C2" s="1648">
        <v>43528</v>
      </c>
      <c r="D2" s="1647" t="s">
        <v>1196</v>
      </c>
      <c r="E2" s="1647" t="s">
        <v>1197</v>
      </c>
    </row>
    <row r="3" spans="1:12" s="1647" customFormat="1" x14ac:dyDescent="0.25">
      <c r="A3" s="1647" t="s">
        <v>1198</v>
      </c>
    </row>
    <row r="4" spans="1:12" s="1647" customFormat="1" x14ac:dyDescent="0.25">
      <c r="A4" s="1647" t="s">
        <v>1199</v>
      </c>
    </row>
    <row r="5" spans="1:12" s="1647" customFormat="1" x14ac:dyDescent="0.25">
      <c r="A5" s="1647" t="s">
        <v>1200</v>
      </c>
    </row>
    <row r="6" spans="1:12" s="1647" customFormat="1" x14ac:dyDescent="0.25">
      <c r="A6" s="1647" t="s">
        <v>1201</v>
      </c>
    </row>
    <row r="7" spans="1:12" s="1647" customFormat="1" x14ac:dyDescent="0.25">
      <c r="A7" s="1647" t="s">
        <v>1202</v>
      </c>
      <c r="C7" s="1647" t="s">
        <v>1203</v>
      </c>
    </row>
    <row r="8" spans="1:12" s="1647" customFormat="1" x14ac:dyDescent="0.25">
      <c r="A8" s="1647" t="s">
        <v>1235</v>
      </c>
      <c r="C8" s="1647" t="s">
        <v>1204</v>
      </c>
    </row>
    <row r="9" spans="1:12" s="1647" customFormat="1" x14ac:dyDescent="0.25">
      <c r="A9" s="1647" t="s">
        <v>1205</v>
      </c>
      <c r="C9" s="1647" t="s">
        <v>1206</v>
      </c>
    </row>
    <row r="10" spans="1:12" s="1647" customFormat="1" x14ac:dyDescent="0.25">
      <c r="A10" s="1647" t="s">
        <v>1236</v>
      </c>
      <c r="C10" s="1647" t="s">
        <v>1207</v>
      </c>
    </row>
    <row r="11" spans="1:12" s="1647" customFormat="1" x14ac:dyDescent="0.25">
      <c r="A11" s="1647" t="s">
        <v>1208</v>
      </c>
      <c r="C11" s="1647" t="s">
        <v>1209</v>
      </c>
    </row>
    <row r="12" spans="1:12" s="1647" customFormat="1" x14ac:dyDescent="0.25">
      <c r="A12" s="1647" t="s">
        <v>1210</v>
      </c>
      <c r="C12" s="1647" t="s">
        <v>1211</v>
      </c>
    </row>
    <row r="13" spans="1:12" s="1647" customFormat="1" x14ac:dyDescent="0.25">
      <c r="A13" s="1647" t="s">
        <v>1212</v>
      </c>
      <c r="C13" s="1647" t="s">
        <v>1213</v>
      </c>
    </row>
    <row r="14" spans="1:12" s="1647" customFormat="1" x14ac:dyDescent="0.25">
      <c r="A14" s="1647" t="s">
        <v>1214</v>
      </c>
      <c r="B14" s="1650" t="s">
        <v>1237</v>
      </c>
      <c r="C14" s="1647" t="s">
        <v>1213</v>
      </c>
      <c r="D14" s="1647" t="s">
        <v>1215</v>
      </c>
      <c r="E14" s="1647" t="s">
        <v>1216</v>
      </c>
      <c r="F14" s="1647" t="s">
        <v>1217</v>
      </c>
      <c r="G14" s="1647" t="s">
        <v>1218</v>
      </c>
      <c r="H14" s="1647" t="s">
        <v>1219</v>
      </c>
      <c r="I14" s="1647" t="s">
        <v>1220</v>
      </c>
    </row>
    <row r="15" spans="1:12" s="1647" customFormat="1" x14ac:dyDescent="0.25">
      <c r="A15" s="1647" t="s">
        <v>1221</v>
      </c>
      <c r="B15" s="1647" t="s">
        <v>1221</v>
      </c>
      <c r="C15" s="1647" t="s">
        <v>1222</v>
      </c>
    </row>
    <row r="16" spans="1:12" s="1647" customFormat="1" x14ac:dyDescent="0.25">
      <c r="A16" s="1647" t="s">
        <v>1238</v>
      </c>
      <c r="B16" s="1651" t="s">
        <v>1229</v>
      </c>
      <c r="C16" s="1647" t="s">
        <v>1239</v>
      </c>
      <c r="D16" s="1647" t="s">
        <v>1240</v>
      </c>
      <c r="E16" s="1648">
        <v>42948</v>
      </c>
      <c r="F16" s="1647">
        <v>1</v>
      </c>
      <c r="G16" s="1652">
        <v>6986.1</v>
      </c>
      <c r="H16" s="1652">
        <v>4491.12</v>
      </c>
      <c r="I16" s="1652">
        <v>2494.98</v>
      </c>
      <c r="K16" s="1663"/>
      <c r="L16" s="1648"/>
    </row>
    <row r="17" spans="1:12" s="1647" customFormat="1" x14ac:dyDescent="0.25">
      <c r="A17" s="1647" t="s">
        <v>1241</v>
      </c>
      <c r="B17" s="1651" t="s">
        <v>1229</v>
      </c>
      <c r="C17" s="1647" t="s">
        <v>1242</v>
      </c>
      <c r="D17" s="1647" t="s">
        <v>1240</v>
      </c>
      <c r="E17" s="1648">
        <v>42948</v>
      </c>
      <c r="F17" s="1647">
        <v>1</v>
      </c>
      <c r="G17" s="1652">
        <v>1039</v>
      </c>
      <c r="H17" s="1652">
        <v>667.94</v>
      </c>
      <c r="I17" s="1652">
        <v>371.06</v>
      </c>
      <c r="K17" s="1663"/>
      <c r="L17" s="1648"/>
    </row>
    <row r="18" spans="1:12" s="1647" customFormat="1" x14ac:dyDescent="0.25">
      <c r="A18" s="1647" t="s">
        <v>1243</v>
      </c>
      <c r="B18" s="1651" t="s">
        <v>289</v>
      </c>
      <c r="C18" s="1647" t="s">
        <v>1244</v>
      </c>
      <c r="D18" s="1647" t="s">
        <v>1240</v>
      </c>
      <c r="E18" s="1648">
        <v>43344</v>
      </c>
      <c r="F18" s="1647">
        <v>1</v>
      </c>
      <c r="G18" s="1652">
        <v>6197</v>
      </c>
      <c r="H18" s="1652">
        <v>517.54999999999995</v>
      </c>
      <c r="I18" s="1652">
        <v>5679.45</v>
      </c>
      <c r="K18" s="1663"/>
      <c r="L18" s="1664"/>
    </row>
    <row r="19" spans="1:12" s="1647" customFormat="1" x14ac:dyDescent="0.25">
      <c r="A19" s="1647" t="s">
        <v>1245</v>
      </c>
      <c r="B19" s="1651" t="s">
        <v>1229</v>
      </c>
      <c r="C19" s="1647" t="s">
        <v>1246</v>
      </c>
      <c r="D19" s="1647" t="s">
        <v>1240</v>
      </c>
      <c r="E19" s="1648">
        <v>39326</v>
      </c>
      <c r="F19" s="1647">
        <v>2</v>
      </c>
      <c r="G19" s="1652">
        <v>2240.7800000000002</v>
      </c>
      <c r="H19" s="1652">
        <v>2240.7800000000002</v>
      </c>
      <c r="I19" s="1652">
        <v>0</v>
      </c>
      <c r="K19" s="1663"/>
      <c r="L19" s="1648"/>
    </row>
    <row r="20" spans="1:12" s="1647" customFormat="1" x14ac:dyDescent="0.25">
      <c r="A20" s="1647" t="s">
        <v>1247</v>
      </c>
      <c r="B20" s="1651" t="s">
        <v>1229</v>
      </c>
      <c r="C20" s="1647" t="s">
        <v>1248</v>
      </c>
      <c r="D20" s="1647" t="s">
        <v>1240</v>
      </c>
      <c r="E20" s="1648">
        <v>41426</v>
      </c>
      <c r="F20" s="1647">
        <v>1</v>
      </c>
      <c r="G20" s="1652">
        <v>547826.52</v>
      </c>
      <c r="H20" s="1652">
        <v>547826.52</v>
      </c>
      <c r="I20" s="1652">
        <v>0</v>
      </c>
      <c r="K20" s="1663"/>
      <c r="L20" s="1648"/>
    </row>
    <row r="21" spans="1:12" s="1647" customFormat="1" x14ac:dyDescent="0.25">
      <c r="A21" s="1647" t="s">
        <v>1249</v>
      </c>
      <c r="B21" s="1651" t="s">
        <v>289</v>
      </c>
      <c r="C21" s="1647" t="s">
        <v>1250</v>
      </c>
      <c r="D21" s="1647" t="s">
        <v>1240</v>
      </c>
      <c r="E21" s="1648">
        <v>41426</v>
      </c>
      <c r="F21" s="1647">
        <v>1</v>
      </c>
      <c r="G21" s="1652">
        <v>3833.23</v>
      </c>
      <c r="H21" s="1652">
        <v>3833.23</v>
      </c>
      <c r="I21" s="1652">
        <v>0</v>
      </c>
      <c r="K21" s="1663"/>
      <c r="L21" s="1664"/>
    </row>
    <row r="22" spans="1:12" s="1647" customFormat="1" x14ac:dyDescent="0.25">
      <c r="A22" s="1647" t="s">
        <v>1251</v>
      </c>
      <c r="B22" s="1651" t="s">
        <v>289</v>
      </c>
      <c r="C22" s="1647" t="s">
        <v>1252</v>
      </c>
      <c r="D22" s="1647" t="s">
        <v>1240</v>
      </c>
      <c r="E22" s="1648">
        <v>41426</v>
      </c>
      <c r="F22" s="1647">
        <v>1</v>
      </c>
      <c r="G22" s="1652">
        <v>2757</v>
      </c>
      <c r="H22" s="1652">
        <v>2757</v>
      </c>
      <c r="I22" s="1652">
        <v>0</v>
      </c>
      <c r="K22" s="1663"/>
      <c r="L22" s="1664"/>
    </row>
    <row r="23" spans="1:12" s="1647" customFormat="1" x14ac:dyDescent="0.25">
      <c r="A23" s="1647" t="s">
        <v>1253</v>
      </c>
      <c r="B23" s="1651" t="s">
        <v>289</v>
      </c>
      <c r="C23" s="1647" t="s">
        <v>1254</v>
      </c>
      <c r="D23" s="1647" t="s">
        <v>1240</v>
      </c>
      <c r="E23" s="1648">
        <v>41426</v>
      </c>
      <c r="F23" s="1647">
        <v>1</v>
      </c>
      <c r="G23" s="1652">
        <v>3963.25</v>
      </c>
      <c r="H23" s="1652">
        <v>3963.25</v>
      </c>
      <c r="I23" s="1652">
        <v>0</v>
      </c>
      <c r="K23" s="1663"/>
      <c r="L23" s="1664"/>
    </row>
    <row r="24" spans="1:12" s="1647" customFormat="1" x14ac:dyDescent="0.25">
      <c r="A24" s="1647" t="s">
        <v>1255</v>
      </c>
      <c r="B24" s="1651" t="s">
        <v>289</v>
      </c>
      <c r="C24" s="1647" t="s">
        <v>1256</v>
      </c>
      <c r="D24" s="1647" t="s">
        <v>1240</v>
      </c>
      <c r="E24" s="1648">
        <v>41426</v>
      </c>
      <c r="F24" s="1647">
        <v>2</v>
      </c>
      <c r="G24" s="1652">
        <v>3222.24</v>
      </c>
      <c r="H24" s="1652">
        <v>3222.24</v>
      </c>
      <c r="I24" s="1652">
        <v>0</v>
      </c>
      <c r="K24" s="1663"/>
      <c r="L24" s="1664"/>
    </row>
    <row r="25" spans="1:12" s="1647" customFormat="1" x14ac:dyDescent="0.25">
      <c r="A25" s="1647" t="s">
        <v>1257</v>
      </c>
      <c r="B25" s="1651" t="s">
        <v>289</v>
      </c>
      <c r="C25" s="1647" t="s">
        <v>1258</v>
      </c>
      <c r="D25" s="1647" t="s">
        <v>1240</v>
      </c>
      <c r="E25" s="1648">
        <v>41426</v>
      </c>
      <c r="F25" s="1647">
        <v>1</v>
      </c>
      <c r="G25" s="1652">
        <v>1661.35</v>
      </c>
      <c r="H25" s="1652">
        <v>1661.35</v>
      </c>
      <c r="I25" s="1652">
        <v>0</v>
      </c>
      <c r="K25" s="1663"/>
      <c r="L25" s="1664"/>
    </row>
    <row r="26" spans="1:12" s="1647" customFormat="1" x14ac:dyDescent="0.25">
      <c r="A26" s="1647" t="s">
        <v>1259</v>
      </c>
      <c r="B26" s="1651" t="s">
        <v>289</v>
      </c>
      <c r="C26" s="1647" t="s">
        <v>1260</v>
      </c>
      <c r="D26" s="1647" t="s">
        <v>1240</v>
      </c>
      <c r="E26" s="1648">
        <v>41426</v>
      </c>
      <c r="F26" s="1647">
        <v>1</v>
      </c>
      <c r="G26" s="1652">
        <v>7284.48</v>
      </c>
      <c r="H26" s="1652">
        <v>7284.48</v>
      </c>
      <c r="I26" s="1652">
        <v>0</v>
      </c>
      <c r="K26" s="1663"/>
      <c r="L26" s="1664"/>
    </row>
    <row r="27" spans="1:12" s="1647" customFormat="1" x14ac:dyDescent="0.25">
      <c r="A27" s="1647" t="s">
        <v>1261</v>
      </c>
      <c r="B27" s="1651" t="s">
        <v>289</v>
      </c>
      <c r="C27" s="1647" t="s">
        <v>1262</v>
      </c>
      <c r="D27" s="1647" t="s">
        <v>1240</v>
      </c>
      <c r="E27" s="1648">
        <v>41426</v>
      </c>
      <c r="F27" s="1647">
        <v>1</v>
      </c>
      <c r="G27" s="1652">
        <v>9573.68</v>
      </c>
      <c r="H27" s="1652">
        <v>9573.68</v>
      </c>
      <c r="I27" s="1652">
        <v>0</v>
      </c>
      <c r="K27" s="1663"/>
      <c r="L27" s="1664"/>
    </row>
    <row r="28" spans="1:12" s="1647" customFormat="1" x14ac:dyDescent="0.25">
      <c r="A28" s="1647" t="s">
        <v>1263</v>
      </c>
      <c r="B28" s="1651" t="s">
        <v>289</v>
      </c>
      <c r="C28" s="1647" t="s">
        <v>1264</v>
      </c>
      <c r="D28" s="1647" t="s">
        <v>1240</v>
      </c>
      <c r="E28" s="1648">
        <v>41426</v>
      </c>
      <c r="F28" s="1647">
        <v>1</v>
      </c>
      <c r="G28" s="1652">
        <v>1009.03</v>
      </c>
      <c r="H28" s="1652">
        <v>817.27</v>
      </c>
      <c r="I28" s="1652">
        <v>191.76</v>
      </c>
      <c r="K28" s="1663"/>
      <c r="L28" s="1664"/>
    </row>
    <row r="29" spans="1:12" s="1647" customFormat="1" x14ac:dyDescent="0.25">
      <c r="A29" s="1647" t="s">
        <v>1265</v>
      </c>
      <c r="B29" s="1651" t="s">
        <v>1229</v>
      </c>
      <c r="C29" s="1647" t="s">
        <v>1266</v>
      </c>
      <c r="D29" s="1647" t="s">
        <v>1240</v>
      </c>
      <c r="E29" s="1648">
        <v>41426</v>
      </c>
      <c r="F29" s="1647">
        <v>1</v>
      </c>
      <c r="G29" s="1652">
        <v>1890</v>
      </c>
      <c r="H29" s="1652">
        <v>1530.8</v>
      </c>
      <c r="I29" s="1652">
        <v>359.2</v>
      </c>
      <c r="K29" s="1663"/>
      <c r="L29" s="1664"/>
    </row>
    <row r="30" spans="1:12" s="1647" customFormat="1" x14ac:dyDescent="0.25">
      <c r="A30" s="1647" t="s">
        <v>1267</v>
      </c>
      <c r="B30" s="1651" t="s">
        <v>289</v>
      </c>
      <c r="C30" s="1647" t="s">
        <v>1268</v>
      </c>
      <c r="D30" s="1647" t="s">
        <v>1240</v>
      </c>
      <c r="E30" s="1648">
        <v>41426</v>
      </c>
      <c r="F30" s="1647">
        <v>1</v>
      </c>
      <c r="G30" s="1652">
        <v>57345.57</v>
      </c>
      <c r="H30" s="1652">
        <v>46446.9</v>
      </c>
      <c r="I30" s="1652">
        <v>10898.67</v>
      </c>
      <c r="K30" s="1663"/>
      <c r="L30" s="1648"/>
    </row>
    <row r="31" spans="1:12" s="1647" customFormat="1" x14ac:dyDescent="0.25">
      <c r="A31" s="1647" t="s">
        <v>1269</v>
      </c>
      <c r="B31" s="1651" t="s">
        <v>289</v>
      </c>
      <c r="C31" s="1647" t="s">
        <v>1270</v>
      </c>
      <c r="D31" s="1647" t="s">
        <v>1240</v>
      </c>
      <c r="E31" s="1648">
        <v>41507</v>
      </c>
      <c r="F31" s="1647">
        <v>1</v>
      </c>
      <c r="G31" s="1652">
        <v>1310</v>
      </c>
      <c r="H31" s="1652">
        <v>1310</v>
      </c>
      <c r="I31" s="1652">
        <v>0</v>
      </c>
      <c r="K31" s="1663"/>
      <c r="L31" s="1648"/>
    </row>
    <row r="32" spans="1:12" s="1647" customFormat="1" x14ac:dyDescent="0.25">
      <c r="A32" s="1647" t="s">
        <v>1271</v>
      </c>
      <c r="B32" s="1651" t="s">
        <v>289</v>
      </c>
      <c r="C32" s="1647" t="s">
        <v>1272</v>
      </c>
      <c r="D32" s="1647" t="s">
        <v>1240</v>
      </c>
      <c r="E32" s="1648">
        <v>41640</v>
      </c>
      <c r="F32" s="1647">
        <v>1</v>
      </c>
      <c r="G32" s="1652">
        <v>1689.89</v>
      </c>
      <c r="H32" s="1652">
        <v>1689.89</v>
      </c>
      <c r="I32" s="1652">
        <v>0</v>
      </c>
      <c r="K32" s="1663"/>
      <c r="L32" s="1648"/>
    </row>
    <row r="33" spans="1:12" s="1647" customFormat="1" x14ac:dyDescent="0.25">
      <c r="A33" s="1647" t="s">
        <v>1273</v>
      </c>
      <c r="B33" s="1651" t="s">
        <v>1229</v>
      </c>
      <c r="C33" s="1647" t="s">
        <v>1274</v>
      </c>
      <c r="D33" s="1647" t="s">
        <v>1240</v>
      </c>
      <c r="E33" s="1648">
        <v>41913</v>
      </c>
      <c r="F33" s="1647">
        <v>1</v>
      </c>
      <c r="G33" s="1652">
        <v>1450</v>
      </c>
      <c r="H33" s="1652">
        <v>1257.2</v>
      </c>
      <c r="I33" s="1652">
        <v>192.8</v>
      </c>
      <c r="K33" s="1663"/>
      <c r="L33" s="1648"/>
    </row>
    <row r="34" spans="1:12" s="1647" customFormat="1" x14ac:dyDescent="0.25">
      <c r="A34" s="1647" t="s">
        <v>1275</v>
      </c>
      <c r="B34" s="1651" t="s">
        <v>289</v>
      </c>
      <c r="C34" s="1647" t="s">
        <v>1276</v>
      </c>
      <c r="D34" s="1647" t="s">
        <v>1240</v>
      </c>
      <c r="E34" s="1648">
        <v>41936</v>
      </c>
      <c r="F34" s="1647">
        <v>1</v>
      </c>
      <c r="G34" s="1652">
        <v>5861</v>
      </c>
      <c r="H34" s="1652">
        <v>5007.97</v>
      </c>
      <c r="I34" s="1652">
        <v>853.03</v>
      </c>
      <c r="K34" s="1663"/>
      <c r="L34" s="1648"/>
    </row>
    <row r="35" spans="1:12" s="1647" customFormat="1" x14ac:dyDescent="0.25">
      <c r="A35" s="1647" t="s">
        <v>1275</v>
      </c>
      <c r="B35" s="1651" t="s">
        <v>289</v>
      </c>
      <c r="C35" s="1647" t="s">
        <v>1277</v>
      </c>
      <c r="D35" s="1647" t="s">
        <v>1240</v>
      </c>
      <c r="E35" s="1648">
        <v>42052</v>
      </c>
      <c r="F35" s="1647">
        <v>1</v>
      </c>
      <c r="G35" s="1652">
        <v>9126.08</v>
      </c>
      <c r="H35" s="1652">
        <v>7217.95</v>
      </c>
      <c r="I35" s="1652">
        <v>1908.13</v>
      </c>
      <c r="K35" s="1663"/>
      <c r="L35" s="1648"/>
    </row>
    <row r="36" spans="1:12" s="1647" customFormat="1" x14ac:dyDescent="0.25">
      <c r="A36" s="1647" t="s">
        <v>1278</v>
      </c>
      <c r="B36" s="1651" t="s">
        <v>1229</v>
      </c>
      <c r="C36" s="1647" t="s">
        <v>1279</v>
      </c>
      <c r="D36" s="1647" t="s">
        <v>1240</v>
      </c>
      <c r="E36" s="1648">
        <v>42419</v>
      </c>
      <c r="F36" s="1647">
        <v>1</v>
      </c>
      <c r="G36" s="1652">
        <v>2803</v>
      </c>
      <c r="H36" s="1652">
        <v>2803</v>
      </c>
      <c r="I36" s="1652">
        <v>0</v>
      </c>
      <c r="K36" s="1663"/>
      <c r="L36" s="1648"/>
    </row>
    <row r="37" spans="1:12" s="1647" customFormat="1" x14ac:dyDescent="0.25">
      <c r="A37" s="1647" t="s">
        <v>1280</v>
      </c>
      <c r="B37" s="1651" t="s">
        <v>1229</v>
      </c>
      <c r="C37" s="1647" t="s">
        <v>1281</v>
      </c>
      <c r="D37" s="1647" t="s">
        <v>1240</v>
      </c>
      <c r="E37" s="1648">
        <v>42461</v>
      </c>
      <c r="F37" s="1647">
        <v>1</v>
      </c>
      <c r="G37" s="1652">
        <v>5162</v>
      </c>
      <c r="H37" s="1652">
        <v>5162</v>
      </c>
      <c r="I37" s="1652">
        <v>0</v>
      </c>
      <c r="K37" s="1663"/>
      <c r="L37" s="1648"/>
    </row>
    <row r="38" spans="1:12" s="1647" customFormat="1" x14ac:dyDescent="0.25">
      <c r="A38" s="1647" t="s">
        <v>1282</v>
      </c>
      <c r="B38" s="1651" t="s">
        <v>289</v>
      </c>
      <c r="C38" s="1647" t="s">
        <v>1283</v>
      </c>
      <c r="D38" s="1647" t="s">
        <v>1240</v>
      </c>
      <c r="E38" s="1648">
        <v>42705</v>
      </c>
      <c r="F38" s="1647">
        <v>1</v>
      </c>
      <c r="G38" s="1652">
        <v>1702</v>
      </c>
      <c r="H38" s="1652">
        <v>776.72</v>
      </c>
      <c r="I38" s="1652">
        <v>925.28</v>
      </c>
      <c r="K38" s="1663"/>
      <c r="L38" s="1648"/>
    </row>
    <row r="39" spans="1:12" s="1647" customFormat="1" x14ac:dyDescent="0.25">
      <c r="A39" s="1647" t="s">
        <v>1223</v>
      </c>
      <c r="C39" s="1647" t="s">
        <v>1224</v>
      </c>
      <c r="D39" s="1647" t="s">
        <v>1224</v>
      </c>
      <c r="E39" s="1647" t="s">
        <v>1224</v>
      </c>
    </row>
    <row r="40" spans="1:12" s="1647" customFormat="1" x14ac:dyDescent="0.25">
      <c r="A40" s="1647">
        <v>23</v>
      </c>
      <c r="C40" s="1647" t="s">
        <v>197</v>
      </c>
      <c r="F40" s="1647">
        <v>25</v>
      </c>
      <c r="G40" s="1653">
        <v>685933.2</v>
      </c>
      <c r="H40" s="1653">
        <v>662058.84</v>
      </c>
      <c r="I40" s="1653">
        <v>23874.36</v>
      </c>
    </row>
    <row r="41" spans="1:12" s="1647" customFormat="1" x14ac:dyDescent="0.25">
      <c r="A41" s="1647" t="s">
        <v>1225</v>
      </c>
      <c r="C41" s="1647" t="s">
        <v>1226</v>
      </c>
      <c r="D41" s="1647" t="s">
        <v>1226</v>
      </c>
      <c r="E41" s="1647" t="s">
        <v>1226</v>
      </c>
    </row>
    <row r="42" spans="1:12" s="1647" customFormat="1" x14ac:dyDescent="0.25"/>
    <row r="43" spans="1:12" s="1647" customFormat="1" x14ac:dyDescent="0.25">
      <c r="H43" s="1647" t="s">
        <v>1284</v>
      </c>
      <c r="I43" s="1652">
        <v>1450</v>
      </c>
    </row>
    <row r="44" spans="1:12" s="1647" customFormat="1" x14ac:dyDescent="0.25">
      <c r="H44" s="1647" t="s">
        <v>1285</v>
      </c>
      <c r="I44" s="1652">
        <v>1375</v>
      </c>
    </row>
    <row r="45" spans="1:12" s="1647" customFormat="1" x14ac:dyDescent="0.25">
      <c r="I45" s="1653">
        <v>2825</v>
      </c>
      <c r="J45" s="1654" t="s">
        <v>1286</v>
      </c>
    </row>
    <row r="47" spans="1:12" x14ac:dyDescent="0.25">
      <c r="B47" s="1656" t="s">
        <v>1230</v>
      </c>
      <c r="C47" s="1657"/>
      <c r="D47" s="1656" t="s">
        <v>1231</v>
      </c>
      <c r="E47" s="1657"/>
      <c r="I47" s="1658">
        <f>I40+I45</f>
        <v>26699.360000000001</v>
      </c>
    </row>
    <row r="48" spans="1:12" x14ac:dyDescent="0.25">
      <c r="B48" s="1659" t="s">
        <v>289</v>
      </c>
      <c r="C48" s="1660">
        <f>SUMIF($B$16:$B$40,B48,$G$16:$G$40)</f>
        <v>116535.79999999999</v>
      </c>
      <c r="D48" s="1647" t="s">
        <v>289</v>
      </c>
      <c r="E48" s="1660">
        <f>SUMIF($B$16:$B$40,D48,$I$16:$I$40)</f>
        <v>20456.32</v>
      </c>
    </row>
    <row r="49" spans="2:5" x14ac:dyDescent="0.25">
      <c r="B49" s="1659" t="s">
        <v>1229</v>
      </c>
      <c r="C49" s="1660">
        <f>SUMIF($B$16:$B$40,B49,$G$16:$G$40)</f>
        <v>569397.4</v>
      </c>
      <c r="D49" s="1647" t="s">
        <v>1229</v>
      </c>
      <c r="E49" s="1660">
        <f>SUMIF($B$16:$B$40,D49,$I$16:$I$40)</f>
        <v>3418.04</v>
      </c>
    </row>
    <row r="50" spans="2:5" x14ac:dyDescent="0.25">
      <c r="B50" s="1661" t="s">
        <v>13</v>
      </c>
      <c r="C50" s="1662">
        <f>SUM(C48:C49)</f>
        <v>685933.2</v>
      </c>
      <c r="D50" s="1661" t="s">
        <v>13</v>
      </c>
      <c r="E50" s="1662">
        <f>SUM(E48:E49)</f>
        <v>23874.36</v>
      </c>
    </row>
  </sheetData>
  <pageMargins left="0.2" right="0.2" top="0.25" bottom="0.25" header="0.3" footer="0.3"/>
  <pageSetup scale="64" orientation="landscape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62</vt:i4>
      </vt:variant>
      <vt:variant>
        <vt:lpstr>Named Ranges</vt:lpstr>
      </vt:variant>
      <vt:variant>
        <vt:i4>77</vt:i4>
      </vt:variant>
    </vt:vector>
  </HeadingPairs>
  <TitlesOfParts>
    <vt:vector size="139" baseType="lpstr">
      <vt:lpstr>TM1Live</vt:lpstr>
      <vt:lpstr>TM1data</vt:lpstr>
      <vt:lpstr>TM1used</vt:lpstr>
      <vt:lpstr>QuestionsNotes</vt:lpstr>
      <vt:lpstr>MacroLinks</vt:lpstr>
      <vt:lpstr>Title</vt:lpstr>
      <vt:lpstr>MainOutline</vt:lpstr>
      <vt:lpstr>A1</vt:lpstr>
      <vt:lpstr>A2</vt:lpstr>
      <vt:lpstr>A3</vt:lpstr>
      <vt:lpstr>A4</vt:lpstr>
      <vt:lpstr>A5</vt:lpstr>
      <vt:lpstr>A6</vt:lpstr>
      <vt:lpstr>B1</vt:lpstr>
      <vt:lpstr>B2</vt:lpstr>
      <vt:lpstr>C1</vt:lpstr>
      <vt:lpstr>C2</vt:lpstr>
      <vt:lpstr>C3</vt:lpstr>
      <vt:lpstr>C4</vt:lpstr>
      <vt:lpstr>C6</vt:lpstr>
      <vt:lpstr>C5</vt:lpstr>
      <vt:lpstr>C7</vt:lpstr>
      <vt:lpstr>C8</vt:lpstr>
      <vt:lpstr>C9</vt:lpstr>
      <vt:lpstr>C10</vt:lpstr>
      <vt:lpstr>C11</vt:lpstr>
      <vt:lpstr>C12</vt:lpstr>
      <vt:lpstr>D1</vt:lpstr>
      <vt:lpstr>D2</vt:lpstr>
      <vt:lpstr>D3</vt:lpstr>
      <vt:lpstr>D4</vt:lpstr>
      <vt:lpstr>D5</vt:lpstr>
      <vt:lpstr>D6</vt:lpstr>
      <vt:lpstr>D7</vt:lpstr>
      <vt:lpstr>D8</vt:lpstr>
      <vt:lpstr>ApndxA1</vt:lpstr>
      <vt:lpstr>ApndxA2</vt:lpstr>
      <vt:lpstr>ApndxA3</vt:lpstr>
      <vt:lpstr>ApndxB1</vt:lpstr>
      <vt:lpstr>ApndxB2</vt:lpstr>
      <vt:lpstr>ApndxB3</vt:lpstr>
      <vt:lpstr>ApndxB4</vt:lpstr>
      <vt:lpstr>ApndxB5</vt:lpstr>
      <vt:lpstr>ApndxB6</vt:lpstr>
      <vt:lpstr>Title_Mngmnt</vt:lpstr>
      <vt:lpstr>OutlineM</vt:lpstr>
      <vt:lpstr>M1</vt:lpstr>
      <vt:lpstr>M2</vt:lpstr>
      <vt:lpstr>M3</vt:lpstr>
      <vt:lpstr>M4</vt:lpstr>
      <vt:lpstr>M5</vt:lpstr>
      <vt:lpstr>Title_Prtnr</vt:lpstr>
      <vt:lpstr>OutlineP</vt:lpstr>
      <vt:lpstr>P1</vt:lpstr>
      <vt:lpstr>P2</vt:lpstr>
      <vt:lpstr>P3</vt:lpstr>
      <vt:lpstr>P4</vt:lpstr>
      <vt:lpstr>WorkPapers&gt;&gt;&gt;</vt:lpstr>
      <vt:lpstr>2018 Patient Count</vt:lpstr>
      <vt:lpstr>Historical Actuals</vt:lpstr>
      <vt:lpstr>MiscCalc</vt:lpstr>
      <vt:lpstr>FA INV LIST_Santa Cruz</vt:lpstr>
      <vt:lpstr>AcqType</vt:lpstr>
      <vt:lpstr>TM1data!acute</vt:lpstr>
      <vt:lpstr>TM1Live!acute</vt:lpstr>
      <vt:lpstr>TM1used!acute</vt:lpstr>
      <vt:lpstr>MCareSeq</vt:lpstr>
      <vt:lpstr>NonAcute</vt:lpstr>
      <vt:lpstr>Partnering</vt:lpstr>
      <vt:lpstr>'2018 Patient Count'!Print_Area</vt:lpstr>
      <vt:lpstr>'A1'!Print_Area</vt:lpstr>
      <vt:lpstr>'A2'!Print_Area</vt:lpstr>
      <vt:lpstr>'A3'!Print_Area</vt:lpstr>
      <vt:lpstr>'A5'!Print_Area</vt:lpstr>
      <vt:lpstr>ApndxA1!Print_Area</vt:lpstr>
      <vt:lpstr>ApndxA2!Print_Area</vt:lpstr>
      <vt:lpstr>ApndxA3!Print_Area</vt:lpstr>
      <vt:lpstr>ApndxB1!Print_Area</vt:lpstr>
      <vt:lpstr>ApndxB2!Print_Area</vt:lpstr>
      <vt:lpstr>ApndxB3!Print_Area</vt:lpstr>
      <vt:lpstr>ApndxB4!Print_Area</vt:lpstr>
      <vt:lpstr>ApndxB5!Print_Area</vt:lpstr>
      <vt:lpstr>ApndxB6!Print_Area</vt:lpstr>
      <vt:lpstr>'B1'!Print_Area</vt:lpstr>
      <vt:lpstr>'B2'!Print_Area</vt:lpstr>
      <vt:lpstr>'C1'!Print_Area</vt:lpstr>
      <vt:lpstr>'C10'!Print_Area</vt:lpstr>
      <vt:lpstr>'C11'!Print_Area</vt:lpstr>
      <vt:lpstr>'C12'!Print_Area</vt:lpstr>
      <vt:lpstr>'C2'!Print_Area</vt:lpstr>
      <vt:lpstr>'C3'!Print_Area</vt:lpstr>
      <vt:lpstr>'C4'!Print_Area</vt:lpstr>
      <vt:lpstr>'C5'!Print_Area</vt:lpstr>
      <vt:lpstr>'C6'!Print_Area</vt:lpstr>
      <vt:lpstr>'C7'!Print_Area</vt:lpstr>
      <vt:lpstr>'C8'!Print_Area</vt:lpstr>
      <vt:lpstr>'C9'!Print_Area</vt:lpstr>
      <vt:lpstr>'D1'!Print_Area</vt:lpstr>
      <vt:lpstr>'D2'!Print_Area</vt:lpstr>
      <vt:lpstr>'D3'!Print_Area</vt:lpstr>
      <vt:lpstr>'D4'!Print_Area</vt:lpstr>
      <vt:lpstr>'D5'!Print_Area</vt:lpstr>
      <vt:lpstr>'D6'!Print_Area</vt:lpstr>
      <vt:lpstr>'D7'!Print_Area</vt:lpstr>
      <vt:lpstr>'D8'!Print_Area</vt:lpstr>
      <vt:lpstr>'M1'!Print_Area</vt:lpstr>
      <vt:lpstr>'M2'!Print_Area</vt:lpstr>
      <vt:lpstr>'M3'!Print_Area</vt:lpstr>
      <vt:lpstr>'M4'!Print_Area</vt:lpstr>
      <vt:lpstr>'M5'!Print_Area</vt:lpstr>
      <vt:lpstr>MainOutline!Print_Area</vt:lpstr>
      <vt:lpstr>OutlineM!Print_Area</vt:lpstr>
      <vt:lpstr>OutlineP!Print_Area</vt:lpstr>
      <vt:lpstr>'P1'!Print_Area</vt:lpstr>
      <vt:lpstr>'P2'!Print_Area</vt:lpstr>
      <vt:lpstr>'P3'!Print_Area</vt:lpstr>
      <vt:lpstr>'P4'!Print_Area</vt:lpstr>
      <vt:lpstr>Title!Print_Area</vt:lpstr>
      <vt:lpstr>Title_Mngmnt!Print_Area</vt:lpstr>
      <vt:lpstr>Title_Prtnr!Print_Area</vt:lpstr>
      <vt:lpstr>ApndxA1!Print_Titles</vt:lpstr>
      <vt:lpstr>ApndxA2!Print_Titles</vt:lpstr>
      <vt:lpstr>ApndxA3!Print_Titles</vt:lpstr>
      <vt:lpstr>ApndxB1!Print_Titles</vt:lpstr>
      <vt:lpstr>ApndxB2!Print_Titles</vt:lpstr>
      <vt:lpstr>ApndxB3!Print_Titles</vt:lpstr>
      <vt:lpstr>ApndxB4!Print_Titles</vt:lpstr>
      <vt:lpstr>ApndxB5!Print_Titles</vt:lpstr>
      <vt:lpstr>ApndxB6!Print_Titles</vt:lpstr>
      <vt:lpstr>'B1'!Print_Titles</vt:lpstr>
      <vt:lpstr>'Historical Actuals'!Print_Titles</vt:lpstr>
      <vt:lpstr>MainOutline!Print_Titles</vt:lpstr>
      <vt:lpstr>OutlineM!Print_Titles</vt:lpstr>
      <vt:lpstr>OutlineP!Print_Titles</vt:lpstr>
      <vt:lpstr>TM1data!Print_Titles</vt:lpstr>
      <vt:lpstr>TM1Live!Print_Titles</vt:lpstr>
      <vt:lpstr>TM1used!Print_Titles</vt:lpstr>
      <vt:lpstr>ReportMode</vt:lpstr>
      <vt:lpstr>TM1Live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Reza Ilkhani</dc:creator>
  <cp:lastModifiedBy>Priyadarshini Pant</cp:lastModifiedBy>
  <cp:lastPrinted>2018-01-22T04:55:28Z</cp:lastPrinted>
  <dcterms:created xsi:type="dcterms:W3CDTF">2015-06-06T13:53:43Z</dcterms:created>
  <dcterms:modified xsi:type="dcterms:W3CDTF">2019-05-14T07:20:26Z</dcterms:modified>
</cp:coreProperties>
</file>